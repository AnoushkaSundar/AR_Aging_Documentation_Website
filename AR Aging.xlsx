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dvik-my.sharepoint.com/personal/aishwarya_sundar_sandvik_com/Documents/Desktop/"/>
    </mc:Choice>
  </mc:AlternateContent>
  <xr:revisionPtr revIDLastSave="0" documentId="8_{6CE972EA-824D-4362-AEA8-2BE4F490B4B7}" xr6:coauthVersionLast="47" xr6:coauthVersionMax="47" xr10:uidLastSave="{00000000-0000-0000-0000-000000000000}"/>
  <bookViews>
    <workbookView xWindow="-110" yWindow="-110" windowWidth="19420" windowHeight="11500" xr2:uid="{5FBA0646-8BB8-4988-BB99-07B95FB241B1}"/>
  </bookViews>
  <sheets>
    <sheet name="AURRSGLBF0170 - AR_SRP_ALL" sheetId="1" r:id="rId1"/>
  </sheets>
  <definedNames>
    <definedName name="_xlnm._FilterDatabase" localSheetId="0" hidden="1">'AURRSGLBF0170 - AR_SRP_ALL'!$A$6:$AU$1634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634" i="1" l="1"/>
  <c r="AR1634" i="1"/>
  <c r="AS1633" i="1"/>
  <c r="AR1633" i="1"/>
  <c r="AS1632" i="1"/>
  <c r="AR1632" i="1"/>
  <c r="AS1631" i="1"/>
  <c r="AR1631" i="1"/>
  <c r="AS1630" i="1"/>
  <c r="AR1630" i="1"/>
  <c r="AS1629" i="1"/>
  <c r="AR1629" i="1"/>
  <c r="AS1628" i="1"/>
  <c r="AR1628" i="1"/>
  <c r="AS1627" i="1"/>
  <c r="AR1627" i="1"/>
  <c r="AS1626" i="1"/>
  <c r="AR1626" i="1"/>
  <c r="AS1625" i="1"/>
  <c r="AR1625" i="1"/>
  <c r="AS1624" i="1"/>
  <c r="AR1624" i="1"/>
  <c r="AS1623" i="1"/>
  <c r="AR1623" i="1"/>
  <c r="AS1622" i="1"/>
  <c r="AR1622" i="1"/>
  <c r="AS1621" i="1"/>
  <c r="AR1621" i="1"/>
  <c r="AS1620" i="1"/>
  <c r="AR1620" i="1"/>
  <c r="AS1619" i="1"/>
  <c r="AR1619" i="1"/>
  <c r="AS1618" i="1"/>
  <c r="AR1618" i="1"/>
  <c r="AS1617" i="1"/>
  <c r="AR1617" i="1"/>
  <c r="AS1616" i="1"/>
  <c r="AR1616" i="1"/>
  <c r="AS1615" i="1"/>
  <c r="AR1615" i="1"/>
  <c r="AS1614" i="1"/>
  <c r="AR1614" i="1"/>
  <c r="AS1613" i="1"/>
  <c r="AR1613" i="1"/>
  <c r="AS1612" i="1"/>
  <c r="AR1612" i="1"/>
  <c r="AS1611" i="1"/>
  <c r="AR1611" i="1"/>
  <c r="AS1610" i="1"/>
  <c r="AR1610" i="1"/>
  <c r="AS1609" i="1"/>
  <c r="AR1609" i="1"/>
  <c r="AS1608" i="1"/>
  <c r="AR1608" i="1"/>
  <c r="AS1607" i="1"/>
  <c r="AR1607" i="1"/>
  <c r="AS1606" i="1"/>
  <c r="AR1606" i="1"/>
  <c r="AS1605" i="1"/>
  <c r="AR1605" i="1"/>
  <c r="AS1604" i="1"/>
  <c r="AR1604" i="1"/>
  <c r="AS1603" i="1"/>
  <c r="AR1603" i="1"/>
  <c r="AS1602" i="1"/>
  <c r="AR1602" i="1"/>
  <c r="AS1601" i="1"/>
  <c r="AR1601" i="1"/>
  <c r="AS1600" i="1"/>
  <c r="AR1600" i="1"/>
  <c r="AS1599" i="1"/>
  <c r="AR1599" i="1"/>
  <c r="AS1598" i="1"/>
  <c r="AR1598" i="1"/>
  <c r="AS1597" i="1"/>
  <c r="AR1597" i="1"/>
  <c r="AS1596" i="1"/>
  <c r="AR1596" i="1"/>
  <c r="AS1595" i="1"/>
  <c r="AR1595" i="1"/>
  <c r="AS1594" i="1"/>
  <c r="AR1594" i="1"/>
  <c r="AS1593" i="1"/>
  <c r="AR1593" i="1"/>
  <c r="AS1592" i="1"/>
  <c r="AR1592" i="1"/>
  <c r="AS1591" i="1"/>
  <c r="AR1591" i="1"/>
  <c r="AS1590" i="1"/>
  <c r="AR1590" i="1"/>
  <c r="AS1589" i="1"/>
  <c r="AR1589" i="1"/>
  <c r="AS1588" i="1"/>
  <c r="AR1588" i="1"/>
  <c r="AS1587" i="1"/>
  <c r="AR1587" i="1"/>
  <c r="AS1586" i="1"/>
  <c r="AR1586" i="1"/>
  <c r="AS1585" i="1"/>
  <c r="AR1585" i="1"/>
  <c r="AS1584" i="1"/>
  <c r="AR1584" i="1"/>
  <c r="AS1583" i="1"/>
  <c r="AR1583" i="1"/>
  <c r="AS1582" i="1"/>
  <c r="AR1582" i="1"/>
  <c r="AS1581" i="1"/>
  <c r="AR1581" i="1"/>
  <c r="AS1580" i="1"/>
  <c r="AR1580" i="1"/>
  <c r="AS1579" i="1"/>
  <c r="AR1579" i="1"/>
  <c r="AS1578" i="1"/>
  <c r="AR1578" i="1"/>
  <c r="AS1577" i="1"/>
  <c r="AR1577" i="1"/>
  <c r="AS1576" i="1"/>
  <c r="AR1576" i="1"/>
  <c r="AS1575" i="1"/>
  <c r="AR1575" i="1"/>
  <c r="AS1574" i="1"/>
  <c r="AR1574" i="1"/>
  <c r="AS1573" i="1"/>
  <c r="AR1573" i="1"/>
  <c r="AS1572" i="1"/>
  <c r="AR1572" i="1"/>
  <c r="AS1571" i="1"/>
  <c r="AR1571" i="1"/>
  <c r="AS1570" i="1"/>
  <c r="AR1570" i="1"/>
  <c r="AS1569" i="1"/>
  <c r="AR1569" i="1"/>
  <c r="AS1568" i="1"/>
  <c r="AR1568" i="1"/>
  <c r="AS1567" i="1"/>
  <c r="AR1567" i="1"/>
  <c r="AS1566" i="1"/>
  <c r="AR1566" i="1"/>
  <c r="AS1565" i="1"/>
  <c r="AR1565" i="1"/>
  <c r="AS1564" i="1"/>
  <c r="AR1564" i="1"/>
  <c r="AS1563" i="1"/>
  <c r="AR1563" i="1"/>
  <c r="AS1562" i="1"/>
  <c r="AR1562" i="1"/>
  <c r="AS1561" i="1"/>
  <c r="AR1561" i="1"/>
  <c r="AS1560" i="1"/>
  <c r="AR1560" i="1"/>
  <c r="AS1559" i="1"/>
  <c r="AR1559" i="1"/>
  <c r="AS1558" i="1"/>
  <c r="AR1558" i="1"/>
  <c r="AS1557" i="1"/>
  <c r="AR1557" i="1"/>
  <c r="AS1556" i="1"/>
  <c r="AR1556" i="1"/>
  <c r="AS1555" i="1"/>
  <c r="AR1555" i="1"/>
  <c r="AS1554" i="1"/>
  <c r="AR1554" i="1"/>
  <c r="AS1553" i="1"/>
  <c r="AR1553" i="1"/>
  <c r="AS1552" i="1"/>
  <c r="AR1552" i="1"/>
  <c r="AS1551" i="1"/>
  <c r="AR1551" i="1"/>
  <c r="AS1550" i="1"/>
  <c r="AR1550" i="1"/>
  <c r="AS1549" i="1"/>
  <c r="AR1549" i="1"/>
  <c r="AS1548" i="1"/>
  <c r="AR1548" i="1"/>
  <c r="AS1547" i="1"/>
  <c r="AR1547" i="1"/>
  <c r="AS1546" i="1"/>
  <c r="AR1546" i="1"/>
  <c r="AS1545" i="1"/>
  <c r="AR1545" i="1"/>
  <c r="AS1544" i="1"/>
  <c r="AR1544" i="1"/>
  <c r="AS1543" i="1"/>
  <c r="AR1543" i="1"/>
  <c r="AS1542" i="1"/>
  <c r="AR1542" i="1"/>
  <c r="AS1541" i="1"/>
  <c r="AR1541" i="1"/>
  <c r="AS1540" i="1"/>
  <c r="AR1540" i="1"/>
  <c r="AS1539" i="1"/>
  <c r="AR1539" i="1"/>
  <c r="AS1538" i="1"/>
  <c r="AR1538" i="1"/>
  <c r="AS1537" i="1"/>
  <c r="AR1537" i="1"/>
  <c r="AS1536" i="1"/>
  <c r="AR1536" i="1"/>
  <c r="AS1535" i="1"/>
  <c r="AR1535" i="1"/>
  <c r="AS1534" i="1"/>
  <c r="AR1534" i="1"/>
  <c r="AS1533" i="1"/>
  <c r="AR1533" i="1"/>
  <c r="AS1532" i="1"/>
  <c r="AR1532" i="1"/>
  <c r="AS1531" i="1"/>
  <c r="AR1531" i="1"/>
  <c r="AS1530" i="1"/>
  <c r="AR1530" i="1"/>
  <c r="AS1529" i="1"/>
  <c r="AR1529" i="1"/>
  <c r="AS1528" i="1"/>
  <c r="AR1528" i="1"/>
  <c r="AS1527" i="1"/>
  <c r="AR1527" i="1"/>
  <c r="AS1526" i="1"/>
  <c r="AR1526" i="1"/>
  <c r="AS1525" i="1"/>
  <c r="AR1525" i="1"/>
  <c r="AS1524" i="1"/>
  <c r="AR1524" i="1"/>
  <c r="AS1523" i="1"/>
  <c r="AR1523" i="1"/>
  <c r="AS1522" i="1"/>
  <c r="AR1522" i="1"/>
  <c r="AS1521" i="1"/>
  <c r="AR1521" i="1"/>
  <c r="AS1520" i="1"/>
  <c r="AR1520" i="1"/>
  <c r="AS1519" i="1"/>
  <c r="AR1519" i="1"/>
  <c r="AS1518" i="1"/>
  <c r="AR1518" i="1"/>
  <c r="AS1517" i="1"/>
  <c r="AR1517" i="1"/>
  <c r="AS1516" i="1"/>
  <c r="AR1516" i="1"/>
  <c r="AS1515" i="1"/>
  <c r="AR1515" i="1"/>
  <c r="AS1514" i="1"/>
  <c r="AR1514" i="1"/>
  <c r="AS1513" i="1"/>
  <c r="AR1513" i="1"/>
  <c r="AS1512" i="1"/>
  <c r="AR1512" i="1"/>
  <c r="AS1511" i="1"/>
  <c r="AR1511" i="1"/>
  <c r="AS1510" i="1"/>
  <c r="AR1510" i="1"/>
  <c r="AS1509" i="1"/>
  <c r="AR1509" i="1"/>
  <c r="AS1508" i="1"/>
  <c r="AR1508" i="1"/>
  <c r="AS1507" i="1"/>
  <c r="AR1507" i="1"/>
  <c r="AS1506" i="1"/>
  <c r="AR1506" i="1"/>
  <c r="AS1505" i="1"/>
  <c r="AR1505" i="1"/>
  <c r="AS1504" i="1"/>
  <c r="AR1504" i="1"/>
  <c r="AS1503" i="1"/>
  <c r="AR1503" i="1"/>
  <c r="AS1502" i="1"/>
  <c r="AR1502" i="1"/>
  <c r="AS1501" i="1"/>
  <c r="AR1501" i="1"/>
  <c r="AS1500" i="1"/>
  <c r="AR1500" i="1"/>
  <c r="AS1499" i="1"/>
  <c r="AR1499" i="1"/>
  <c r="AS1498" i="1"/>
  <c r="AR1498" i="1"/>
  <c r="AS1497" i="1"/>
  <c r="AR1497" i="1"/>
  <c r="AS1496" i="1"/>
  <c r="AR1496" i="1"/>
  <c r="AS1495" i="1"/>
  <c r="AR1495" i="1"/>
  <c r="AS1494" i="1"/>
  <c r="AR1494" i="1"/>
  <c r="AS1493" i="1"/>
  <c r="AR1493" i="1"/>
  <c r="AS1492" i="1"/>
  <c r="AR1492" i="1"/>
  <c r="AS1491" i="1"/>
  <c r="AR1491" i="1"/>
  <c r="AS1490" i="1"/>
  <c r="AR1490" i="1"/>
  <c r="AS1489" i="1"/>
  <c r="AR1489" i="1"/>
  <c r="AS1488" i="1"/>
  <c r="AR1488" i="1"/>
  <c r="AS1487" i="1"/>
  <c r="AR1487" i="1"/>
  <c r="AS1486" i="1"/>
  <c r="AR1486" i="1"/>
  <c r="AS1485" i="1"/>
  <c r="AR1485" i="1"/>
  <c r="AS1484" i="1"/>
  <c r="AR1484" i="1"/>
  <c r="AS1483" i="1"/>
  <c r="AR1483" i="1"/>
  <c r="AS1482" i="1"/>
  <c r="AR1482" i="1"/>
  <c r="AS1481" i="1"/>
  <c r="AR1481" i="1"/>
  <c r="AS1480" i="1"/>
  <c r="AR1480" i="1"/>
  <c r="AS1479" i="1"/>
  <c r="AR1479" i="1"/>
  <c r="AS1478" i="1"/>
  <c r="AR1478" i="1"/>
  <c r="AS1477" i="1"/>
  <c r="AR1477" i="1"/>
  <c r="AS1476" i="1"/>
  <c r="AR1476" i="1"/>
  <c r="AS1475" i="1"/>
  <c r="AR1475" i="1"/>
  <c r="AS1474" i="1"/>
  <c r="AR1474" i="1"/>
  <c r="AS1473" i="1"/>
  <c r="AR1473" i="1"/>
  <c r="AS1472" i="1"/>
  <c r="AR1472" i="1"/>
  <c r="AS1471" i="1"/>
  <c r="AR1471" i="1"/>
  <c r="AS1470" i="1"/>
  <c r="AR1470" i="1"/>
  <c r="AS1469" i="1"/>
  <c r="AR1469" i="1"/>
  <c r="AS1468" i="1"/>
  <c r="AR1468" i="1"/>
  <c r="AS1467" i="1"/>
  <c r="AR1467" i="1"/>
  <c r="AS1466" i="1"/>
  <c r="AR1466" i="1"/>
  <c r="AS1465" i="1"/>
  <c r="AR1465" i="1"/>
  <c r="AS1464" i="1"/>
  <c r="AR1464" i="1"/>
  <c r="AS1463" i="1"/>
  <c r="AR1463" i="1"/>
  <c r="AS1462" i="1"/>
  <c r="AR1462" i="1"/>
  <c r="AS1461" i="1"/>
  <c r="AR1461" i="1"/>
  <c r="AS1460" i="1"/>
  <c r="AR1460" i="1"/>
  <c r="AS1459" i="1"/>
  <c r="AR1459" i="1"/>
  <c r="AS1458" i="1"/>
  <c r="AR1458" i="1"/>
  <c r="AS1457" i="1"/>
  <c r="AR1457" i="1"/>
  <c r="AS1456" i="1"/>
  <c r="AR1456" i="1"/>
  <c r="AS1455" i="1"/>
  <c r="AR1455" i="1"/>
  <c r="AS1454" i="1"/>
  <c r="AR1454" i="1"/>
  <c r="AS1453" i="1"/>
  <c r="AR1453" i="1"/>
  <c r="AS1452" i="1"/>
  <c r="AR1452" i="1"/>
  <c r="AS1451" i="1"/>
  <c r="AR1451" i="1"/>
  <c r="AS1450" i="1"/>
  <c r="AR1450" i="1"/>
  <c r="AS1449" i="1"/>
  <c r="AR1449" i="1"/>
  <c r="AS1448" i="1"/>
  <c r="AR1448" i="1"/>
  <c r="AS1447" i="1"/>
  <c r="AR1447" i="1"/>
  <c r="AS1446" i="1"/>
  <c r="AR1446" i="1"/>
  <c r="AS1445" i="1"/>
  <c r="AR1445" i="1"/>
  <c r="AS1444" i="1"/>
  <c r="AR1444" i="1"/>
  <c r="AS1443" i="1"/>
  <c r="AR1443" i="1"/>
  <c r="AS1442" i="1"/>
  <c r="AR1442" i="1"/>
  <c r="AS1441" i="1"/>
  <c r="AR1441" i="1"/>
  <c r="AS1440" i="1"/>
  <c r="AR1440" i="1"/>
  <c r="AS1439" i="1"/>
  <c r="AR1439" i="1"/>
  <c r="AS1438" i="1"/>
  <c r="AR1438" i="1"/>
  <c r="AS1437" i="1"/>
  <c r="AR1437" i="1"/>
  <c r="AS1436" i="1"/>
  <c r="AR1436" i="1"/>
  <c r="AS1435" i="1"/>
  <c r="AR1435" i="1"/>
  <c r="AS1434" i="1"/>
  <c r="AR1434" i="1"/>
  <c r="AS1433" i="1"/>
  <c r="AR1433" i="1"/>
  <c r="AS1432" i="1"/>
  <c r="AR1432" i="1"/>
  <c r="AS1431" i="1"/>
  <c r="AR1431" i="1"/>
  <c r="AS1430" i="1"/>
  <c r="AR1430" i="1"/>
  <c r="AS1429" i="1"/>
  <c r="AR1429" i="1"/>
  <c r="AS1428" i="1"/>
  <c r="AR1428" i="1"/>
  <c r="AS1427" i="1"/>
  <c r="AR1427" i="1"/>
  <c r="AS1426" i="1"/>
  <c r="AR1426" i="1"/>
  <c r="AS1425" i="1"/>
  <c r="AR1425" i="1"/>
  <c r="AS1424" i="1"/>
  <c r="AR1424" i="1"/>
  <c r="AS1423" i="1"/>
  <c r="AR1423" i="1"/>
  <c r="AS1422" i="1"/>
  <c r="AR1422" i="1"/>
  <c r="AS1421" i="1"/>
  <c r="AR1421" i="1"/>
  <c r="AS1420" i="1"/>
  <c r="AR1420" i="1"/>
  <c r="AS1419" i="1"/>
  <c r="AR1419" i="1"/>
  <c r="AS1418" i="1"/>
  <c r="AR1418" i="1"/>
  <c r="AS1417" i="1"/>
  <c r="AR1417" i="1"/>
  <c r="AS1416" i="1"/>
  <c r="AR1416" i="1"/>
  <c r="AS1415" i="1"/>
  <c r="AR1415" i="1"/>
  <c r="AS1414" i="1"/>
  <c r="AR1414" i="1"/>
  <c r="AS1413" i="1"/>
  <c r="AR1413" i="1"/>
  <c r="AS1412" i="1"/>
  <c r="AR1412" i="1"/>
  <c r="AS1411" i="1"/>
  <c r="AR1411" i="1"/>
  <c r="AS1410" i="1"/>
  <c r="AR1410" i="1"/>
  <c r="AS1409" i="1"/>
  <c r="AR1409" i="1"/>
  <c r="AS1408" i="1"/>
  <c r="AR1408" i="1"/>
  <c r="AS1407" i="1"/>
  <c r="AR1407" i="1"/>
  <c r="AS1406" i="1"/>
  <c r="AR1406" i="1"/>
  <c r="AS1405" i="1"/>
  <c r="AR1405" i="1"/>
  <c r="AS1404" i="1"/>
  <c r="AR1404" i="1"/>
  <c r="AS1403" i="1"/>
  <c r="AR1403" i="1"/>
  <c r="AS1402" i="1"/>
  <c r="AR1402" i="1"/>
  <c r="AS1401" i="1"/>
  <c r="AR1401" i="1"/>
  <c r="AS1400" i="1"/>
  <c r="AR1400" i="1"/>
  <c r="AS1399" i="1"/>
  <c r="AR1399" i="1"/>
  <c r="AS1398" i="1"/>
  <c r="AR1398" i="1"/>
  <c r="AS1397" i="1"/>
  <c r="AR1397" i="1"/>
  <c r="AS1396" i="1"/>
  <c r="AR1396" i="1"/>
  <c r="AS1395" i="1"/>
  <c r="AR1395" i="1"/>
  <c r="AS1394" i="1"/>
  <c r="AR1394" i="1"/>
  <c r="AS1393" i="1"/>
  <c r="AR1393" i="1"/>
  <c r="AS1392" i="1"/>
  <c r="AR1392" i="1"/>
  <c r="AS1391" i="1"/>
  <c r="AR1391" i="1"/>
  <c r="AS1390" i="1"/>
  <c r="AR1390" i="1"/>
  <c r="AS1389" i="1"/>
  <c r="AR1389" i="1"/>
  <c r="AS1388" i="1"/>
  <c r="AR1388" i="1"/>
  <c r="AS1387" i="1"/>
  <c r="AR1387" i="1"/>
  <c r="AS1386" i="1"/>
  <c r="AR1386" i="1"/>
  <c r="AS1385" i="1"/>
  <c r="AR1385" i="1"/>
  <c r="AS1384" i="1"/>
  <c r="AR1384" i="1"/>
  <c r="AS1383" i="1"/>
  <c r="AR1383" i="1"/>
  <c r="AS1382" i="1"/>
  <c r="AR1382" i="1"/>
  <c r="AS1381" i="1"/>
  <c r="AR1381" i="1"/>
  <c r="AS1380" i="1"/>
  <c r="AR1380" i="1"/>
  <c r="AS1379" i="1"/>
  <c r="AR1379" i="1"/>
  <c r="AS1378" i="1"/>
  <c r="AR1378" i="1"/>
  <c r="AS1377" i="1"/>
  <c r="AR1377" i="1"/>
  <c r="AS1376" i="1"/>
  <c r="AR1376" i="1"/>
  <c r="AS1375" i="1"/>
  <c r="AR1375" i="1"/>
  <c r="AS1374" i="1"/>
  <c r="AR1374" i="1"/>
  <c r="AS1373" i="1"/>
  <c r="AR1373" i="1"/>
  <c r="AS1372" i="1"/>
  <c r="AR1372" i="1"/>
  <c r="AS1371" i="1"/>
  <c r="AR1371" i="1"/>
  <c r="AS1370" i="1"/>
  <c r="AR1370" i="1"/>
  <c r="AS1369" i="1"/>
  <c r="AR1369" i="1"/>
  <c r="AS1368" i="1"/>
  <c r="AR1368" i="1"/>
  <c r="AS1367" i="1"/>
  <c r="AR1367" i="1"/>
  <c r="AS1366" i="1"/>
  <c r="AR1366" i="1"/>
  <c r="AS1365" i="1"/>
  <c r="AR1365" i="1"/>
  <c r="AS1364" i="1"/>
  <c r="AR1364" i="1"/>
  <c r="AS1363" i="1"/>
  <c r="AR1363" i="1"/>
  <c r="AS1362" i="1"/>
  <c r="AR1362" i="1"/>
  <c r="AS1361" i="1"/>
  <c r="AR1361" i="1"/>
  <c r="AS1360" i="1"/>
  <c r="AR1360" i="1"/>
  <c r="AS1359" i="1"/>
  <c r="AR1359" i="1"/>
  <c r="AS1358" i="1"/>
  <c r="AR1358" i="1"/>
  <c r="AS1357" i="1"/>
  <c r="AR1357" i="1"/>
  <c r="AS1356" i="1"/>
  <c r="AR1356" i="1"/>
  <c r="AS1355" i="1"/>
  <c r="AR1355" i="1"/>
  <c r="AS1354" i="1"/>
  <c r="AR1354" i="1"/>
  <c r="AS1353" i="1"/>
  <c r="AR1353" i="1"/>
  <c r="AS1352" i="1"/>
  <c r="AR1352" i="1"/>
  <c r="AS1351" i="1"/>
  <c r="AR1351" i="1"/>
  <c r="AS1350" i="1"/>
  <c r="AR1350" i="1"/>
  <c r="AS1349" i="1"/>
  <c r="AR1349" i="1"/>
  <c r="AS1348" i="1"/>
  <c r="AR1348" i="1"/>
  <c r="AS1347" i="1"/>
  <c r="AR1347" i="1"/>
  <c r="AS1346" i="1"/>
  <c r="AR1346" i="1"/>
  <c r="AS1345" i="1"/>
  <c r="AR1345" i="1"/>
  <c r="AS1344" i="1"/>
  <c r="AR1344" i="1"/>
  <c r="AS1343" i="1"/>
  <c r="AR1343" i="1"/>
  <c r="AS1342" i="1"/>
  <c r="AR1342" i="1"/>
  <c r="AS1341" i="1"/>
  <c r="AR1341" i="1"/>
  <c r="AS1340" i="1"/>
  <c r="AR1340" i="1"/>
  <c r="AS1339" i="1"/>
  <c r="AR1339" i="1"/>
  <c r="AS1338" i="1"/>
  <c r="AR1338" i="1"/>
  <c r="AS1337" i="1"/>
  <c r="AR1337" i="1"/>
  <c r="AS1336" i="1"/>
  <c r="AR1336" i="1"/>
  <c r="AS1335" i="1"/>
  <c r="AR1335" i="1"/>
  <c r="AS1334" i="1"/>
  <c r="AR1334" i="1"/>
  <c r="AS1333" i="1"/>
  <c r="AR1333" i="1"/>
  <c r="AS1332" i="1"/>
  <c r="AR1332" i="1"/>
  <c r="AS1331" i="1"/>
  <c r="AR1331" i="1"/>
  <c r="AS1330" i="1"/>
  <c r="AR1330" i="1"/>
  <c r="AS1329" i="1"/>
  <c r="AR1329" i="1"/>
  <c r="AS1328" i="1"/>
  <c r="AR1328" i="1"/>
  <c r="AS1327" i="1"/>
  <c r="AR1327" i="1"/>
  <c r="AS1326" i="1"/>
  <c r="AR1326" i="1"/>
  <c r="AS1325" i="1"/>
  <c r="AR1325" i="1"/>
  <c r="AS1324" i="1"/>
  <c r="AR1324" i="1"/>
  <c r="AS1323" i="1"/>
  <c r="AR1323" i="1"/>
  <c r="AS1322" i="1"/>
  <c r="AR1322" i="1"/>
  <c r="AS1321" i="1"/>
  <c r="AR1321" i="1"/>
  <c r="AS1320" i="1"/>
  <c r="AR1320" i="1"/>
  <c r="AS1319" i="1"/>
  <c r="AR1319" i="1"/>
  <c r="AS1318" i="1"/>
  <c r="AR1318" i="1"/>
  <c r="AS1317" i="1"/>
  <c r="AR1317" i="1"/>
  <c r="AS1316" i="1"/>
  <c r="AR1316" i="1"/>
  <c r="AS1315" i="1"/>
  <c r="AR1315" i="1"/>
  <c r="AS1314" i="1"/>
  <c r="AR1314" i="1"/>
  <c r="AS1313" i="1"/>
  <c r="AR1313" i="1"/>
  <c r="AS1312" i="1"/>
  <c r="AR1312" i="1"/>
  <c r="AS1311" i="1"/>
  <c r="AR1311" i="1"/>
  <c r="AS1310" i="1"/>
  <c r="AR1310" i="1"/>
  <c r="AS1309" i="1"/>
  <c r="AR1309" i="1"/>
  <c r="AS1308" i="1"/>
  <c r="AR1308" i="1"/>
  <c r="AS1307" i="1"/>
  <c r="AR1307" i="1"/>
  <c r="AS1306" i="1"/>
  <c r="AR1306" i="1"/>
  <c r="AS1305" i="1"/>
  <c r="AR1305" i="1"/>
  <c r="AS1304" i="1"/>
  <c r="AR1304" i="1"/>
  <c r="AS1303" i="1"/>
  <c r="AR1303" i="1"/>
  <c r="AS1302" i="1"/>
  <c r="AR1302" i="1"/>
  <c r="AS1301" i="1"/>
  <c r="AR1301" i="1"/>
  <c r="AS1300" i="1"/>
  <c r="AR1300" i="1"/>
  <c r="AS1299" i="1"/>
  <c r="AR1299" i="1"/>
  <c r="AS1298" i="1"/>
  <c r="AR1298" i="1"/>
  <c r="AS1297" i="1"/>
  <c r="AR1297" i="1"/>
  <c r="AS1296" i="1"/>
  <c r="AR1296" i="1"/>
  <c r="AS1295" i="1"/>
  <c r="AR1295" i="1"/>
  <c r="AS1294" i="1"/>
  <c r="AR1294" i="1"/>
  <c r="AS1293" i="1"/>
  <c r="AR1293" i="1"/>
  <c r="AS1292" i="1"/>
  <c r="AR1292" i="1"/>
  <c r="AS1291" i="1"/>
  <c r="AR1291" i="1"/>
  <c r="AS1290" i="1"/>
  <c r="AR1290" i="1"/>
  <c r="AS1289" i="1"/>
  <c r="AR1289" i="1"/>
  <c r="AS1288" i="1"/>
  <c r="AR1288" i="1"/>
  <c r="AS1287" i="1"/>
  <c r="AR1287" i="1"/>
  <c r="AS1286" i="1"/>
  <c r="AR1286" i="1"/>
  <c r="AS1285" i="1"/>
  <c r="AR1285" i="1"/>
  <c r="AS1284" i="1"/>
  <c r="AR1284" i="1"/>
  <c r="AS1283" i="1"/>
  <c r="AR1283" i="1"/>
  <c r="AS1282" i="1"/>
  <c r="AR1282" i="1"/>
  <c r="AS1281" i="1"/>
  <c r="AR1281" i="1"/>
  <c r="AS1280" i="1"/>
  <c r="AR1280" i="1"/>
  <c r="AS1279" i="1"/>
  <c r="AR1279" i="1"/>
  <c r="AS1278" i="1"/>
  <c r="AR1278" i="1"/>
  <c r="AS1277" i="1"/>
  <c r="AR1277" i="1"/>
  <c r="AS1276" i="1"/>
  <c r="AR1276" i="1"/>
  <c r="AS1275" i="1"/>
  <c r="AR1275" i="1"/>
  <c r="AS1274" i="1"/>
  <c r="AR1274" i="1"/>
  <c r="AS1273" i="1"/>
  <c r="AR1273" i="1"/>
  <c r="AS1272" i="1"/>
  <c r="AR1272" i="1"/>
  <c r="AS1271" i="1"/>
  <c r="AR1271" i="1"/>
  <c r="AS1270" i="1"/>
  <c r="AR1270" i="1"/>
  <c r="AS1269" i="1"/>
  <c r="AR1269" i="1"/>
  <c r="AS1268" i="1"/>
  <c r="AR1268" i="1"/>
  <c r="AS1267" i="1"/>
  <c r="AR1267" i="1"/>
  <c r="AS1266" i="1"/>
  <c r="AR1266" i="1"/>
  <c r="AS1265" i="1"/>
  <c r="AR1265" i="1"/>
  <c r="AS1264" i="1"/>
  <c r="AR1264" i="1"/>
  <c r="AS1263" i="1"/>
  <c r="AR1263" i="1"/>
  <c r="AS1262" i="1"/>
  <c r="AR1262" i="1"/>
  <c r="AS1261" i="1"/>
  <c r="AR1261" i="1"/>
  <c r="AS1260" i="1"/>
  <c r="AR1260" i="1"/>
  <c r="AS1259" i="1"/>
  <c r="AR1259" i="1"/>
  <c r="AS1258" i="1"/>
  <c r="AR1258" i="1"/>
  <c r="AS1257" i="1"/>
  <c r="AR1257" i="1"/>
  <c r="AS1256" i="1"/>
  <c r="AR1256" i="1"/>
  <c r="AS1255" i="1"/>
  <c r="AR1255" i="1"/>
  <c r="AS1254" i="1"/>
  <c r="AR1254" i="1"/>
  <c r="AS1253" i="1"/>
  <c r="AR1253" i="1"/>
  <c r="AS1252" i="1"/>
  <c r="AR1252" i="1"/>
  <c r="AS1251" i="1"/>
  <c r="AR1251" i="1"/>
  <c r="AS1250" i="1"/>
  <c r="AR1250" i="1"/>
  <c r="AS1249" i="1"/>
  <c r="AR1249" i="1"/>
  <c r="AS1248" i="1"/>
  <c r="AR1248" i="1"/>
  <c r="AS1247" i="1"/>
  <c r="AR1247" i="1"/>
  <c r="AS1246" i="1"/>
  <c r="AR1246" i="1"/>
  <c r="AS1245" i="1"/>
  <c r="AR1245" i="1"/>
  <c r="AS1244" i="1"/>
  <c r="AR1244" i="1"/>
  <c r="AS1243" i="1"/>
  <c r="AR1243" i="1"/>
  <c r="AS1242" i="1"/>
  <c r="AR1242" i="1"/>
  <c r="AS1241" i="1"/>
  <c r="AR1241" i="1"/>
  <c r="AS1240" i="1"/>
  <c r="AR1240" i="1"/>
  <c r="AS1239" i="1"/>
  <c r="AR1239" i="1"/>
  <c r="AS1238" i="1"/>
  <c r="AR1238" i="1"/>
  <c r="AS1237" i="1"/>
  <c r="AR1237" i="1"/>
  <c r="AS1236" i="1"/>
  <c r="AR1236" i="1"/>
  <c r="AS1235" i="1"/>
  <c r="AR1235" i="1"/>
  <c r="AS1234" i="1"/>
  <c r="AR1234" i="1"/>
  <c r="AS1233" i="1"/>
  <c r="AR1233" i="1"/>
  <c r="AS1232" i="1"/>
  <c r="AR1232" i="1"/>
  <c r="AS1231" i="1"/>
  <c r="AR1231" i="1"/>
  <c r="AS1230" i="1"/>
  <c r="AR1230" i="1"/>
  <c r="AS1229" i="1"/>
  <c r="AR1229" i="1"/>
  <c r="AS1228" i="1"/>
  <c r="AR1228" i="1"/>
  <c r="AS1227" i="1"/>
  <c r="AR1227" i="1"/>
  <c r="AS1226" i="1"/>
  <c r="AR1226" i="1"/>
  <c r="AS1225" i="1"/>
  <c r="AR1225" i="1"/>
  <c r="AS1224" i="1"/>
  <c r="AR1224" i="1"/>
  <c r="AS1223" i="1"/>
  <c r="AR1223" i="1"/>
  <c r="AS1222" i="1"/>
  <c r="AR1222" i="1"/>
  <c r="AS1221" i="1"/>
  <c r="AR1221" i="1"/>
  <c r="AS1220" i="1"/>
  <c r="AR1220" i="1"/>
  <c r="AS1219" i="1"/>
  <c r="AR1219" i="1"/>
  <c r="AS1218" i="1"/>
  <c r="AR1218" i="1"/>
  <c r="AS1217" i="1"/>
  <c r="AR1217" i="1"/>
  <c r="AS1216" i="1"/>
  <c r="AR1216" i="1"/>
  <c r="AS1215" i="1"/>
  <c r="AR1215" i="1"/>
  <c r="AS1214" i="1"/>
  <c r="AR1214" i="1"/>
  <c r="AS1213" i="1"/>
  <c r="AR1213" i="1"/>
  <c r="AS1212" i="1"/>
  <c r="AR1212" i="1"/>
  <c r="AS1211" i="1"/>
  <c r="AR1211" i="1"/>
  <c r="AS1210" i="1"/>
  <c r="AR1210" i="1"/>
  <c r="AS1209" i="1"/>
  <c r="AR1209" i="1"/>
  <c r="AS1208" i="1"/>
  <c r="AR1208" i="1"/>
  <c r="AS1207" i="1"/>
  <c r="AR1207" i="1"/>
  <c r="AS1206" i="1"/>
  <c r="AR1206" i="1"/>
  <c r="AS1205" i="1"/>
  <c r="AR1205" i="1"/>
  <c r="AS1204" i="1"/>
  <c r="AR1204" i="1"/>
  <c r="AS1203" i="1"/>
  <c r="AR1203" i="1"/>
  <c r="AS1202" i="1"/>
  <c r="AR1202" i="1"/>
  <c r="AS1201" i="1"/>
  <c r="AR1201" i="1"/>
  <c r="AS1200" i="1"/>
  <c r="AR1200" i="1"/>
  <c r="AS1199" i="1"/>
  <c r="AR1199" i="1"/>
  <c r="AS1198" i="1"/>
  <c r="AR1198" i="1"/>
  <c r="AS1197" i="1"/>
  <c r="AR1197" i="1"/>
  <c r="AS1196" i="1"/>
  <c r="AR1196" i="1"/>
  <c r="AS1195" i="1"/>
  <c r="AR1195" i="1"/>
  <c r="AS1194" i="1"/>
  <c r="AR1194" i="1"/>
  <c r="AS1193" i="1"/>
  <c r="AR1193" i="1"/>
  <c r="AS1192" i="1"/>
  <c r="AR1192" i="1"/>
  <c r="AS1191" i="1"/>
  <c r="AR1191" i="1"/>
  <c r="AS1190" i="1"/>
  <c r="AR1190" i="1"/>
  <c r="AS1189" i="1"/>
  <c r="AR1189" i="1"/>
  <c r="AS1188" i="1"/>
  <c r="AR1188" i="1"/>
  <c r="AS1187" i="1"/>
  <c r="AR1187" i="1"/>
  <c r="AS1186" i="1"/>
  <c r="AR1186" i="1"/>
  <c r="AS1185" i="1"/>
  <c r="AR1185" i="1"/>
  <c r="AS1184" i="1"/>
  <c r="AR1184" i="1"/>
  <c r="AS1183" i="1"/>
  <c r="AR1183" i="1"/>
  <c r="AS1182" i="1"/>
  <c r="AR1182" i="1"/>
  <c r="AS1181" i="1"/>
  <c r="AR1181" i="1"/>
  <c r="AS1180" i="1"/>
  <c r="AR1180" i="1"/>
  <c r="AS1179" i="1"/>
  <c r="AR1179" i="1"/>
  <c r="AS1178" i="1"/>
  <c r="AR1178" i="1"/>
  <c r="AS1177" i="1"/>
  <c r="AR1177" i="1"/>
  <c r="AS1176" i="1"/>
  <c r="AR1176" i="1"/>
  <c r="AS1175" i="1"/>
  <c r="AR1175" i="1"/>
  <c r="AS1174" i="1"/>
  <c r="AR1174" i="1"/>
  <c r="AS1173" i="1"/>
  <c r="AR1173" i="1"/>
  <c r="AS1172" i="1"/>
  <c r="AR1172" i="1"/>
  <c r="AS1171" i="1"/>
  <c r="AR1171" i="1"/>
  <c r="AS1170" i="1"/>
  <c r="AR1170" i="1"/>
  <c r="AS1169" i="1"/>
  <c r="AR1169" i="1"/>
  <c r="AS1168" i="1"/>
  <c r="AR1168" i="1"/>
  <c r="AS1167" i="1"/>
  <c r="AR1167" i="1"/>
  <c r="AS1166" i="1"/>
  <c r="AR1166" i="1"/>
  <c r="AS1165" i="1"/>
  <c r="AR1165" i="1"/>
  <c r="AS1164" i="1"/>
  <c r="AR1164" i="1"/>
  <c r="AS1163" i="1"/>
  <c r="AR1163" i="1"/>
  <c r="AS1162" i="1"/>
  <c r="AR1162" i="1"/>
  <c r="AS1161" i="1"/>
  <c r="AR1161" i="1"/>
  <c r="AS1160" i="1"/>
  <c r="AR1160" i="1"/>
  <c r="AS1159" i="1"/>
  <c r="AR1159" i="1"/>
  <c r="AS1158" i="1"/>
  <c r="AR1158" i="1"/>
  <c r="AS1157" i="1"/>
  <c r="AR1157" i="1"/>
  <c r="AS1156" i="1"/>
  <c r="AR1156" i="1"/>
  <c r="AS1155" i="1"/>
  <c r="AR1155" i="1"/>
  <c r="AS1154" i="1"/>
  <c r="AR1154" i="1"/>
  <c r="AS1153" i="1"/>
  <c r="AR1153" i="1"/>
  <c r="AS1152" i="1"/>
  <c r="AR1152" i="1"/>
  <c r="AS1151" i="1"/>
  <c r="AR1151" i="1"/>
  <c r="AS1150" i="1"/>
  <c r="AR1150" i="1"/>
  <c r="AS1149" i="1"/>
  <c r="AR1149" i="1"/>
  <c r="AS1148" i="1"/>
  <c r="AR1148" i="1"/>
  <c r="AS1147" i="1"/>
  <c r="AR1147" i="1"/>
  <c r="AS1146" i="1"/>
  <c r="AR1146" i="1"/>
  <c r="AS1145" i="1"/>
  <c r="AR1145" i="1"/>
  <c r="AS1144" i="1"/>
  <c r="AR1144" i="1"/>
  <c r="AS1143" i="1"/>
  <c r="AR1143" i="1"/>
  <c r="AS1142" i="1"/>
  <c r="AR1142" i="1"/>
  <c r="AS1141" i="1"/>
  <c r="AR1141" i="1"/>
  <c r="AS1140" i="1"/>
  <c r="AR1140" i="1"/>
  <c r="AS1139" i="1"/>
  <c r="AR1139" i="1"/>
  <c r="AS1138" i="1"/>
  <c r="AR1138" i="1"/>
  <c r="AS1137" i="1"/>
  <c r="AR1137" i="1"/>
  <c r="AS1136" i="1"/>
  <c r="AR1136" i="1"/>
  <c r="AS1135" i="1"/>
  <c r="AR1135" i="1"/>
  <c r="AS1134" i="1"/>
  <c r="AR1134" i="1"/>
  <c r="AS1133" i="1"/>
  <c r="AR1133" i="1"/>
  <c r="AS1132" i="1"/>
  <c r="AR1132" i="1"/>
  <c r="AS1131" i="1"/>
  <c r="AR1131" i="1"/>
  <c r="AS1130" i="1"/>
  <c r="AR1130" i="1"/>
  <c r="AS1129" i="1"/>
  <c r="AR1129" i="1"/>
  <c r="AS1128" i="1"/>
  <c r="AR1128" i="1"/>
  <c r="AS1127" i="1"/>
  <c r="AR1127" i="1"/>
  <c r="AS1126" i="1"/>
  <c r="AR1126" i="1"/>
  <c r="AS1125" i="1"/>
  <c r="AR1125" i="1"/>
  <c r="AS1124" i="1"/>
  <c r="AR1124" i="1"/>
  <c r="AS1123" i="1"/>
  <c r="AR1123" i="1"/>
  <c r="AS1122" i="1"/>
  <c r="AR1122" i="1"/>
  <c r="AS1121" i="1"/>
  <c r="AR1121" i="1"/>
  <c r="AS1120" i="1"/>
  <c r="AR1120" i="1"/>
  <c r="AS1119" i="1"/>
  <c r="AR1119" i="1"/>
  <c r="AS1118" i="1"/>
  <c r="AR1118" i="1"/>
  <c r="AS1117" i="1"/>
  <c r="AR1117" i="1"/>
  <c r="AS1116" i="1"/>
  <c r="AR1116" i="1"/>
  <c r="AS1115" i="1"/>
  <c r="AR1115" i="1"/>
  <c r="AS1114" i="1"/>
  <c r="AR1114" i="1"/>
  <c r="AS1113" i="1"/>
  <c r="AR1113" i="1"/>
  <c r="AS1112" i="1"/>
  <c r="AR1112" i="1"/>
  <c r="AS1111" i="1"/>
  <c r="AR1111" i="1"/>
  <c r="AS1110" i="1"/>
  <c r="AR1110" i="1"/>
  <c r="AS1109" i="1"/>
  <c r="AR1109" i="1"/>
  <c r="AS1108" i="1"/>
  <c r="AR1108" i="1"/>
  <c r="AS1107" i="1"/>
  <c r="AR1107" i="1"/>
  <c r="AS1106" i="1"/>
  <c r="AR1106" i="1"/>
  <c r="AS1105" i="1"/>
  <c r="AR1105" i="1"/>
  <c r="AS1104" i="1"/>
  <c r="AR1104" i="1"/>
  <c r="AS1103" i="1"/>
  <c r="AR1103" i="1"/>
  <c r="AS1102" i="1"/>
  <c r="AR1102" i="1"/>
  <c r="AS1101" i="1"/>
  <c r="AR1101" i="1"/>
  <c r="AS1100" i="1"/>
  <c r="AR1100" i="1"/>
  <c r="AS1099" i="1"/>
  <c r="AR1099" i="1"/>
  <c r="AS1098" i="1"/>
  <c r="AR1098" i="1"/>
  <c r="AS1097" i="1"/>
  <c r="AR1097" i="1"/>
  <c r="AS1096" i="1"/>
  <c r="AR1096" i="1"/>
  <c r="AS1095" i="1"/>
  <c r="AR1095" i="1"/>
  <c r="AS1094" i="1"/>
  <c r="AR1094" i="1"/>
  <c r="AS1093" i="1"/>
  <c r="AR1093" i="1"/>
  <c r="AS1092" i="1"/>
  <c r="AR1092" i="1"/>
  <c r="AS1091" i="1"/>
  <c r="AR1091" i="1"/>
  <c r="AS1090" i="1"/>
  <c r="AR1090" i="1"/>
  <c r="AS1089" i="1"/>
  <c r="AR1089" i="1"/>
  <c r="AS1088" i="1"/>
  <c r="AR1088" i="1"/>
  <c r="AS1087" i="1"/>
  <c r="AR1087" i="1"/>
  <c r="AS1086" i="1"/>
  <c r="AR1086" i="1"/>
  <c r="AS1085" i="1"/>
  <c r="AR1085" i="1"/>
  <c r="AS1084" i="1"/>
  <c r="AR1084" i="1"/>
  <c r="AS1083" i="1"/>
  <c r="AR1083" i="1"/>
  <c r="AS1082" i="1"/>
  <c r="AR1082" i="1"/>
  <c r="AS1081" i="1"/>
  <c r="AR1081" i="1"/>
  <c r="AS1080" i="1"/>
  <c r="AR1080" i="1"/>
  <c r="AS1079" i="1"/>
  <c r="AR1079" i="1"/>
  <c r="AS1078" i="1"/>
  <c r="AR1078" i="1"/>
  <c r="AS1077" i="1"/>
  <c r="AR1077" i="1"/>
  <c r="AS1076" i="1"/>
  <c r="AR1076" i="1"/>
  <c r="AS1075" i="1"/>
  <c r="AR1075" i="1"/>
  <c r="AS1074" i="1"/>
  <c r="AR1074" i="1"/>
  <c r="AS1073" i="1"/>
  <c r="AR1073" i="1"/>
  <c r="AS1072" i="1"/>
  <c r="AR1072" i="1"/>
  <c r="AS1071" i="1"/>
  <c r="AR1071" i="1"/>
  <c r="AS1070" i="1"/>
  <c r="AR1070" i="1"/>
  <c r="AS1069" i="1"/>
  <c r="AR1069" i="1"/>
  <c r="AS1068" i="1"/>
  <c r="AR1068" i="1"/>
  <c r="AS1067" i="1"/>
  <c r="AR1067" i="1"/>
  <c r="AS1066" i="1"/>
  <c r="AR1066" i="1"/>
  <c r="AS1065" i="1"/>
  <c r="AR1065" i="1"/>
  <c r="AS1064" i="1"/>
  <c r="AR1064" i="1"/>
  <c r="AS1063" i="1"/>
  <c r="AR1063" i="1"/>
  <c r="AS1062" i="1"/>
  <c r="AR1062" i="1"/>
  <c r="AS1061" i="1"/>
  <c r="AR1061" i="1"/>
  <c r="AS1060" i="1"/>
  <c r="AR1060" i="1"/>
  <c r="AS1059" i="1"/>
  <c r="AR1059" i="1"/>
  <c r="AS1058" i="1"/>
  <c r="AR1058" i="1"/>
  <c r="AS1057" i="1"/>
  <c r="AR1057" i="1"/>
  <c r="AS1056" i="1"/>
  <c r="AR1056" i="1"/>
  <c r="AS1055" i="1"/>
  <c r="AR1055" i="1"/>
  <c r="AS1054" i="1"/>
  <c r="AR1054" i="1"/>
  <c r="AS1053" i="1"/>
  <c r="AR1053" i="1"/>
  <c r="AS1052" i="1"/>
  <c r="AR1052" i="1"/>
  <c r="AS1051" i="1"/>
  <c r="AR1051" i="1"/>
  <c r="AS1050" i="1"/>
  <c r="AR1050" i="1"/>
  <c r="AS1049" i="1"/>
  <c r="AR1049" i="1"/>
  <c r="AS1048" i="1"/>
  <c r="AR1048" i="1"/>
  <c r="AS1047" i="1"/>
  <c r="AR1047" i="1"/>
  <c r="AS1046" i="1"/>
  <c r="AR1046" i="1"/>
  <c r="AS1045" i="1"/>
  <c r="AR1045" i="1"/>
  <c r="AS1044" i="1"/>
  <c r="AR1044" i="1"/>
  <c r="AS1043" i="1"/>
  <c r="AR1043" i="1"/>
  <c r="AS1042" i="1"/>
  <c r="AR1042" i="1"/>
  <c r="AS1041" i="1"/>
  <c r="AR1041" i="1"/>
  <c r="AS1040" i="1"/>
  <c r="AR1040" i="1"/>
  <c r="AS1039" i="1"/>
  <c r="AR1039" i="1"/>
  <c r="AS1038" i="1"/>
  <c r="AR1038" i="1"/>
  <c r="AS1037" i="1"/>
  <c r="AR1037" i="1"/>
  <c r="AS1036" i="1"/>
  <c r="AR1036" i="1"/>
  <c r="AS1035" i="1"/>
  <c r="AR1035" i="1"/>
  <c r="AS1034" i="1"/>
  <c r="AR1034" i="1"/>
  <c r="AS1033" i="1"/>
  <c r="AR1033" i="1"/>
  <c r="AS1032" i="1"/>
  <c r="AR1032" i="1"/>
  <c r="AS1031" i="1"/>
  <c r="AR1031" i="1"/>
  <c r="AS1030" i="1"/>
  <c r="AR1030" i="1"/>
  <c r="AS1029" i="1"/>
  <c r="AR1029" i="1"/>
  <c r="AS1028" i="1"/>
  <c r="AR1028" i="1"/>
  <c r="AS1027" i="1"/>
  <c r="AR1027" i="1"/>
  <c r="AS1026" i="1"/>
  <c r="AR1026" i="1"/>
  <c r="AS1025" i="1"/>
  <c r="AR1025" i="1"/>
  <c r="AS1024" i="1"/>
  <c r="AR1024" i="1"/>
  <c r="AS1023" i="1"/>
  <c r="AR1023" i="1"/>
  <c r="AS1022" i="1"/>
  <c r="AR1022" i="1"/>
  <c r="AS1021" i="1"/>
  <c r="AR1021" i="1"/>
  <c r="AS1020" i="1"/>
  <c r="AR1020" i="1"/>
  <c r="AS1019" i="1"/>
  <c r="AR1019" i="1"/>
  <c r="AS1018" i="1"/>
  <c r="AR1018" i="1"/>
  <c r="AS1017" i="1"/>
  <c r="AR1017" i="1"/>
  <c r="AS1016" i="1"/>
  <c r="AR1016" i="1"/>
  <c r="AS1015" i="1"/>
  <c r="AR1015" i="1"/>
  <c r="AS1014" i="1"/>
  <c r="AR1014" i="1"/>
  <c r="AS1013" i="1"/>
  <c r="AR1013" i="1"/>
  <c r="AS1012" i="1"/>
  <c r="AR1012" i="1"/>
  <c r="AS1011" i="1"/>
  <c r="AR1011" i="1"/>
  <c r="AS1010" i="1"/>
  <c r="AR1010" i="1"/>
  <c r="AS1009" i="1"/>
  <c r="AR1009" i="1"/>
  <c r="AS1008" i="1"/>
  <c r="AR1008" i="1"/>
  <c r="AS1007" i="1"/>
  <c r="AR1007" i="1"/>
  <c r="AS1006" i="1"/>
  <c r="AR1006" i="1"/>
  <c r="AS1005" i="1"/>
  <c r="AR1005" i="1"/>
  <c r="AS1004" i="1"/>
  <c r="AR1004" i="1"/>
  <c r="AS1003" i="1"/>
  <c r="AR1003" i="1"/>
  <c r="AS1002" i="1"/>
  <c r="AR1002" i="1"/>
  <c r="AS1001" i="1"/>
  <c r="AR1001" i="1"/>
  <c r="AS1000" i="1"/>
  <c r="AR1000" i="1"/>
  <c r="AS999" i="1"/>
  <c r="AR999" i="1"/>
  <c r="AS998" i="1"/>
  <c r="AR998" i="1"/>
  <c r="AS997" i="1"/>
  <c r="AR997" i="1"/>
  <c r="AS996" i="1"/>
  <c r="AR996" i="1"/>
  <c r="AS995" i="1"/>
  <c r="AR995" i="1"/>
  <c r="AS994" i="1"/>
  <c r="AR994" i="1"/>
  <c r="AS993" i="1"/>
  <c r="AR993" i="1"/>
  <c r="AS992" i="1"/>
  <c r="AR992" i="1"/>
  <c r="AS991" i="1"/>
  <c r="AR991" i="1"/>
  <c r="AS990" i="1"/>
  <c r="AR990" i="1"/>
  <c r="AS989" i="1"/>
  <c r="AR989" i="1"/>
  <c r="AS988" i="1"/>
  <c r="AR988" i="1"/>
  <c r="AS987" i="1"/>
  <c r="AR987" i="1"/>
  <c r="AS986" i="1"/>
  <c r="AR986" i="1"/>
  <c r="AS985" i="1"/>
  <c r="AR985" i="1"/>
  <c r="AS984" i="1"/>
  <c r="AR984" i="1"/>
  <c r="AS983" i="1"/>
  <c r="AR983" i="1"/>
  <c r="AS982" i="1"/>
  <c r="AR982" i="1"/>
  <c r="AS981" i="1"/>
  <c r="AR981" i="1"/>
  <c r="AS980" i="1"/>
  <c r="AR980" i="1"/>
  <c r="AS979" i="1"/>
  <c r="AR979" i="1"/>
  <c r="AS978" i="1"/>
  <c r="AR978" i="1"/>
  <c r="AS977" i="1"/>
  <c r="AR977" i="1"/>
  <c r="AS976" i="1"/>
  <c r="AR976" i="1"/>
  <c r="AS975" i="1"/>
  <c r="AR975" i="1"/>
  <c r="AS974" i="1"/>
  <c r="AR974" i="1"/>
  <c r="AS973" i="1"/>
  <c r="AR973" i="1"/>
  <c r="AS972" i="1"/>
  <c r="AR972" i="1"/>
  <c r="AS971" i="1"/>
  <c r="AR971" i="1"/>
  <c r="AS970" i="1"/>
  <c r="AR970" i="1"/>
  <c r="AS969" i="1"/>
  <c r="AR969" i="1"/>
  <c r="AS968" i="1"/>
  <c r="AR968" i="1"/>
  <c r="AS967" i="1"/>
  <c r="AR967" i="1"/>
  <c r="AS966" i="1"/>
  <c r="AR966" i="1"/>
  <c r="AS965" i="1"/>
  <c r="AR965" i="1"/>
  <c r="AS964" i="1"/>
  <c r="AR964" i="1"/>
  <c r="AS963" i="1"/>
  <c r="AR963" i="1"/>
  <c r="AS962" i="1"/>
  <c r="AR962" i="1"/>
  <c r="AS961" i="1"/>
  <c r="AR961" i="1"/>
  <c r="AS960" i="1"/>
  <c r="AR960" i="1"/>
  <c r="AS959" i="1"/>
  <c r="AR959" i="1"/>
  <c r="AS958" i="1"/>
  <c r="AR958" i="1"/>
  <c r="AS957" i="1"/>
  <c r="AR957" i="1"/>
  <c r="AS956" i="1"/>
  <c r="AR956" i="1"/>
  <c r="AS955" i="1"/>
  <c r="AR955" i="1"/>
  <c r="AS954" i="1"/>
  <c r="AR954" i="1"/>
  <c r="AS953" i="1"/>
  <c r="AR953" i="1"/>
  <c r="AS952" i="1"/>
  <c r="AR952" i="1"/>
  <c r="AS951" i="1"/>
  <c r="AR951" i="1"/>
  <c r="AS950" i="1"/>
  <c r="AR950" i="1"/>
  <c r="AS949" i="1"/>
  <c r="AR949" i="1"/>
  <c r="AS948" i="1"/>
  <c r="AR948" i="1"/>
  <c r="AS947" i="1"/>
  <c r="AR947" i="1"/>
  <c r="AS946" i="1"/>
  <c r="AR946" i="1"/>
  <c r="AS945" i="1"/>
  <c r="AR945" i="1"/>
  <c r="AS944" i="1"/>
  <c r="AR944" i="1"/>
  <c r="AS943" i="1"/>
  <c r="AR943" i="1"/>
  <c r="AS942" i="1"/>
  <c r="AR942" i="1"/>
  <c r="AS941" i="1"/>
  <c r="AR941" i="1"/>
  <c r="AS940" i="1"/>
  <c r="AR940" i="1"/>
  <c r="AS939" i="1"/>
  <c r="AR939" i="1"/>
  <c r="AS938" i="1"/>
  <c r="AR938" i="1"/>
  <c r="AS937" i="1"/>
  <c r="AR937" i="1"/>
  <c r="AS936" i="1"/>
  <c r="AR936" i="1"/>
  <c r="AS935" i="1"/>
  <c r="AR935" i="1"/>
  <c r="AS934" i="1"/>
  <c r="AR934" i="1"/>
  <c r="AS933" i="1"/>
  <c r="AR933" i="1"/>
  <c r="AS932" i="1"/>
  <c r="AR932" i="1"/>
  <c r="AS931" i="1"/>
  <c r="AR931" i="1"/>
  <c r="AS930" i="1"/>
  <c r="AR930" i="1"/>
  <c r="AS929" i="1"/>
  <c r="AR929" i="1"/>
  <c r="AS928" i="1"/>
  <c r="AR928" i="1"/>
  <c r="AS927" i="1"/>
  <c r="AR927" i="1"/>
  <c r="AS926" i="1"/>
  <c r="AR926" i="1"/>
  <c r="AS925" i="1"/>
  <c r="AR925" i="1"/>
  <c r="AS924" i="1"/>
  <c r="AR924" i="1"/>
  <c r="AS923" i="1"/>
  <c r="AR923" i="1"/>
  <c r="AS922" i="1"/>
  <c r="AR922" i="1"/>
  <c r="AS921" i="1"/>
  <c r="AR921" i="1"/>
  <c r="AS920" i="1"/>
  <c r="AR920" i="1"/>
  <c r="AS919" i="1"/>
  <c r="AR919" i="1"/>
  <c r="AS918" i="1"/>
  <c r="AR918" i="1"/>
  <c r="AS917" i="1"/>
  <c r="AR917" i="1"/>
  <c r="AS916" i="1"/>
  <c r="AR916" i="1"/>
  <c r="AS915" i="1"/>
  <c r="AR915" i="1"/>
  <c r="AS914" i="1"/>
  <c r="AR914" i="1"/>
  <c r="AS913" i="1"/>
  <c r="AR913" i="1"/>
  <c r="AS912" i="1"/>
  <c r="AR912" i="1"/>
  <c r="AS911" i="1"/>
  <c r="AR911" i="1"/>
  <c r="AS910" i="1"/>
  <c r="AR910" i="1"/>
  <c r="AS909" i="1"/>
  <c r="AR909" i="1"/>
  <c r="AS908" i="1"/>
  <c r="AR908" i="1"/>
  <c r="AS907" i="1"/>
  <c r="AR907" i="1"/>
  <c r="AS906" i="1"/>
  <c r="AR906" i="1"/>
  <c r="AS905" i="1"/>
  <c r="AR905" i="1"/>
  <c r="AS904" i="1"/>
  <c r="AR904" i="1"/>
  <c r="AS903" i="1"/>
  <c r="AR903" i="1"/>
  <c r="AS902" i="1"/>
  <c r="AR902" i="1"/>
  <c r="AS901" i="1"/>
  <c r="AR901" i="1"/>
  <c r="AS900" i="1"/>
  <c r="AR900" i="1"/>
  <c r="AS899" i="1"/>
  <c r="AR899" i="1"/>
  <c r="AS898" i="1"/>
  <c r="AR898" i="1"/>
  <c r="AS897" i="1"/>
  <c r="AR897" i="1"/>
  <c r="AS896" i="1"/>
  <c r="AR896" i="1"/>
  <c r="AS895" i="1"/>
  <c r="AR895" i="1"/>
  <c r="AS894" i="1"/>
  <c r="AR894" i="1"/>
  <c r="AS893" i="1"/>
  <c r="AR893" i="1"/>
  <c r="AS892" i="1"/>
  <c r="AR892" i="1"/>
  <c r="AS891" i="1"/>
  <c r="AR891" i="1"/>
  <c r="AS890" i="1"/>
  <c r="AR890" i="1"/>
  <c r="AS889" i="1"/>
  <c r="AR889" i="1"/>
  <c r="AS888" i="1"/>
  <c r="AR888" i="1"/>
  <c r="AS887" i="1"/>
  <c r="AR887" i="1"/>
  <c r="AS886" i="1"/>
  <c r="AR886" i="1"/>
  <c r="AS885" i="1"/>
  <c r="AR885" i="1"/>
  <c r="AS884" i="1"/>
  <c r="AR884" i="1"/>
  <c r="AS883" i="1"/>
  <c r="AR883" i="1"/>
  <c r="AS882" i="1"/>
  <c r="AR882" i="1"/>
  <c r="AS881" i="1"/>
  <c r="AR881" i="1"/>
  <c r="AS880" i="1"/>
  <c r="AR880" i="1"/>
  <c r="AS879" i="1"/>
  <c r="AR879" i="1"/>
  <c r="AS878" i="1"/>
  <c r="AR878" i="1"/>
  <c r="AS877" i="1"/>
  <c r="AR877" i="1"/>
  <c r="AS876" i="1"/>
  <c r="AR876" i="1"/>
  <c r="AS875" i="1"/>
  <c r="AR875" i="1"/>
  <c r="AS874" i="1"/>
  <c r="AR874" i="1"/>
  <c r="AS873" i="1"/>
  <c r="AR873" i="1"/>
  <c r="AS872" i="1"/>
  <c r="AR872" i="1"/>
  <c r="AS871" i="1"/>
  <c r="AR871" i="1"/>
  <c r="AS870" i="1"/>
  <c r="AR870" i="1"/>
  <c r="AS869" i="1"/>
  <c r="AR869" i="1"/>
  <c r="AS868" i="1"/>
  <c r="AR868" i="1"/>
  <c r="AS867" i="1"/>
  <c r="AR867" i="1"/>
  <c r="AS866" i="1"/>
  <c r="AR866" i="1"/>
  <c r="AS865" i="1"/>
  <c r="AR865" i="1"/>
  <c r="AS864" i="1"/>
  <c r="AR864" i="1"/>
  <c r="AS863" i="1"/>
  <c r="AR863" i="1"/>
  <c r="AS862" i="1"/>
  <c r="AR862" i="1"/>
  <c r="AS861" i="1"/>
  <c r="AR861" i="1"/>
  <c r="AS860" i="1"/>
  <c r="AR860" i="1"/>
  <c r="AS859" i="1"/>
  <c r="AR859" i="1"/>
  <c r="AS858" i="1"/>
  <c r="AR858" i="1"/>
  <c r="AS857" i="1"/>
  <c r="AR857" i="1"/>
  <c r="AS856" i="1"/>
  <c r="AR856" i="1"/>
  <c r="AS855" i="1"/>
  <c r="AR855" i="1"/>
  <c r="AS854" i="1"/>
  <c r="AR854" i="1"/>
  <c r="AS853" i="1"/>
  <c r="AR853" i="1"/>
  <c r="AS852" i="1"/>
  <c r="AR852" i="1"/>
  <c r="AS851" i="1"/>
  <c r="AR851" i="1"/>
  <c r="AS850" i="1"/>
  <c r="AR850" i="1"/>
  <c r="AS849" i="1"/>
  <c r="AR849" i="1"/>
  <c r="AS848" i="1"/>
  <c r="AR848" i="1"/>
  <c r="AS847" i="1"/>
  <c r="AR847" i="1"/>
  <c r="AS846" i="1"/>
  <c r="AR846" i="1"/>
  <c r="AS845" i="1"/>
  <c r="AR845" i="1"/>
  <c r="AS844" i="1"/>
  <c r="AR844" i="1"/>
  <c r="AS843" i="1"/>
  <c r="AR843" i="1"/>
  <c r="AS842" i="1"/>
  <c r="AR842" i="1"/>
  <c r="AS841" i="1"/>
  <c r="AR841" i="1"/>
  <c r="AS840" i="1"/>
  <c r="AR840" i="1"/>
  <c r="AS839" i="1"/>
  <c r="AR839" i="1"/>
  <c r="AS838" i="1"/>
  <c r="AR838" i="1"/>
  <c r="AS837" i="1"/>
  <c r="AR837" i="1"/>
  <c r="AS836" i="1"/>
  <c r="AR836" i="1"/>
  <c r="AS835" i="1"/>
  <c r="AR835" i="1"/>
  <c r="AS834" i="1"/>
  <c r="AR834" i="1"/>
  <c r="AS833" i="1"/>
  <c r="AR833" i="1"/>
  <c r="AS832" i="1"/>
  <c r="AR832" i="1"/>
  <c r="AS831" i="1"/>
  <c r="AR831" i="1"/>
  <c r="AS830" i="1"/>
  <c r="AR830" i="1"/>
  <c r="AS829" i="1"/>
  <c r="AR829" i="1"/>
  <c r="AS828" i="1"/>
  <c r="AR828" i="1"/>
  <c r="AS827" i="1"/>
  <c r="AR827" i="1"/>
  <c r="AS826" i="1"/>
  <c r="AR826" i="1"/>
  <c r="AS825" i="1"/>
  <c r="AR825" i="1"/>
  <c r="AS824" i="1"/>
  <c r="AR824" i="1"/>
  <c r="AS823" i="1"/>
  <c r="AR823" i="1"/>
  <c r="AS822" i="1"/>
  <c r="AR822" i="1"/>
  <c r="AS821" i="1"/>
  <c r="AR821" i="1"/>
  <c r="AS820" i="1"/>
  <c r="AR820" i="1"/>
  <c r="AS819" i="1"/>
  <c r="AR819" i="1"/>
  <c r="AS818" i="1"/>
  <c r="AR818" i="1"/>
  <c r="AS817" i="1"/>
  <c r="AR817" i="1"/>
  <c r="AS816" i="1"/>
  <c r="AR816" i="1"/>
  <c r="AS815" i="1"/>
  <c r="AR815" i="1"/>
  <c r="AS814" i="1"/>
  <c r="AR814" i="1"/>
  <c r="AS813" i="1"/>
  <c r="AR813" i="1"/>
  <c r="AS812" i="1"/>
  <c r="AR812" i="1"/>
  <c r="AS811" i="1"/>
  <c r="AR811" i="1"/>
  <c r="AS810" i="1"/>
  <c r="AR810" i="1"/>
  <c r="AS809" i="1"/>
  <c r="AR809" i="1"/>
  <c r="AS808" i="1"/>
  <c r="AR808" i="1"/>
  <c r="AS807" i="1"/>
  <c r="AR807" i="1"/>
  <c r="AS806" i="1"/>
  <c r="AR806" i="1"/>
  <c r="AS805" i="1"/>
  <c r="AR805" i="1"/>
  <c r="AS804" i="1"/>
  <c r="AR804" i="1"/>
  <c r="AS803" i="1"/>
  <c r="AR803" i="1"/>
  <c r="AS802" i="1"/>
  <c r="AR802" i="1"/>
  <c r="AS801" i="1"/>
  <c r="AR801" i="1"/>
  <c r="AS800" i="1"/>
  <c r="AR800" i="1"/>
  <c r="AS799" i="1"/>
  <c r="AR799" i="1"/>
  <c r="AS798" i="1"/>
  <c r="AR798" i="1"/>
  <c r="AS797" i="1"/>
  <c r="AR797" i="1"/>
  <c r="AS796" i="1"/>
  <c r="AR796" i="1"/>
  <c r="AS795" i="1"/>
  <c r="AR795" i="1"/>
  <c r="AS794" i="1"/>
  <c r="AR794" i="1"/>
  <c r="AS793" i="1"/>
  <c r="AR793" i="1"/>
  <c r="AS792" i="1"/>
  <c r="AR792" i="1"/>
  <c r="AS791" i="1"/>
  <c r="AR791" i="1"/>
  <c r="AS790" i="1"/>
  <c r="AR790" i="1"/>
  <c r="AS789" i="1"/>
  <c r="AR789" i="1"/>
  <c r="AS788" i="1"/>
  <c r="AR788" i="1"/>
  <c r="AS787" i="1"/>
  <c r="AR787" i="1"/>
  <c r="AS786" i="1"/>
  <c r="AR786" i="1"/>
  <c r="AS785" i="1"/>
  <c r="AR785" i="1"/>
  <c r="AS784" i="1"/>
  <c r="AR784" i="1"/>
  <c r="AS783" i="1"/>
  <c r="AR783" i="1"/>
  <c r="AS782" i="1"/>
  <c r="AR782" i="1"/>
  <c r="AS781" i="1"/>
  <c r="AR781" i="1"/>
  <c r="AS780" i="1"/>
  <c r="AR780" i="1"/>
  <c r="AS779" i="1"/>
  <c r="AR779" i="1"/>
  <c r="AS778" i="1"/>
  <c r="AR778" i="1"/>
  <c r="AS777" i="1"/>
  <c r="AR777" i="1"/>
  <c r="AS776" i="1"/>
  <c r="AR776" i="1"/>
  <c r="AS775" i="1"/>
  <c r="AR775" i="1"/>
  <c r="AS774" i="1"/>
  <c r="AR774" i="1"/>
  <c r="AS773" i="1"/>
  <c r="AR773" i="1"/>
  <c r="AS772" i="1"/>
  <c r="AR772" i="1"/>
  <c r="AS771" i="1"/>
  <c r="AR771" i="1"/>
  <c r="AS770" i="1"/>
  <c r="AR770" i="1"/>
  <c r="AS769" i="1"/>
  <c r="AR769" i="1"/>
  <c r="AS768" i="1"/>
  <c r="AR768" i="1"/>
  <c r="AS767" i="1"/>
  <c r="AR767" i="1"/>
  <c r="AS766" i="1"/>
  <c r="AR766" i="1"/>
  <c r="AS765" i="1"/>
  <c r="AR765" i="1"/>
  <c r="AS764" i="1"/>
  <c r="AR764" i="1"/>
  <c r="AS763" i="1"/>
  <c r="AR763" i="1"/>
  <c r="AS762" i="1"/>
  <c r="AR762" i="1"/>
  <c r="AS761" i="1"/>
  <c r="AR761" i="1"/>
  <c r="AS760" i="1"/>
  <c r="AR760" i="1"/>
  <c r="AS759" i="1"/>
  <c r="AR759" i="1"/>
  <c r="AS758" i="1"/>
  <c r="AR758" i="1"/>
  <c r="AS757" i="1"/>
  <c r="AR757" i="1"/>
  <c r="AS756" i="1"/>
  <c r="AR756" i="1"/>
  <c r="AS755" i="1"/>
  <c r="AR755" i="1"/>
  <c r="AS754" i="1"/>
  <c r="AR754" i="1"/>
  <c r="AS753" i="1"/>
  <c r="AR753" i="1"/>
  <c r="AS752" i="1"/>
  <c r="AR752" i="1"/>
  <c r="AS751" i="1"/>
  <c r="AR751" i="1"/>
  <c r="AS750" i="1"/>
  <c r="AR750" i="1"/>
  <c r="AS749" i="1"/>
  <c r="AR749" i="1"/>
  <c r="AS748" i="1"/>
  <c r="AR748" i="1"/>
  <c r="AS747" i="1"/>
  <c r="AR747" i="1"/>
  <c r="AS746" i="1"/>
  <c r="AR746" i="1"/>
  <c r="AS745" i="1"/>
  <c r="AR745" i="1"/>
  <c r="AS744" i="1"/>
  <c r="AR744" i="1"/>
  <c r="AS743" i="1"/>
  <c r="AR743" i="1"/>
  <c r="AS742" i="1"/>
  <c r="AR742" i="1"/>
  <c r="AS741" i="1"/>
  <c r="AR741" i="1"/>
  <c r="AS740" i="1"/>
  <c r="AR740" i="1"/>
  <c r="AS739" i="1"/>
  <c r="AR739" i="1"/>
  <c r="AS738" i="1"/>
  <c r="AR738" i="1"/>
  <c r="AS737" i="1"/>
  <c r="AR737" i="1"/>
  <c r="AS736" i="1"/>
  <c r="AR736" i="1"/>
  <c r="AS735" i="1"/>
  <c r="AR735" i="1"/>
  <c r="AS734" i="1"/>
  <c r="AR734" i="1"/>
  <c r="AS733" i="1"/>
  <c r="AR733" i="1"/>
  <c r="AS732" i="1"/>
  <c r="AR732" i="1"/>
  <c r="AS731" i="1"/>
  <c r="AR731" i="1"/>
  <c r="AS730" i="1"/>
  <c r="AR730" i="1"/>
  <c r="AS729" i="1"/>
  <c r="AR729" i="1"/>
  <c r="AS728" i="1"/>
  <c r="AR728" i="1"/>
  <c r="AS727" i="1"/>
  <c r="AR727" i="1"/>
  <c r="AS726" i="1"/>
  <c r="AR726" i="1"/>
  <c r="AS725" i="1"/>
  <c r="AR725" i="1"/>
  <c r="AS724" i="1"/>
  <c r="AR724" i="1"/>
  <c r="AS723" i="1"/>
  <c r="AR723" i="1"/>
  <c r="AS722" i="1"/>
  <c r="AR722" i="1"/>
  <c r="AS721" i="1"/>
  <c r="AR721" i="1"/>
  <c r="AS720" i="1"/>
  <c r="AR720" i="1"/>
  <c r="AS719" i="1"/>
  <c r="AR719" i="1"/>
  <c r="AS718" i="1"/>
  <c r="AR718" i="1"/>
  <c r="AS717" i="1"/>
  <c r="AR717" i="1"/>
  <c r="AS716" i="1"/>
  <c r="AR716" i="1"/>
  <c r="AS715" i="1"/>
  <c r="AR715" i="1"/>
  <c r="AS714" i="1"/>
  <c r="AR714" i="1"/>
  <c r="AS713" i="1"/>
  <c r="AR713" i="1"/>
  <c r="AS712" i="1"/>
  <c r="AR712" i="1"/>
  <c r="AS711" i="1"/>
  <c r="AR711" i="1"/>
  <c r="AS710" i="1"/>
  <c r="AR710" i="1"/>
  <c r="AS709" i="1"/>
  <c r="AR709" i="1"/>
  <c r="AS708" i="1"/>
  <c r="AR708" i="1"/>
  <c r="AS707" i="1"/>
  <c r="AR707" i="1"/>
  <c r="AS706" i="1"/>
  <c r="AR706" i="1"/>
  <c r="AS705" i="1"/>
  <c r="AR705" i="1"/>
  <c r="AS704" i="1"/>
  <c r="AR704" i="1"/>
  <c r="AS703" i="1"/>
  <c r="AR703" i="1"/>
  <c r="AS702" i="1"/>
  <c r="AR702" i="1"/>
  <c r="AS701" i="1"/>
  <c r="AR701" i="1"/>
  <c r="AS700" i="1"/>
  <c r="AR700" i="1"/>
  <c r="AS699" i="1"/>
  <c r="AR699" i="1"/>
  <c r="AS698" i="1"/>
  <c r="AR698" i="1"/>
  <c r="AS697" i="1"/>
  <c r="AR697" i="1"/>
  <c r="AS696" i="1"/>
  <c r="AR696" i="1"/>
  <c r="AS695" i="1"/>
  <c r="AR695" i="1"/>
  <c r="AS694" i="1"/>
  <c r="AR694" i="1"/>
  <c r="AS693" i="1"/>
  <c r="AR693" i="1"/>
  <c r="AS692" i="1"/>
  <c r="AR692" i="1"/>
  <c r="AS691" i="1"/>
  <c r="AR691" i="1"/>
  <c r="AS690" i="1"/>
  <c r="AR690" i="1"/>
  <c r="AS689" i="1"/>
  <c r="AR689" i="1"/>
  <c r="AS688" i="1"/>
  <c r="AR688" i="1"/>
  <c r="AS687" i="1"/>
  <c r="AR687" i="1"/>
  <c r="AS686" i="1"/>
  <c r="AR686" i="1"/>
  <c r="AS685" i="1"/>
  <c r="AR685" i="1"/>
  <c r="AS684" i="1"/>
  <c r="AR684" i="1"/>
  <c r="AS683" i="1"/>
  <c r="AR683" i="1"/>
  <c r="AS682" i="1"/>
  <c r="AR682" i="1"/>
  <c r="AS681" i="1"/>
  <c r="AR681" i="1"/>
  <c r="AS680" i="1"/>
  <c r="AR680" i="1"/>
  <c r="AS679" i="1"/>
  <c r="AR679" i="1"/>
  <c r="AS678" i="1"/>
  <c r="AR678" i="1"/>
  <c r="AS677" i="1"/>
  <c r="AR677" i="1"/>
  <c r="AS676" i="1"/>
  <c r="AR676" i="1"/>
  <c r="AS675" i="1"/>
  <c r="AR675" i="1"/>
  <c r="AS674" i="1"/>
  <c r="AR674" i="1"/>
  <c r="AS673" i="1"/>
  <c r="AR673" i="1"/>
  <c r="AS672" i="1"/>
  <c r="AR672" i="1"/>
  <c r="AS671" i="1"/>
  <c r="AR671" i="1"/>
  <c r="AS670" i="1"/>
  <c r="AR670" i="1"/>
  <c r="AS669" i="1"/>
  <c r="AR669" i="1"/>
  <c r="AS668" i="1"/>
  <c r="AR668" i="1"/>
  <c r="AS667" i="1"/>
  <c r="AR667" i="1"/>
  <c r="AS666" i="1"/>
  <c r="AR666" i="1"/>
  <c r="AS665" i="1"/>
  <c r="AR665" i="1"/>
  <c r="AS664" i="1"/>
  <c r="AR664" i="1"/>
  <c r="AS663" i="1"/>
  <c r="AR663" i="1"/>
  <c r="AS662" i="1"/>
  <c r="AR662" i="1"/>
  <c r="AS661" i="1"/>
  <c r="AR661" i="1"/>
  <c r="AS660" i="1"/>
  <c r="AR660" i="1"/>
  <c r="AS659" i="1"/>
  <c r="AR659" i="1"/>
  <c r="AS658" i="1"/>
  <c r="AR658" i="1"/>
  <c r="AS657" i="1"/>
  <c r="AR657" i="1"/>
  <c r="AS656" i="1"/>
  <c r="AR656" i="1"/>
  <c r="AS655" i="1"/>
  <c r="AR655" i="1"/>
  <c r="AS654" i="1"/>
  <c r="AR654" i="1"/>
  <c r="AS653" i="1"/>
  <c r="AR653" i="1"/>
  <c r="AS652" i="1"/>
  <c r="AR652" i="1"/>
  <c r="AS651" i="1"/>
  <c r="AR651" i="1"/>
  <c r="AS650" i="1"/>
  <c r="AR650" i="1"/>
  <c r="AS649" i="1"/>
  <c r="AR649" i="1"/>
  <c r="AS648" i="1"/>
  <c r="AR648" i="1"/>
  <c r="AS647" i="1"/>
  <c r="AR647" i="1"/>
  <c r="AS646" i="1"/>
  <c r="AR646" i="1"/>
  <c r="AS645" i="1"/>
  <c r="AR645" i="1"/>
  <c r="AS644" i="1"/>
  <c r="AR644" i="1"/>
  <c r="AS643" i="1"/>
  <c r="AR643" i="1"/>
  <c r="AS642" i="1"/>
  <c r="AR642" i="1"/>
  <c r="AS641" i="1"/>
  <c r="AR641" i="1"/>
  <c r="AS640" i="1"/>
  <c r="AR640" i="1"/>
  <c r="AS639" i="1"/>
  <c r="AR639" i="1"/>
  <c r="AS638" i="1"/>
  <c r="AR638" i="1"/>
  <c r="AS637" i="1"/>
  <c r="AR637" i="1"/>
  <c r="AS636" i="1"/>
  <c r="AR636" i="1"/>
  <c r="AS635" i="1"/>
  <c r="AR635" i="1"/>
  <c r="AS634" i="1"/>
  <c r="AR634" i="1"/>
  <c r="AS633" i="1"/>
  <c r="AR633" i="1"/>
  <c r="AS632" i="1"/>
  <c r="AR632" i="1"/>
  <c r="AS631" i="1"/>
  <c r="AR631" i="1"/>
  <c r="AS630" i="1"/>
  <c r="AR630" i="1"/>
  <c r="AS629" i="1"/>
  <c r="AR629" i="1"/>
  <c r="AS628" i="1"/>
  <c r="AR628" i="1"/>
  <c r="AS627" i="1"/>
  <c r="AR627" i="1"/>
  <c r="AS626" i="1"/>
  <c r="AR626" i="1"/>
  <c r="AS625" i="1"/>
  <c r="AR625" i="1"/>
  <c r="AS624" i="1"/>
  <c r="AR624" i="1"/>
  <c r="AS623" i="1"/>
  <c r="AR623" i="1"/>
  <c r="AS622" i="1"/>
  <c r="AR622" i="1"/>
  <c r="AS621" i="1"/>
  <c r="AR621" i="1"/>
  <c r="AS620" i="1"/>
  <c r="AR620" i="1"/>
  <c r="AS619" i="1"/>
  <c r="AR619" i="1"/>
  <c r="AS618" i="1"/>
  <c r="AR618" i="1"/>
  <c r="AS617" i="1"/>
  <c r="AR617" i="1"/>
  <c r="AS616" i="1"/>
  <c r="AR616" i="1"/>
  <c r="AS615" i="1"/>
  <c r="AR615" i="1"/>
  <c r="AS614" i="1"/>
  <c r="AR614" i="1"/>
  <c r="AS613" i="1"/>
  <c r="AR613" i="1"/>
  <c r="AS612" i="1"/>
  <c r="AR612" i="1"/>
  <c r="AS611" i="1"/>
  <c r="AR611" i="1"/>
  <c r="AS610" i="1"/>
  <c r="AR610" i="1"/>
  <c r="AS609" i="1"/>
  <c r="AR609" i="1"/>
  <c r="AS608" i="1"/>
  <c r="AR608" i="1"/>
  <c r="AS607" i="1"/>
  <c r="AR607" i="1"/>
  <c r="AS606" i="1"/>
  <c r="AR606" i="1"/>
  <c r="AS605" i="1"/>
  <c r="AR605" i="1"/>
  <c r="AS604" i="1"/>
  <c r="AR604" i="1"/>
  <c r="AS603" i="1"/>
  <c r="AR603" i="1"/>
  <c r="AS602" i="1"/>
  <c r="AR602" i="1"/>
  <c r="AS601" i="1"/>
  <c r="AR601" i="1"/>
  <c r="AS600" i="1"/>
  <c r="AR600" i="1"/>
  <c r="AS599" i="1"/>
  <c r="AR599" i="1"/>
  <c r="AS598" i="1"/>
  <c r="AR598" i="1"/>
  <c r="AS597" i="1"/>
  <c r="AR597" i="1"/>
  <c r="AS596" i="1"/>
  <c r="AR596" i="1"/>
  <c r="AS595" i="1"/>
  <c r="AR595" i="1"/>
  <c r="AS594" i="1"/>
  <c r="AR594" i="1"/>
  <c r="AS593" i="1"/>
  <c r="AR593" i="1"/>
  <c r="AS592" i="1"/>
  <c r="AR592" i="1"/>
  <c r="AS591" i="1"/>
  <c r="AR591" i="1"/>
  <c r="AS590" i="1"/>
  <c r="AR590" i="1"/>
  <c r="AS589" i="1"/>
  <c r="AR589" i="1"/>
  <c r="AS588" i="1"/>
  <c r="AR588" i="1"/>
  <c r="AS587" i="1"/>
  <c r="AR587" i="1"/>
  <c r="AS586" i="1"/>
  <c r="AR586" i="1"/>
  <c r="AS585" i="1"/>
  <c r="AR585" i="1"/>
  <c r="AS584" i="1"/>
  <c r="AR584" i="1"/>
  <c r="AS583" i="1"/>
  <c r="AR583" i="1"/>
  <c r="AS582" i="1"/>
  <c r="AR582" i="1"/>
  <c r="AS581" i="1"/>
  <c r="AR581" i="1"/>
  <c r="AS580" i="1"/>
  <c r="AR580" i="1"/>
  <c r="AS579" i="1"/>
  <c r="AR579" i="1"/>
  <c r="AS578" i="1"/>
  <c r="AR578" i="1"/>
  <c r="AS577" i="1"/>
  <c r="AR577" i="1"/>
  <c r="AS576" i="1"/>
  <c r="AR576" i="1"/>
  <c r="AS575" i="1"/>
  <c r="AR575" i="1"/>
  <c r="AS574" i="1"/>
  <c r="AR574" i="1"/>
  <c r="AS573" i="1"/>
  <c r="AR573" i="1"/>
  <c r="AS572" i="1"/>
  <c r="AR572" i="1"/>
  <c r="AS571" i="1"/>
  <c r="AR571" i="1"/>
  <c r="AS570" i="1"/>
  <c r="AR570" i="1"/>
  <c r="AS569" i="1"/>
  <c r="AR569" i="1"/>
  <c r="AS568" i="1"/>
  <c r="AR568" i="1"/>
  <c r="AS567" i="1"/>
  <c r="AR567" i="1"/>
  <c r="AS566" i="1"/>
  <c r="AR566" i="1"/>
  <c r="AS565" i="1"/>
  <c r="AR565" i="1"/>
  <c r="AS564" i="1"/>
  <c r="AR564" i="1"/>
  <c r="AS563" i="1"/>
  <c r="AR563" i="1"/>
  <c r="AS562" i="1"/>
  <c r="AR562" i="1"/>
  <c r="AS561" i="1"/>
  <c r="AR561" i="1"/>
  <c r="AS560" i="1"/>
  <c r="AR560" i="1"/>
  <c r="AS559" i="1"/>
  <c r="AR559" i="1"/>
  <c r="AS558" i="1"/>
  <c r="AR558" i="1"/>
  <c r="AS557" i="1"/>
  <c r="AR557" i="1"/>
  <c r="AS556" i="1"/>
  <c r="AR556" i="1"/>
  <c r="AS555" i="1"/>
  <c r="AR555" i="1"/>
  <c r="AS554" i="1"/>
  <c r="AR554" i="1"/>
  <c r="AS553" i="1"/>
  <c r="AR553" i="1"/>
  <c r="AS552" i="1"/>
  <c r="AR552" i="1"/>
  <c r="AS551" i="1"/>
  <c r="AR551" i="1"/>
  <c r="AS550" i="1"/>
  <c r="AR550" i="1"/>
  <c r="AS549" i="1"/>
  <c r="AR549" i="1"/>
  <c r="AS548" i="1"/>
  <c r="AR548" i="1"/>
  <c r="AS547" i="1"/>
  <c r="AR547" i="1"/>
  <c r="AS546" i="1"/>
  <c r="AR546" i="1"/>
  <c r="AS545" i="1"/>
  <c r="AR545" i="1"/>
  <c r="AS544" i="1"/>
  <c r="AR544" i="1"/>
  <c r="AS543" i="1"/>
  <c r="AR543" i="1"/>
  <c r="AS542" i="1"/>
  <c r="AR542" i="1"/>
  <c r="AS541" i="1"/>
  <c r="AR541" i="1"/>
  <c r="AS540" i="1"/>
  <c r="AR540" i="1"/>
  <c r="AS539" i="1"/>
  <c r="AR539" i="1"/>
  <c r="AS538" i="1"/>
  <c r="AR538" i="1"/>
  <c r="AS537" i="1"/>
  <c r="AR537" i="1"/>
  <c r="AS536" i="1"/>
  <c r="AR536" i="1"/>
  <c r="AS535" i="1"/>
  <c r="AR535" i="1"/>
  <c r="AS534" i="1"/>
  <c r="AR534" i="1"/>
  <c r="AS533" i="1"/>
  <c r="AR533" i="1"/>
  <c r="AS532" i="1"/>
  <c r="AR532" i="1"/>
  <c r="AS531" i="1"/>
  <c r="AR531" i="1"/>
  <c r="AS530" i="1"/>
  <c r="AR530" i="1"/>
  <c r="AS529" i="1"/>
  <c r="AR529" i="1"/>
  <c r="AS528" i="1"/>
  <c r="AR528" i="1"/>
  <c r="AS527" i="1"/>
  <c r="AR527" i="1"/>
  <c r="AS526" i="1"/>
  <c r="AR526" i="1"/>
  <c r="AS525" i="1"/>
  <c r="AR525" i="1"/>
  <c r="AS524" i="1"/>
  <c r="AR524" i="1"/>
  <c r="AS523" i="1"/>
  <c r="AR523" i="1"/>
  <c r="AS522" i="1"/>
  <c r="AR522" i="1"/>
  <c r="AS521" i="1"/>
  <c r="AR521" i="1"/>
  <c r="AS520" i="1"/>
  <c r="AR520" i="1"/>
  <c r="AS519" i="1"/>
  <c r="AR519" i="1"/>
  <c r="AS518" i="1"/>
  <c r="AR518" i="1"/>
  <c r="AS517" i="1"/>
  <c r="AR517" i="1"/>
  <c r="AS516" i="1"/>
  <c r="AR516" i="1"/>
  <c r="AS515" i="1"/>
  <c r="AR515" i="1"/>
  <c r="AS514" i="1"/>
  <c r="AR514" i="1"/>
  <c r="AS513" i="1"/>
  <c r="AR513" i="1"/>
  <c r="AS512" i="1"/>
  <c r="AR512" i="1"/>
  <c r="AS511" i="1"/>
  <c r="AR511" i="1"/>
  <c r="AS510" i="1"/>
  <c r="AR510" i="1"/>
  <c r="AS509" i="1"/>
  <c r="AR509" i="1"/>
  <c r="AS508" i="1"/>
  <c r="AR508" i="1"/>
  <c r="AS507" i="1"/>
  <c r="AR507" i="1"/>
  <c r="AS506" i="1"/>
  <c r="AR506" i="1"/>
  <c r="AS505" i="1"/>
  <c r="AR505" i="1"/>
  <c r="AS504" i="1"/>
  <c r="AR504" i="1"/>
  <c r="AS503" i="1"/>
  <c r="AR503" i="1"/>
  <c r="AS502" i="1"/>
  <c r="AR502" i="1"/>
  <c r="AS501" i="1"/>
  <c r="AR501" i="1"/>
  <c r="AS500" i="1"/>
  <c r="AR500" i="1"/>
  <c r="AS499" i="1"/>
  <c r="AR499" i="1"/>
  <c r="AS498" i="1"/>
  <c r="AR498" i="1"/>
  <c r="AS497" i="1"/>
  <c r="AR497" i="1"/>
  <c r="AS496" i="1"/>
  <c r="AR496" i="1"/>
  <c r="AS495" i="1"/>
  <c r="AR495" i="1"/>
  <c r="AS494" i="1"/>
  <c r="AR494" i="1"/>
  <c r="AS493" i="1"/>
  <c r="AR493" i="1"/>
  <c r="AS492" i="1"/>
  <c r="AR492" i="1"/>
  <c r="AS491" i="1"/>
  <c r="AR491" i="1"/>
  <c r="AS490" i="1"/>
  <c r="AR490" i="1"/>
  <c r="AS489" i="1"/>
  <c r="AR489" i="1"/>
  <c r="AS488" i="1"/>
  <c r="AR488" i="1"/>
  <c r="AS487" i="1"/>
  <c r="AR487" i="1"/>
  <c r="AS486" i="1"/>
  <c r="AR486" i="1"/>
  <c r="AS485" i="1"/>
  <c r="AR485" i="1"/>
  <c r="AS484" i="1"/>
  <c r="AR484" i="1"/>
  <c r="AS483" i="1"/>
  <c r="AR483" i="1"/>
  <c r="AS482" i="1"/>
  <c r="AR482" i="1"/>
  <c r="AS481" i="1"/>
  <c r="AR481" i="1"/>
  <c r="AS480" i="1"/>
  <c r="AR480" i="1"/>
  <c r="AS479" i="1"/>
  <c r="AR479" i="1"/>
  <c r="AS478" i="1"/>
  <c r="AR478" i="1"/>
  <c r="AS477" i="1"/>
  <c r="AR477" i="1"/>
  <c r="AS476" i="1"/>
  <c r="AR476" i="1"/>
  <c r="AS475" i="1"/>
  <c r="AR475" i="1"/>
  <c r="AS474" i="1"/>
  <c r="AR474" i="1"/>
  <c r="AS473" i="1"/>
  <c r="AR473" i="1"/>
  <c r="AS472" i="1"/>
  <c r="AR472" i="1"/>
  <c r="AS471" i="1"/>
  <c r="AR471" i="1"/>
  <c r="AS470" i="1"/>
  <c r="AR470" i="1"/>
  <c r="AS469" i="1"/>
  <c r="AR469" i="1"/>
  <c r="AS468" i="1"/>
  <c r="AR468" i="1"/>
  <c r="AS467" i="1"/>
  <c r="AR467" i="1"/>
  <c r="AS466" i="1"/>
  <c r="AR466" i="1"/>
  <c r="AS465" i="1"/>
  <c r="AR465" i="1"/>
  <c r="AS464" i="1"/>
  <c r="AR464" i="1"/>
  <c r="AS463" i="1"/>
  <c r="AR463" i="1"/>
  <c r="AS462" i="1"/>
  <c r="AR462" i="1"/>
  <c r="AS461" i="1"/>
  <c r="AR461" i="1"/>
  <c r="AS460" i="1"/>
  <c r="AR460" i="1"/>
  <c r="AS459" i="1"/>
  <c r="AR459" i="1"/>
  <c r="AS458" i="1"/>
  <c r="AR458" i="1"/>
  <c r="AS457" i="1"/>
  <c r="AR457" i="1"/>
  <c r="AS456" i="1"/>
  <c r="AR456" i="1"/>
  <c r="AS455" i="1"/>
  <c r="AR455" i="1"/>
  <c r="AS454" i="1"/>
  <c r="AR454" i="1"/>
  <c r="AS453" i="1"/>
  <c r="AR453" i="1"/>
  <c r="AS452" i="1"/>
  <c r="AR452" i="1"/>
  <c r="AS451" i="1"/>
  <c r="AR451" i="1"/>
  <c r="AS450" i="1"/>
  <c r="AR450" i="1"/>
  <c r="AS449" i="1"/>
  <c r="AR449" i="1"/>
  <c r="AS448" i="1"/>
  <c r="AR448" i="1"/>
  <c r="AS447" i="1"/>
  <c r="AR447" i="1"/>
  <c r="AS446" i="1"/>
  <c r="AR446" i="1"/>
  <c r="AS445" i="1"/>
  <c r="AR445" i="1"/>
  <c r="AS444" i="1"/>
  <c r="AR444" i="1"/>
  <c r="AS443" i="1"/>
  <c r="AR443" i="1"/>
  <c r="AS442" i="1"/>
  <c r="AR442" i="1"/>
  <c r="AS441" i="1"/>
  <c r="AR441" i="1"/>
  <c r="AS440" i="1"/>
  <c r="AR440" i="1"/>
  <c r="AS439" i="1"/>
  <c r="AR439" i="1"/>
  <c r="AS438" i="1"/>
  <c r="AR438" i="1"/>
  <c r="AS437" i="1"/>
  <c r="AR437" i="1"/>
  <c r="AS436" i="1"/>
  <c r="AR436" i="1"/>
  <c r="AS435" i="1"/>
  <c r="AR435" i="1"/>
  <c r="AS434" i="1"/>
  <c r="AR434" i="1"/>
  <c r="AS433" i="1"/>
  <c r="AR433" i="1"/>
  <c r="AS432" i="1"/>
  <c r="AR432" i="1"/>
  <c r="AS431" i="1"/>
  <c r="AR431" i="1"/>
  <c r="AS430" i="1"/>
  <c r="AR430" i="1"/>
  <c r="AS429" i="1"/>
  <c r="AR429" i="1"/>
  <c r="AS428" i="1"/>
  <c r="AR428" i="1"/>
  <c r="AS427" i="1"/>
  <c r="AR427" i="1"/>
  <c r="AS426" i="1"/>
  <c r="AR426" i="1"/>
  <c r="AS425" i="1"/>
  <c r="AR425" i="1"/>
  <c r="AS424" i="1"/>
  <c r="AR424" i="1"/>
  <c r="AS423" i="1"/>
  <c r="AR423" i="1"/>
  <c r="AS422" i="1"/>
  <c r="AR422" i="1"/>
  <c r="AS421" i="1"/>
  <c r="AR421" i="1"/>
  <c r="AS420" i="1"/>
  <c r="AR420" i="1"/>
  <c r="AS419" i="1"/>
  <c r="AR419" i="1"/>
  <c r="AS418" i="1"/>
  <c r="AR418" i="1"/>
  <c r="AS417" i="1"/>
  <c r="AR417" i="1"/>
  <c r="AS416" i="1"/>
  <c r="AR416" i="1"/>
  <c r="AS415" i="1"/>
  <c r="AR415" i="1"/>
  <c r="AS414" i="1"/>
  <c r="AR414" i="1"/>
  <c r="AS413" i="1"/>
  <c r="AR413" i="1"/>
  <c r="AS412" i="1"/>
  <c r="AR412" i="1"/>
  <c r="AS411" i="1"/>
  <c r="AR411" i="1"/>
  <c r="AS410" i="1"/>
  <c r="AR410" i="1"/>
  <c r="AS409" i="1"/>
  <c r="AR409" i="1"/>
  <c r="AS408" i="1"/>
  <c r="AR408" i="1"/>
  <c r="AS407" i="1"/>
  <c r="AR407" i="1"/>
  <c r="AS406" i="1"/>
  <c r="AR406" i="1"/>
  <c r="AS405" i="1"/>
  <c r="AR405" i="1"/>
  <c r="AS404" i="1"/>
  <c r="AR404" i="1"/>
  <c r="AS403" i="1"/>
  <c r="AR403" i="1"/>
  <c r="AS402" i="1"/>
  <c r="AR402" i="1"/>
  <c r="AS401" i="1"/>
  <c r="AR401" i="1"/>
  <c r="AS400" i="1"/>
  <c r="AR400" i="1"/>
  <c r="AS399" i="1"/>
  <c r="AR399" i="1"/>
  <c r="AS398" i="1"/>
  <c r="AR398" i="1"/>
  <c r="AS397" i="1"/>
  <c r="AR397" i="1"/>
  <c r="AS396" i="1"/>
  <c r="AR396" i="1"/>
  <c r="AS395" i="1"/>
  <c r="AR395" i="1"/>
  <c r="AS394" i="1"/>
  <c r="AR394" i="1"/>
  <c r="AS393" i="1"/>
  <c r="AR393" i="1"/>
  <c r="AS392" i="1"/>
  <c r="AR392" i="1"/>
  <c r="AS391" i="1"/>
  <c r="AR391" i="1"/>
  <c r="AS390" i="1"/>
  <c r="AR390" i="1"/>
  <c r="AS389" i="1"/>
  <c r="AR389" i="1"/>
  <c r="AS388" i="1"/>
  <c r="AR388" i="1"/>
  <c r="AS387" i="1"/>
  <c r="AR387" i="1"/>
  <c r="AS386" i="1"/>
  <c r="AR386" i="1"/>
  <c r="AS385" i="1"/>
  <c r="AR385" i="1"/>
  <c r="AS384" i="1"/>
  <c r="AR384" i="1"/>
  <c r="AS383" i="1"/>
  <c r="AR383" i="1"/>
  <c r="AS382" i="1"/>
  <c r="AR382" i="1"/>
  <c r="AS381" i="1"/>
  <c r="AR381" i="1"/>
  <c r="AS380" i="1"/>
  <c r="AR380" i="1"/>
  <c r="AS379" i="1"/>
  <c r="AR379" i="1"/>
  <c r="AS378" i="1"/>
  <c r="AR378" i="1"/>
  <c r="AS377" i="1"/>
  <c r="AR377" i="1"/>
  <c r="AS376" i="1"/>
  <c r="AR376" i="1"/>
  <c r="AS375" i="1"/>
  <c r="AR375" i="1"/>
  <c r="AS374" i="1"/>
  <c r="AR374" i="1"/>
  <c r="AS373" i="1"/>
  <c r="AR373" i="1"/>
  <c r="AS372" i="1"/>
  <c r="AR372" i="1"/>
  <c r="AS371" i="1"/>
  <c r="AR371" i="1"/>
  <c r="AS370" i="1"/>
  <c r="AR370" i="1"/>
  <c r="AS369" i="1"/>
  <c r="AR369" i="1"/>
  <c r="AS368" i="1"/>
  <c r="AR368" i="1"/>
  <c r="AS367" i="1"/>
  <c r="AR367" i="1"/>
  <c r="AS366" i="1"/>
  <c r="AR366" i="1"/>
  <c r="AS365" i="1"/>
  <c r="AR365" i="1"/>
  <c r="AS364" i="1"/>
  <c r="AR364" i="1"/>
  <c r="AS363" i="1"/>
  <c r="AR363" i="1"/>
  <c r="AS362" i="1"/>
  <c r="AR362" i="1"/>
  <c r="AS361" i="1"/>
  <c r="AR361" i="1"/>
  <c r="AS360" i="1"/>
  <c r="AR360" i="1"/>
  <c r="AS359" i="1"/>
  <c r="AR359" i="1"/>
  <c r="AS358" i="1"/>
  <c r="AR358" i="1"/>
  <c r="AS357" i="1"/>
  <c r="AR357" i="1"/>
  <c r="AS356" i="1"/>
  <c r="AR356" i="1"/>
  <c r="AS355" i="1"/>
  <c r="AR355" i="1"/>
  <c r="AS354" i="1"/>
  <c r="AR354" i="1"/>
  <c r="AS353" i="1"/>
  <c r="AR353" i="1"/>
  <c r="AS352" i="1"/>
  <c r="AR352" i="1"/>
  <c r="AS351" i="1"/>
  <c r="AR351" i="1"/>
  <c r="AS350" i="1"/>
  <c r="AR350" i="1"/>
  <c r="AS349" i="1"/>
  <c r="AR349" i="1"/>
  <c r="AS348" i="1"/>
  <c r="AR348" i="1"/>
  <c r="AS347" i="1"/>
  <c r="AR347" i="1"/>
  <c r="AS346" i="1"/>
  <c r="AR346" i="1"/>
  <c r="AS345" i="1"/>
  <c r="AR345" i="1"/>
  <c r="AS344" i="1"/>
  <c r="AR344" i="1"/>
  <c r="AS343" i="1"/>
  <c r="AR343" i="1"/>
  <c r="AS342" i="1"/>
  <c r="AR342" i="1"/>
  <c r="AS341" i="1"/>
  <c r="AR341" i="1"/>
  <c r="AS340" i="1"/>
  <c r="AR340" i="1"/>
  <c r="AS339" i="1"/>
  <c r="AR339" i="1"/>
  <c r="AS338" i="1"/>
  <c r="AR338" i="1"/>
  <c r="AS337" i="1"/>
  <c r="AR337" i="1"/>
  <c r="AS336" i="1"/>
  <c r="AR336" i="1"/>
  <c r="AS335" i="1"/>
  <c r="AR335" i="1"/>
  <c r="AS334" i="1"/>
  <c r="AR334" i="1"/>
  <c r="AS333" i="1"/>
  <c r="AR333" i="1"/>
  <c r="AS332" i="1"/>
  <c r="AR332" i="1"/>
  <c r="AS331" i="1"/>
  <c r="AR331" i="1"/>
  <c r="AS330" i="1"/>
  <c r="AR330" i="1"/>
  <c r="AS329" i="1"/>
  <c r="AR329" i="1"/>
  <c r="AS328" i="1"/>
  <c r="AR328" i="1"/>
  <c r="AS327" i="1"/>
  <c r="AR327" i="1"/>
  <c r="AS326" i="1"/>
  <c r="AR326" i="1"/>
  <c r="AS325" i="1"/>
  <c r="AR325" i="1"/>
  <c r="AS324" i="1"/>
  <c r="AR324" i="1"/>
  <c r="AS323" i="1"/>
  <c r="AR323" i="1"/>
  <c r="AS322" i="1"/>
  <c r="AR322" i="1"/>
  <c r="AS321" i="1"/>
  <c r="AR321" i="1"/>
  <c r="AS320" i="1"/>
  <c r="AR320" i="1"/>
  <c r="AS319" i="1"/>
  <c r="AR319" i="1"/>
  <c r="AS318" i="1"/>
  <c r="AR318" i="1"/>
  <c r="AS317" i="1"/>
  <c r="AR317" i="1"/>
  <c r="AS316" i="1"/>
  <c r="AR316" i="1"/>
  <c r="AS315" i="1"/>
  <c r="AR315" i="1"/>
  <c r="AS314" i="1"/>
  <c r="AR314" i="1"/>
  <c r="AS313" i="1"/>
  <c r="AR313" i="1"/>
  <c r="AS312" i="1"/>
  <c r="AR312" i="1"/>
  <c r="AS311" i="1"/>
  <c r="AR311" i="1"/>
  <c r="AS310" i="1"/>
  <c r="AR310" i="1"/>
  <c r="AS309" i="1"/>
  <c r="AR309" i="1"/>
  <c r="AS308" i="1"/>
  <c r="AR308" i="1"/>
  <c r="AS307" i="1"/>
  <c r="AR307" i="1"/>
  <c r="AS306" i="1"/>
  <c r="AR306" i="1"/>
  <c r="AS305" i="1"/>
  <c r="AR305" i="1"/>
  <c r="AS304" i="1"/>
  <c r="AR304" i="1"/>
  <c r="AS303" i="1"/>
  <c r="AR303" i="1"/>
  <c r="AS302" i="1"/>
  <c r="AR302" i="1"/>
  <c r="AS301" i="1"/>
  <c r="AR301" i="1"/>
  <c r="AS300" i="1"/>
  <c r="AR300" i="1"/>
  <c r="AS299" i="1"/>
  <c r="AR299" i="1"/>
  <c r="AS298" i="1"/>
  <c r="AR298" i="1"/>
  <c r="AS297" i="1"/>
  <c r="AR297" i="1"/>
  <c r="AS296" i="1"/>
  <c r="AR296" i="1"/>
  <c r="AS295" i="1"/>
  <c r="AR295" i="1"/>
  <c r="AS294" i="1"/>
  <c r="AR294" i="1"/>
  <c r="AS293" i="1"/>
  <c r="AR293" i="1"/>
  <c r="AS292" i="1"/>
  <c r="AR292" i="1"/>
  <c r="AS291" i="1"/>
  <c r="AR291" i="1"/>
  <c r="AS290" i="1"/>
  <c r="AR290" i="1"/>
  <c r="AS289" i="1"/>
  <c r="AR289" i="1"/>
  <c r="AS288" i="1"/>
  <c r="AR288" i="1"/>
  <c r="AS287" i="1"/>
  <c r="AR287" i="1"/>
  <c r="AS286" i="1"/>
  <c r="AR286" i="1"/>
  <c r="AS285" i="1"/>
  <c r="AR285" i="1"/>
  <c r="AS284" i="1"/>
  <c r="AR284" i="1"/>
  <c r="AS283" i="1"/>
  <c r="AR283" i="1"/>
  <c r="AS282" i="1"/>
  <c r="AR282" i="1"/>
  <c r="AS281" i="1"/>
  <c r="AR281" i="1"/>
  <c r="AS280" i="1"/>
  <c r="AR280" i="1"/>
  <c r="AS279" i="1"/>
  <c r="AR279" i="1"/>
  <c r="AS278" i="1"/>
  <c r="AR278" i="1"/>
  <c r="AS277" i="1"/>
  <c r="AR277" i="1"/>
  <c r="AS276" i="1"/>
  <c r="AR276" i="1"/>
  <c r="AS275" i="1"/>
  <c r="AR275" i="1"/>
  <c r="AS274" i="1"/>
  <c r="AR274" i="1"/>
  <c r="AS273" i="1"/>
  <c r="AR273" i="1"/>
  <c r="AS272" i="1"/>
  <c r="AR272" i="1"/>
  <c r="AS271" i="1"/>
  <c r="AR271" i="1"/>
  <c r="AS270" i="1"/>
  <c r="AR270" i="1"/>
  <c r="AS269" i="1"/>
  <c r="AR269" i="1"/>
  <c r="AS268" i="1"/>
  <c r="AR268" i="1"/>
  <c r="AS267" i="1"/>
  <c r="AR267" i="1"/>
  <c r="AS266" i="1"/>
  <c r="AR266" i="1"/>
  <c r="AS265" i="1"/>
  <c r="AR265" i="1"/>
  <c r="AS264" i="1"/>
  <c r="AR264" i="1"/>
  <c r="AS263" i="1"/>
  <c r="AR263" i="1"/>
  <c r="AS262" i="1"/>
  <c r="AR262" i="1"/>
  <c r="AS261" i="1"/>
  <c r="AR261" i="1"/>
  <c r="AS260" i="1"/>
  <c r="AR260" i="1"/>
  <c r="AS259" i="1"/>
  <c r="AR259" i="1"/>
  <c r="AS258" i="1"/>
  <c r="AR258" i="1"/>
  <c r="AS257" i="1"/>
  <c r="AR257" i="1"/>
  <c r="AS256" i="1"/>
  <c r="AR256" i="1"/>
  <c r="AS255" i="1"/>
  <c r="AR255" i="1"/>
  <c r="AS254" i="1"/>
  <c r="AR254" i="1"/>
  <c r="AS253" i="1"/>
  <c r="AR253" i="1"/>
  <c r="AS252" i="1"/>
  <c r="AR252" i="1"/>
  <c r="AS251" i="1"/>
  <c r="AR251" i="1"/>
  <c r="AS250" i="1"/>
  <c r="AR250" i="1"/>
  <c r="AS249" i="1"/>
  <c r="AR249" i="1"/>
  <c r="AS248" i="1"/>
  <c r="AR248" i="1"/>
  <c r="AS247" i="1"/>
  <c r="AR247" i="1"/>
  <c r="AS246" i="1"/>
  <c r="AR246" i="1"/>
  <c r="AS245" i="1"/>
  <c r="AR245" i="1"/>
  <c r="AS244" i="1"/>
  <c r="AR244" i="1"/>
  <c r="AS243" i="1"/>
  <c r="AR243" i="1"/>
  <c r="AS242" i="1"/>
  <c r="AR242" i="1"/>
  <c r="AS241" i="1"/>
  <c r="AR241" i="1"/>
  <c r="AS240" i="1"/>
  <c r="AR240" i="1"/>
  <c r="AS239" i="1"/>
  <c r="AR239" i="1"/>
  <c r="AS238" i="1"/>
  <c r="AR238" i="1"/>
  <c r="AS237" i="1"/>
  <c r="AR237" i="1"/>
  <c r="AS236" i="1"/>
  <c r="AR236" i="1"/>
  <c r="AS235" i="1"/>
  <c r="AR235" i="1"/>
  <c r="AS234" i="1"/>
  <c r="AR234" i="1"/>
  <c r="AS233" i="1"/>
  <c r="AR233" i="1"/>
  <c r="AS232" i="1"/>
  <c r="AR232" i="1"/>
  <c r="AS231" i="1"/>
  <c r="AR231" i="1"/>
  <c r="AS230" i="1"/>
  <c r="AR230" i="1"/>
  <c r="AS229" i="1"/>
  <c r="AR229" i="1"/>
  <c r="AS228" i="1"/>
  <c r="AR228" i="1"/>
  <c r="AS227" i="1"/>
  <c r="AR227" i="1"/>
  <c r="AS226" i="1"/>
  <c r="AR226" i="1"/>
  <c r="AS225" i="1"/>
  <c r="AR225" i="1"/>
  <c r="AS224" i="1"/>
  <c r="AR224" i="1"/>
  <c r="AS223" i="1"/>
  <c r="AR223" i="1"/>
  <c r="AS222" i="1"/>
  <c r="AR222" i="1"/>
  <c r="AS221" i="1"/>
  <c r="AR221" i="1"/>
  <c r="AS220" i="1"/>
  <c r="AR220" i="1"/>
  <c r="AS219" i="1"/>
  <c r="AR219" i="1"/>
  <c r="AS218" i="1"/>
  <c r="AR218" i="1"/>
  <c r="AS217" i="1"/>
  <c r="AR217" i="1"/>
  <c r="AS216" i="1"/>
  <c r="AR216" i="1"/>
  <c r="AS215" i="1"/>
  <c r="AR215" i="1"/>
  <c r="AS214" i="1"/>
  <c r="AR214" i="1"/>
  <c r="AS213" i="1"/>
  <c r="AR213" i="1"/>
  <c r="AS212" i="1"/>
  <c r="AR212" i="1"/>
  <c r="AS211" i="1"/>
  <c r="AR211" i="1"/>
  <c r="AS210" i="1"/>
  <c r="AR210" i="1"/>
  <c r="AS209" i="1"/>
  <c r="AR209" i="1"/>
  <c r="AS208" i="1"/>
  <c r="AR208" i="1"/>
  <c r="AS207" i="1"/>
  <c r="AR207" i="1"/>
  <c r="AS206" i="1"/>
  <c r="AR206" i="1"/>
  <c r="AS205" i="1"/>
  <c r="AR205" i="1"/>
  <c r="AS204" i="1"/>
  <c r="AR204" i="1"/>
  <c r="AS203" i="1"/>
  <c r="AR203" i="1"/>
  <c r="AS202" i="1"/>
  <c r="AR202" i="1"/>
  <c r="AS201" i="1"/>
  <c r="AR201" i="1"/>
  <c r="AS200" i="1"/>
  <c r="AR200" i="1"/>
  <c r="AS199" i="1"/>
  <c r="AR199" i="1"/>
  <c r="AS198" i="1"/>
  <c r="AR198" i="1"/>
  <c r="AS197" i="1"/>
  <c r="AR197" i="1"/>
  <c r="AS196" i="1"/>
  <c r="AR196" i="1"/>
  <c r="AS195" i="1"/>
  <c r="AR195" i="1"/>
  <c r="AS194" i="1"/>
  <c r="AR194" i="1"/>
  <c r="AS193" i="1"/>
  <c r="AR193" i="1"/>
  <c r="AS192" i="1"/>
  <c r="AR192" i="1"/>
  <c r="AS191" i="1"/>
  <c r="AR191" i="1"/>
  <c r="AS190" i="1"/>
  <c r="AR190" i="1"/>
  <c r="AS189" i="1"/>
  <c r="AR189" i="1"/>
  <c r="AS188" i="1"/>
  <c r="AR188" i="1"/>
  <c r="AS187" i="1"/>
  <c r="AR187" i="1"/>
  <c r="AS186" i="1"/>
  <c r="AR186" i="1"/>
  <c r="AS185" i="1"/>
  <c r="AR185" i="1"/>
  <c r="AS184" i="1"/>
  <c r="AR184" i="1"/>
  <c r="AS183" i="1"/>
  <c r="AR183" i="1"/>
  <c r="AS182" i="1"/>
  <c r="AR182" i="1"/>
  <c r="AS181" i="1"/>
  <c r="AR181" i="1"/>
  <c r="AS180" i="1"/>
  <c r="AR180" i="1"/>
  <c r="AS179" i="1"/>
  <c r="AR179" i="1"/>
  <c r="AS178" i="1"/>
  <c r="AR178" i="1"/>
  <c r="AS177" i="1"/>
  <c r="AR177" i="1"/>
  <c r="AS176" i="1"/>
  <c r="AR176" i="1"/>
  <c r="AS175" i="1"/>
  <c r="AR175" i="1"/>
  <c r="AS174" i="1"/>
  <c r="AR174" i="1"/>
  <c r="AS173" i="1"/>
  <c r="AR173" i="1"/>
  <c r="AS172" i="1"/>
  <c r="AR172" i="1"/>
  <c r="AS171" i="1"/>
  <c r="AR171" i="1"/>
  <c r="AS170" i="1"/>
  <c r="AR170" i="1"/>
  <c r="AS169" i="1"/>
  <c r="AR169" i="1"/>
  <c r="AS168" i="1"/>
  <c r="AR168" i="1"/>
  <c r="AS167" i="1"/>
  <c r="AR167" i="1"/>
  <c r="AS166" i="1"/>
  <c r="AR166" i="1"/>
  <c r="AS165" i="1"/>
  <c r="AR165" i="1"/>
  <c r="AS164" i="1"/>
  <c r="AR164" i="1"/>
  <c r="AS163" i="1"/>
  <c r="AR163" i="1"/>
  <c r="AS162" i="1"/>
  <c r="AR162" i="1"/>
  <c r="AS161" i="1"/>
  <c r="AR161" i="1"/>
  <c r="AS160" i="1"/>
  <c r="AR160" i="1"/>
  <c r="AS159" i="1"/>
  <c r="AR159" i="1"/>
  <c r="AS158" i="1"/>
  <c r="AR158" i="1"/>
  <c r="AS157" i="1"/>
  <c r="AR157" i="1"/>
  <c r="AS156" i="1"/>
  <c r="AR156" i="1"/>
  <c r="AS155" i="1"/>
  <c r="AR155" i="1"/>
  <c r="AS154" i="1"/>
  <c r="AR154" i="1"/>
  <c r="AS153" i="1"/>
  <c r="AR153" i="1"/>
  <c r="AS152" i="1"/>
  <c r="AR152" i="1"/>
  <c r="AS151" i="1"/>
  <c r="AR151" i="1"/>
  <c r="AS150" i="1"/>
  <c r="AR150" i="1"/>
  <c r="AS149" i="1"/>
  <c r="AR149" i="1"/>
  <c r="AS148" i="1"/>
  <c r="AR148" i="1"/>
  <c r="AS147" i="1"/>
  <c r="AR147" i="1"/>
  <c r="AS146" i="1"/>
  <c r="AR146" i="1"/>
  <c r="AS145" i="1"/>
  <c r="AR145" i="1"/>
  <c r="AS144" i="1"/>
  <c r="AR144" i="1"/>
  <c r="AS143" i="1"/>
  <c r="AR143" i="1"/>
  <c r="AS142" i="1"/>
  <c r="AR142" i="1"/>
  <c r="AS141" i="1"/>
  <c r="AR141" i="1"/>
  <c r="AS140" i="1"/>
  <c r="AR140" i="1"/>
  <c r="AS139" i="1"/>
  <c r="AR139" i="1"/>
  <c r="AS138" i="1"/>
  <c r="AR138" i="1"/>
  <c r="AS137" i="1"/>
  <c r="AR137" i="1"/>
  <c r="AS136" i="1"/>
  <c r="AR136" i="1"/>
  <c r="AS135" i="1"/>
  <c r="AR135" i="1"/>
  <c r="AS134" i="1"/>
  <c r="AR134" i="1"/>
  <c r="AS133" i="1"/>
  <c r="AR133" i="1"/>
  <c r="AS132" i="1"/>
  <c r="AR132" i="1"/>
  <c r="AS131" i="1"/>
  <c r="AR131" i="1"/>
  <c r="AS130" i="1"/>
  <c r="AR130" i="1"/>
  <c r="AS129" i="1"/>
  <c r="AR129" i="1"/>
  <c r="AS128" i="1"/>
  <c r="AR128" i="1"/>
  <c r="AS127" i="1"/>
  <c r="AR127" i="1"/>
  <c r="AS126" i="1"/>
  <c r="AR126" i="1"/>
  <c r="AS125" i="1"/>
  <c r="AR125" i="1"/>
  <c r="AS124" i="1"/>
  <c r="AR124" i="1"/>
  <c r="AS123" i="1"/>
  <c r="AR123" i="1"/>
  <c r="AS122" i="1"/>
  <c r="AR122" i="1"/>
  <c r="AS121" i="1"/>
  <c r="AR121" i="1"/>
  <c r="AS120" i="1"/>
  <c r="AR120" i="1"/>
  <c r="AS119" i="1"/>
  <c r="AR119" i="1"/>
  <c r="AS118" i="1"/>
  <c r="AR118" i="1"/>
  <c r="AS117" i="1"/>
  <c r="AR117" i="1"/>
  <c r="AS116" i="1"/>
  <c r="AR116" i="1"/>
  <c r="AS115" i="1"/>
  <c r="AR115" i="1"/>
  <c r="AS114" i="1"/>
  <c r="AR114" i="1"/>
  <c r="AS113" i="1"/>
  <c r="AR113" i="1"/>
  <c r="AS112" i="1"/>
  <c r="AR112" i="1"/>
  <c r="AS111" i="1"/>
  <c r="AR111" i="1"/>
  <c r="AS110" i="1"/>
  <c r="AR110" i="1"/>
  <c r="AS109" i="1"/>
  <c r="AR109" i="1"/>
  <c r="AS108" i="1"/>
  <c r="AR108" i="1"/>
  <c r="AS107" i="1"/>
  <c r="AR107" i="1"/>
  <c r="AS106" i="1"/>
  <c r="AR106" i="1"/>
  <c r="AS105" i="1"/>
  <c r="AR105" i="1"/>
  <c r="AS104" i="1"/>
  <c r="AR104" i="1"/>
  <c r="AS103" i="1"/>
  <c r="AR103" i="1"/>
  <c r="AS102" i="1"/>
  <c r="AR102" i="1"/>
  <c r="AS101" i="1"/>
  <c r="AR101" i="1"/>
  <c r="AS100" i="1"/>
  <c r="AR100" i="1"/>
  <c r="AS99" i="1"/>
  <c r="AR99" i="1"/>
  <c r="AS98" i="1"/>
  <c r="AR98" i="1"/>
  <c r="AS97" i="1"/>
  <c r="AR97" i="1"/>
  <c r="AS96" i="1"/>
  <c r="AR96" i="1"/>
  <c r="AS95" i="1"/>
  <c r="AR95" i="1"/>
  <c r="AS94" i="1"/>
  <c r="AR94" i="1"/>
  <c r="AS93" i="1"/>
  <c r="AR93" i="1"/>
  <c r="AS92" i="1"/>
  <c r="AR92" i="1"/>
  <c r="AS91" i="1"/>
  <c r="AR91" i="1"/>
  <c r="AS90" i="1"/>
  <c r="AR90" i="1"/>
  <c r="AS89" i="1"/>
  <c r="AR89" i="1"/>
  <c r="AS88" i="1"/>
  <c r="AR88" i="1"/>
  <c r="AS87" i="1"/>
  <c r="AR87" i="1"/>
  <c r="AS86" i="1"/>
  <c r="AR86" i="1"/>
  <c r="AS85" i="1"/>
  <c r="AR85" i="1"/>
  <c r="AS84" i="1"/>
  <c r="AR84" i="1"/>
  <c r="AS83" i="1"/>
  <c r="AR83" i="1"/>
  <c r="AS82" i="1"/>
  <c r="AR82" i="1"/>
  <c r="AS81" i="1"/>
  <c r="AR81" i="1"/>
  <c r="AS80" i="1"/>
  <c r="AR80" i="1"/>
  <c r="AS79" i="1"/>
  <c r="AR79" i="1"/>
  <c r="AS78" i="1"/>
  <c r="AR78" i="1"/>
  <c r="AS77" i="1"/>
  <c r="AR77" i="1"/>
  <c r="AS76" i="1"/>
  <c r="AR76" i="1"/>
  <c r="AS75" i="1"/>
  <c r="AR75" i="1"/>
  <c r="AS74" i="1"/>
  <c r="AR74" i="1"/>
  <c r="AS73" i="1"/>
  <c r="AR73" i="1"/>
  <c r="AS72" i="1"/>
  <c r="AR72" i="1"/>
  <c r="AS71" i="1"/>
  <c r="AR71" i="1"/>
  <c r="AS70" i="1"/>
  <c r="AR70" i="1"/>
  <c r="AS69" i="1"/>
  <c r="AR69" i="1"/>
  <c r="AS68" i="1"/>
  <c r="AR68" i="1"/>
  <c r="AS67" i="1"/>
  <c r="AR67" i="1"/>
  <c r="AS66" i="1"/>
  <c r="AR66" i="1"/>
  <c r="AS65" i="1"/>
  <c r="AR65" i="1"/>
  <c r="AS64" i="1"/>
  <c r="AR64" i="1"/>
  <c r="AS63" i="1"/>
  <c r="AR63" i="1"/>
  <c r="AS62" i="1"/>
  <c r="AR62" i="1"/>
  <c r="AS61" i="1"/>
  <c r="AR61" i="1"/>
  <c r="AS60" i="1"/>
  <c r="AR60" i="1"/>
  <c r="AS59" i="1"/>
  <c r="AR59" i="1"/>
  <c r="AS58" i="1"/>
  <c r="AR58" i="1"/>
  <c r="AS57" i="1"/>
  <c r="AR57" i="1"/>
  <c r="AS56" i="1"/>
  <c r="AR56" i="1"/>
  <c r="AS55" i="1"/>
  <c r="AR55" i="1"/>
  <c r="AS54" i="1"/>
  <c r="AR54" i="1"/>
  <c r="AS53" i="1"/>
  <c r="AR53" i="1"/>
  <c r="AS52" i="1"/>
  <c r="AR52" i="1"/>
  <c r="AS51" i="1"/>
  <c r="AR51" i="1"/>
  <c r="AS50" i="1"/>
  <c r="AR50" i="1"/>
  <c r="AS49" i="1"/>
  <c r="AR49" i="1"/>
  <c r="AS48" i="1"/>
  <c r="AR48" i="1"/>
  <c r="AS47" i="1"/>
  <c r="AR47" i="1"/>
  <c r="AS46" i="1"/>
  <c r="AR46" i="1"/>
  <c r="AS45" i="1"/>
  <c r="AR45" i="1"/>
  <c r="AS44" i="1"/>
  <c r="AR44" i="1"/>
  <c r="AS43" i="1"/>
  <c r="AR43" i="1"/>
  <c r="AS42" i="1"/>
  <c r="AR42" i="1"/>
  <c r="AS41" i="1"/>
  <c r="AR41" i="1"/>
  <c r="AS40" i="1"/>
  <c r="AR40" i="1"/>
  <c r="AS39" i="1"/>
  <c r="AR39" i="1"/>
  <c r="AS38" i="1"/>
  <c r="AR38" i="1"/>
  <c r="AS37" i="1"/>
  <c r="AR37" i="1"/>
  <c r="AS36" i="1"/>
  <c r="AR36" i="1"/>
  <c r="AS35" i="1"/>
  <c r="AR35" i="1"/>
  <c r="AS34" i="1"/>
  <c r="AR34" i="1"/>
  <c r="AS33" i="1"/>
  <c r="AR33" i="1"/>
  <c r="AS32" i="1"/>
  <c r="AR32" i="1"/>
  <c r="AS31" i="1"/>
  <c r="AR31" i="1"/>
  <c r="AS30" i="1"/>
  <c r="AR30" i="1"/>
  <c r="AS29" i="1"/>
  <c r="AR29" i="1"/>
  <c r="AS28" i="1"/>
  <c r="AR28" i="1"/>
  <c r="AS27" i="1"/>
  <c r="AR27" i="1"/>
  <c r="AS26" i="1"/>
  <c r="AR26" i="1"/>
  <c r="AS25" i="1"/>
  <c r="AR25" i="1"/>
  <c r="AS24" i="1"/>
  <c r="AR24" i="1"/>
  <c r="AS23" i="1"/>
  <c r="AR23" i="1"/>
  <c r="AS22" i="1"/>
  <c r="AR22" i="1"/>
  <c r="AS21" i="1"/>
  <c r="AR21" i="1"/>
  <c r="AS20" i="1"/>
  <c r="AR20" i="1"/>
  <c r="AS19" i="1"/>
  <c r="AR19" i="1"/>
  <c r="AS18" i="1"/>
  <c r="AR18" i="1"/>
  <c r="AS17" i="1"/>
  <c r="AR17" i="1"/>
  <c r="AS16" i="1"/>
  <c r="AR16" i="1"/>
  <c r="AS15" i="1"/>
  <c r="AR15" i="1"/>
  <c r="AS14" i="1"/>
  <c r="AR14" i="1"/>
  <c r="AS13" i="1"/>
  <c r="AR13" i="1"/>
  <c r="AS12" i="1"/>
  <c r="AR12" i="1"/>
  <c r="AS11" i="1"/>
  <c r="AR11" i="1"/>
  <c r="AS10" i="1"/>
  <c r="AR10" i="1"/>
  <c r="AS9" i="1"/>
  <c r="AR9" i="1"/>
  <c r="AS8" i="1"/>
  <c r="AR8" i="1"/>
  <c r="AS7" i="1"/>
  <c r="AR7" i="1"/>
  <c r="AD5" i="1"/>
</calcChain>
</file>

<file path=xl/sharedStrings.xml><?xml version="1.0" encoding="utf-8"?>
<sst xmlns="http://schemas.openxmlformats.org/spreadsheetml/2006/main" count="54529" uniqueCount="4981">
  <si>
    <t>GE - Group Export</t>
  </si>
  <si>
    <t>GENTR - Group not to consider</t>
  </si>
  <si>
    <t>NE - NonGroup Export</t>
  </si>
  <si>
    <t>NG - NonGroup SandvikEmp</t>
  </si>
  <si>
    <t xml:space="preserve"> </t>
  </si>
  <si>
    <t>NL - Local</t>
  </si>
  <si>
    <t>Entity</t>
  </si>
  <si>
    <t>GL_Account</t>
  </si>
  <si>
    <t>Segment</t>
  </si>
  <si>
    <t>GlobalCustomer</t>
  </si>
  <si>
    <t>Controller</t>
  </si>
  <si>
    <t>Origacct</t>
  </si>
  <si>
    <t>PO_Ref</t>
  </si>
  <si>
    <t>JobCategory</t>
  </si>
  <si>
    <t>Order_Nr</t>
  </si>
  <si>
    <t>Group_Code</t>
  </si>
  <si>
    <t>Customer_Class</t>
  </si>
  <si>
    <t>ExternalText</t>
  </si>
  <si>
    <t>Nota_Fiscal_Number</t>
  </si>
  <si>
    <t>ProductAccount</t>
  </si>
  <si>
    <t>SalesmanName</t>
  </si>
  <si>
    <t>Salesman</t>
  </si>
  <si>
    <t>dseq</t>
  </si>
  <si>
    <t>Payment_Terms</t>
  </si>
  <si>
    <t>Credit_Limit</t>
  </si>
  <si>
    <t>AvailableCreditLimit</t>
  </si>
  <si>
    <t>ccy</t>
  </si>
  <si>
    <t>Customer_Name</t>
  </si>
  <si>
    <t>Customer_Number</t>
  </si>
  <si>
    <t>Document_Ref</t>
  </si>
  <si>
    <t>Document_Date</t>
  </si>
  <si>
    <t>pduedate</t>
  </si>
  <si>
    <t>Original_Amount</t>
  </si>
  <si>
    <t>Goods_Amount</t>
  </si>
  <si>
    <t>VAT_Amount</t>
  </si>
  <si>
    <t>Outstanding value</t>
  </si>
  <si>
    <t>PA &amp; Doc Ref No.</t>
  </si>
  <si>
    <t>Customer Type</t>
  </si>
  <si>
    <t>Overdue days</t>
  </si>
  <si>
    <t>Bucket</t>
  </si>
  <si>
    <t>Entity2</t>
  </si>
  <si>
    <t>PA/Division</t>
  </si>
  <si>
    <t>Profit Center</t>
  </si>
  <si>
    <t>Remark</t>
  </si>
  <si>
    <t>Region</t>
  </si>
  <si>
    <t>Classification</t>
  </si>
  <si>
    <t>Dealer</t>
  </si>
  <si>
    <t>PC</t>
  </si>
  <si>
    <t>COMB</t>
  </si>
  <si>
    <t>Sumifs</t>
  </si>
  <si>
    <t>Type</t>
  </si>
  <si>
    <t>Dr/Cr</t>
  </si>
  <si>
    <t>E8226</t>
  </si>
  <si>
    <t>1511000000</t>
  </si>
  <si>
    <t>MS</t>
  </si>
  <si>
    <t>9999</t>
  </si>
  <si>
    <t/>
  </si>
  <si>
    <t>60604097</t>
  </si>
  <si>
    <t>SMRTIPL/KAR/AAS</t>
  </si>
  <si>
    <t>C00</t>
  </si>
  <si>
    <t>7048345</t>
  </si>
  <si>
    <t>PU</t>
  </si>
  <si>
    <t>01</t>
  </si>
  <si>
    <t>K411377</t>
  </si>
  <si>
    <t>UVS Gurunadham</t>
  </si>
  <si>
    <t>D94</t>
  </si>
  <si>
    <t>CH6</t>
  </si>
  <si>
    <t>D(30)</t>
  </si>
  <si>
    <t>INR</t>
  </si>
  <si>
    <t>AASHRITA SANDERS PRIVATE LIMITED</t>
  </si>
  <si>
    <t>IN ES328218</t>
  </si>
  <si>
    <t>K411377IN ES328218</t>
  </si>
  <si>
    <t>NL</t>
  </si>
  <si>
    <t>02 1-30</t>
  </si>
  <si>
    <t>SRP</t>
  </si>
  <si>
    <t>CRUSHING SOLUTIONS</t>
  </si>
  <si>
    <t>STATAM- Crushing Aftermarket</t>
  </si>
  <si>
    <t>TARGETED COLLECTABLE AMOUNT FALLING DUE BY FEB-2026</t>
  </si>
  <si>
    <t>AM</t>
  </si>
  <si>
    <t>South 2</t>
  </si>
  <si>
    <t>Due</t>
  </si>
  <si>
    <t>STATAM</t>
  </si>
  <si>
    <t>AR</t>
  </si>
  <si>
    <t>60604355</t>
  </si>
  <si>
    <t>5090911434783</t>
  </si>
  <si>
    <t>Ashutosh Sahoo</t>
  </si>
  <si>
    <t>A68</t>
  </si>
  <si>
    <t>000</t>
  </si>
  <si>
    <t>D(0)</t>
  </si>
  <si>
    <t>ABUNDANCE ASSOCIATES</t>
  </si>
  <si>
    <t>UC 20221797</t>
  </si>
  <si>
    <t>05 91-180</t>
  </si>
  <si>
    <t>East - Infra</t>
  </si>
  <si>
    <t>Advance</t>
  </si>
  <si>
    <t>60604323</t>
  </si>
  <si>
    <t>2100033146</t>
  </si>
  <si>
    <t>ANKUSH GHOGARKAR</t>
  </si>
  <si>
    <t>A06</t>
  </si>
  <si>
    <t>D(360)</t>
  </si>
  <si>
    <t>ADANI ENTERPRISES LIMITED</t>
  </si>
  <si>
    <t>UC 20208719</t>
  </si>
  <si>
    <t>06 181-366</t>
  </si>
  <si>
    <t>STATEQ- Crushing Equipment</t>
  </si>
  <si>
    <t>EQ</t>
  </si>
  <si>
    <t>West</t>
  </si>
  <si>
    <t>STATEQ</t>
  </si>
  <si>
    <t>2100033177</t>
  </si>
  <si>
    <t>UC 20208721</t>
  </si>
  <si>
    <t>25102900030194</t>
  </si>
  <si>
    <t>UC 20225209</t>
  </si>
  <si>
    <t>5130009308</t>
  </si>
  <si>
    <t>N11</t>
  </si>
  <si>
    <t>7060952</t>
  </si>
  <si>
    <t>E511300</t>
  </si>
  <si>
    <t>001</t>
  </si>
  <si>
    <t>IN ES329176</t>
  </si>
  <si>
    <t>E511300IN ES329176</t>
  </si>
  <si>
    <t>01 &lt;1</t>
  </si>
  <si>
    <t>NOT DUE</t>
  </si>
  <si>
    <t>Not Due</t>
  </si>
  <si>
    <t>7060953</t>
  </si>
  <si>
    <t>IN ES329177</t>
  </si>
  <si>
    <t>E511300IN ES329177</t>
  </si>
  <si>
    <t>7060946</t>
  </si>
  <si>
    <t>L511326</t>
  </si>
  <si>
    <t>IN ES329181</t>
  </si>
  <si>
    <t>L511326IN ES329181</t>
  </si>
  <si>
    <t>SCREENING SOLUTIONS</t>
  </si>
  <si>
    <t>SPMINEQ- Screening Equipment</t>
  </si>
  <si>
    <t>SPMINEQ</t>
  </si>
  <si>
    <t>7060947</t>
  </si>
  <si>
    <t>IN ES329182</t>
  </si>
  <si>
    <t>L511326IN ES329182</t>
  </si>
  <si>
    <t>7060928</t>
  </si>
  <si>
    <t>IN ES329195</t>
  </si>
  <si>
    <t>E511300IN ES329195</t>
  </si>
  <si>
    <t>7060926</t>
  </si>
  <si>
    <t>IN ES329196</t>
  </si>
  <si>
    <t>E511300IN ES329196</t>
  </si>
  <si>
    <t>7060930</t>
  </si>
  <si>
    <t>E511301</t>
  </si>
  <si>
    <t>IN ES329197</t>
  </si>
  <si>
    <t>E511301IN ES329197</t>
  </si>
  <si>
    <t>7060929</t>
  </si>
  <si>
    <t>IN ES329198</t>
  </si>
  <si>
    <t>E511301IN ES329198</t>
  </si>
  <si>
    <t>7060948</t>
  </si>
  <si>
    <t>L511200</t>
  </si>
  <si>
    <t>IN ES329199</t>
  </si>
  <si>
    <t>L511200IN ES329199</t>
  </si>
  <si>
    <t>7060949</t>
  </si>
  <si>
    <t>IN ES329201</t>
  </si>
  <si>
    <t>L511200IN ES329201</t>
  </si>
  <si>
    <t>N01</t>
  </si>
  <si>
    <t>7061187</t>
  </si>
  <si>
    <t>E511502</t>
  </si>
  <si>
    <t>IN ES324425</t>
  </si>
  <si>
    <t>E511502IN ES324425</t>
  </si>
  <si>
    <t>7060024</t>
  </si>
  <si>
    <t>IN ES324426</t>
  </si>
  <si>
    <t>E511502IN ES324426</t>
  </si>
  <si>
    <t>IN ES324427</t>
  </si>
  <si>
    <t>E511502IN ES324427</t>
  </si>
  <si>
    <t>IN ES324429</t>
  </si>
  <si>
    <t>E511502IN ES324429</t>
  </si>
  <si>
    <t>IN ES324430</t>
  </si>
  <si>
    <t>E511502IN ES324430</t>
  </si>
  <si>
    <t>IN ES324431</t>
  </si>
  <si>
    <t>E511502IN ES324431</t>
  </si>
  <si>
    <t>IN ES324432</t>
  </si>
  <si>
    <t>E511502IN ES324432</t>
  </si>
  <si>
    <t>IN ES324433</t>
  </si>
  <si>
    <t>E511502IN ES324433</t>
  </si>
  <si>
    <t>7060934</t>
  </si>
  <si>
    <t>L511325</t>
  </si>
  <si>
    <t>IN ES329234</t>
  </si>
  <si>
    <t>L511325IN ES329234</t>
  </si>
  <si>
    <t>7060933</t>
  </si>
  <si>
    <t>IN ES329235</t>
  </si>
  <si>
    <t>L511325IN ES329235</t>
  </si>
  <si>
    <t>IN ES324440</t>
  </si>
  <si>
    <t>E511502IN ES324440</t>
  </si>
  <si>
    <t>IN ES324443</t>
  </si>
  <si>
    <t>E511502IN ES324443</t>
  </si>
  <si>
    <t>7060935</t>
  </si>
  <si>
    <t>IN ES329247</t>
  </si>
  <si>
    <t>L511326IN ES329247</t>
  </si>
  <si>
    <t>7060936</t>
  </si>
  <si>
    <t>IN ES329248</t>
  </si>
  <si>
    <t>L511326IN ES329248</t>
  </si>
  <si>
    <t>7060939</t>
  </si>
  <si>
    <t>IN ES329249</t>
  </si>
  <si>
    <t>L511326IN ES329249</t>
  </si>
  <si>
    <t>L511325IN ES329249</t>
  </si>
  <si>
    <t>7060940</t>
  </si>
  <si>
    <t>IN ES329250</t>
  </si>
  <si>
    <t>L511325IN ES329250</t>
  </si>
  <si>
    <t>L511326IN ES329250</t>
  </si>
  <si>
    <t>IN ES324456</t>
  </si>
  <si>
    <t>E511502IN ES324456</t>
  </si>
  <si>
    <t>IN ES324457</t>
  </si>
  <si>
    <t>E511502IN ES324457</t>
  </si>
  <si>
    <t>IN ES324458</t>
  </si>
  <si>
    <t>E511502IN ES324458</t>
  </si>
  <si>
    <t>IN ES324459</t>
  </si>
  <si>
    <t>E511502IN ES324459</t>
  </si>
  <si>
    <t>IN ES324460</t>
  </si>
  <si>
    <t>E511502IN ES324460</t>
  </si>
  <si>
    <t>IN ES324465</t>
  </si>
  <si>
    <t>E511502IN ES324465</t>
  </si>
  <si>
    <t>IN ES324466</t>
  </si>
  <si>
    <t>E511502IN ES324466</t>
  </si>
  <si>
    <t>IN ES324468</t>
  </si>
  <si>
    <t>E511502IN ES324468</t>
  </si>
  <si>
    <t>IN ES324470</t>
  </si>
  <si>
    <t>E511502IN ES324470</t>
  </si>
  <si>
    <t>IN ES324471</t>
  </si>
  <si>
    <t>E511502IN ES324471</t>
  </si>
  <si>
    <t>IN ES324472</t>
  </si>
  <si>
    <t>E511502IN ES324472</t>
  </si>
  <si>
    <t>60604074</t>
  </si>
  <si>
    <t>5072423251194</t>
  </si>
  <si>
    <t>Sourabh Selukar</t>
  </si>
  <si>
    <t>A86</t>
  </si>
  <si>
    <t>ADY INFRATECH</t>
  </si>
  <si>
    <t>UC 20218726</t>
  </si>
  <si>
    <t>60604376</t>
  </si>
  <si>
    <t>AIL/O-25001/PO-</t>
  </si>
  <si>
    <t>7067070</t>
  </si>
  <si>
    <t>D511360</t>
  </si>
  <si>
    <t>AMAN NIGAM</t>
  </si>
  <si>
    <t>A44</t>
  </si>
  <si>
    <t>D(90)</t>
  </si>
  <si>
    <t>ANGELIQUE INTERNATIONAL LTD</t>
  </si>
  <si>
    <t>IN ES329132</t>
  </si>
  <si>
    <t>D511360IN ES329132</t>
  </si>
  <si>
    <t>03 31-60</t>
  </si>
  <si>
    <t>MOBILECS</t>
  </si>
  <si>
    <t>MOBILEQ</t>
  </si>
  <si>
    <t>North</t>
  </si>
  <si>
    <t>60602201</t>
  </si>
  <si>
    <t>2100112629</t>
  </si>
  <si>
    <t>040878000</t>
  </si>
  <si>
    <t>10</t>
  </si>
  <si>
    <t>K611512</t>
  </si>
  <si>
    <t>RAHULKUMAR LODHI</t>
  </si>
  <si>
    <t>C38</t>
  </si>
  <si>
    <t>003</t>
  </si>
  <si>
    <t>D(60)</t>
  </si>
  <si>
    <t>APCO INFRATECH PRIVATE LIMITED</t>
  </si>
  <si>
    <t>IN 2321868</t>
  </si>
  <si>
    <t>K611512IN 2321868</t>
  </si>
  <si>
    <t>K511311</t>
  </si>
  <si>
    <t>K511311IN 2321868</t>
  </si>
  <si>
    <t>K611511</t>
  </si>
  <si>
    <t>K611511IN 2321868</t>
  </si>
  <si>
    <t>2100114189</t>
  </si>
  <si>
    <t>041357000</t>
  </si>
  <si>
    <t>IN 2322201</t>
  </si>
  <si>
    <t>K611511IN 2322201</t>
  </si>
  <si>
    <t>04 61-90</t>
  </si>
  <si>
    <t>K611311</t>
  </si>
  <si>
    <t>K611311IN 2322201</t>
  </si>
  <si>
    <t>K611317</t>
  </si>
  <si>
    <t>K611317IN 2322201</t>
  </si>
  <si>
    <t>K611512IN 2322201</t>
  </si>
  <si>
    <t>2100116334</t>
  </si>
  <si>
    <t>041868400</t>
  </si>
  <si>
    <t>IN 2322566</t>
  </si>
  <si>
    <t>K511311IN 2322566</t>
  </si>
  <si>
    <t>K611512IN 2322566</t>
  </si>
  <si>
    <t>K611311IN 2322566</t>
  </si>
  <si>
    <t>K611511IN 2322566</t>
  </si>
  <si>
    <t>2100118969</t>
  </si>
  <si>
    <t>042658000</t>
  </si>
  <si>
    <t>IN 2323024</t>
  </si>
  <si>
    <t>K611512IN 2323024</t>
  </si>
  <si>
    <t>K611511IN 2323024</t>
  </si>
  <si>
    <t>K611311IN 2323024</t>
  </si>
  <si>
    <t>2100121085</t>
  </si>
  <si>
    <t>043008600</t>
  </si>
  <si>
    <t>IN 2315734</t>
  </si>
  <si>
    <t>K611511IN 2315734</t>
  </si>
  <si>
    <t>K611512IN 2315734</t>
  </si>
  <si>
    <t>K611311IN 2315734</t>
  </si>
  <si>
    <t>2100121026</t>
  </si>
  <si>
    <t>043008900</t>
  </si>
  <si>
    <t>IN 2323659</t>
  </si>
  <si>
    <t>K611512IN 2323659</t>
  </si>
  <si>
    <t>K611311IN 2323659</t>
  </si>
  <si>
    <t>K611511IN 2323659</t>
  </si>
  <si>
    <t>2100121785</t>
  </si>
  <si>
    <t>043088000</t>
  </si>
  <si>
    <t>IN 2323660</t>
  </si>
  <si>
    <t>K511311IN 2323660</t>
  </si>
  <si>
    <t>K511411</t>
  </si>
  <si>
    <t>K511411IN 2323660</t>
  </si>
  <si>
    <t>60602722</t>
  </si>
  <si>
    <t>SMRTIPL/KAR/APS</t>
  </si>
  <si>
    <t>7008624</t>
  </si>
  <si>
    <t>C15</t>
  </si>
  <si>
    <t>APS ENTERPRISES</t>
  </si>
  <si>
    <t>IN ES328168</t>
  </si>
  <si>
    <t>K411377IN ES328168</t>
  </si>
  <si>
    <t>60602918</t>
  </si>
  <si>
    <t>SMRTIPL/HR/AS/0</t>
  </si>
  <si>
    <t>7054799</t>
  </si>
  <si>
    <t>CJ6</t>
  </si>
  <si>
    <t>ASHA STONE CRUSHING CO.</t>
  </si>
  <si>
    <t>IN ES324390</t>
  </si>
  <si>
    <t>K411377IN ES324390</t>
  </si>
  <si>
    <t>IN ES324417</t>
  </si>
  <si>
    <t>K411377IN ES324417</t>
  </si>
  <si>
    <t>IN ES324462</t>
  </si>
  <si>
    <t>K411377IN ES324462</t>
  </si>
  <si>
    <t>60604014</t>
  </si>
  <si>
    <t>SMRT/UP/AV/01</t>
  </si>
  <si>
    <t>7014624</t>
  </si>
  <si>
    <t>AMIT.C.KUMAR</t>
  </si>
  <si>
    <t>D54</t>
  </si>
  <si>
    <t>C28</t>
  </si>
  <si>
    <t>ASSOCIATED VENTURES</t>
  </si>
  <si>
    <t>IN ES343070</t>
  </si>
  <si>
    <t>K411377IN ES343070</t>
  </si>
  <si>
    <t>SMRTIPL/UP/AV-I</t>
  </si>
  <si>
    <t>7066384</t>
  </si>
  <si>
    <t>CL3</t>
  </si>
  <si>
    <t>IN ES343071</t>
  </si>
  <si>
    <t>K411377IN ES343071</t>
  </si>
  <si>
    <t>PO-Dt. 16-12-2025</t>
  </si>
  <si>
    <t>042192400</t>
  </si>
  <si>
    <t>M611920</t>
  </si>
  <si>
    <t>IN 2341328</t>
  </si>
  <si>
    <t>M611920IN 2341328</t>
  </si>
  <si>
    <t>SPMINAM- Screening Aftermarket</t>
  </si>
  <si>
    <t>SPMINAM</t>
  </si>
  <si>
    <t>K511311IN 2341328</t>
  </si>
  <si>
    <t>M611011</t>
  </si>
  <si>
    <t>M611011IN 2341328</t>
  </si>
  <si>
    <t>K511411IN 2341328</t>
  </si>
  <si>
    <t>IN ES343073</t>
  </si>
  <si>
    <t>K411377IN ES343073</t>
  </si>
  <si>
    <t>IN ES343074</t>
  </si>
  <si>
    <t>K411377IN ES343074</t>
  </si>
  <si>
    <t>IN ES343076</t>
  </si>
  <si>
    <t>K411377IN ES343076</t>
  </si>
  <si>
    <t>IN ES343077</t>
  </si>
  <si>
    <t>K411377IN ES343077</t>
  </si>
  <si>
    <t>IN ES343079</t>
  </si>
  <si>
    <t>K411377IN ES343079</t>
  </si>
  <si>
    <t>IN ES343080</t>
  </si>
  <si>
    <t>K411377IN ES343080</t>
  </si>
  <si>
    <t>60603609</t>
  </si>
  <si>
    <t>MP/BANAFAR/01</t>
  </si>
  <si>
    <t>7009067</t>
  </si>
  <si>
    <t>C16</t>
  </si>
  <si>
    <t>BANAFAR GRANITE INDUSTRIES</t>
  </si>
  <si>
    <t>IN ES344349</t>
  </si>
  <si>
    <t>K411377IN ES344349</t>
  </si>
  <si>
    <t>IN ES344366</t>
  </si>
  <si>
    <t>K411377IN ES344366</t>
  </si>
  <si>
    <t>IN ES344378</t>
  </si>
  <si>
    <t>K411377IN ES344378</t>
  </si>
  <si>
    <t>IN ES344389</t>
  </si>
  <si>
    <t>K411377IN ES344389</t>
  </si>
  <si>
    <t>60604071</t>
  </si>
  <si>
    <t>SMRTIPL/KA/BASA</t>
  </si>
  <si>
    <t>7045567</t>
  </si>
  <si>
    <t>CG6</t>
  </si>
  <si>
    <t>BASAV SAND WORKS</t>
  </si>
  <si>
    <t>IN ES328219</t>
  </si>
  <si>
    <t>K411377IN ES328219</t>
  </si>
  <si>
    <t>IN ES328225</t>
  </si>
  <si>
    <t>K411377IN ES328225</t>
  </si>
  <si>
    <t>60604073</t>
  </si>
  <si>
    <t>SMRTIPL/UP/BCU/</t>
  </si>
  <si>
    <t>7046994</t>
  </si>
  <si>
    <t>G411373</t>
  </si>
  <si>
    <t>CG9</t>
  </si>
  <si>
    <t>D(45)</t>
  </si>
  <si>
    <t>BHARAT CONCRETE UDYOG</t>
  </si>
  <si>
    <t>IN ES343072</t>
  </si>
  <si>
    <t>G411373IN ES343072</t>
  </si>
  <si>
    <t>MOBILAM</t>
  </si>
  <si>
    <t>IN ES343075</t>
  </si>
  <si>
    <t>G411373IN ES343075</t>
  </si>
  <si>
    <t>IN ES343078</t>
  </si>
  <si>
    <t>G411373IN ES343078</t>
  </si>
  <si>
    <t>60601450</t>
  </si>
  <si>
    <t>BCC/090/25-26</t>
  </si>
  <si>
    <t>041732000</t>
  </si>
  <si>
    <t>AFROZ QAMAR</t>
  </si>
  <si>
    <t>C96</t>
  </si>
  <si>
    <t>002</t>
  </si>
  <si>
    <t>BHARAT CONSTRUCTION CO. (BOMBAY)</t>
  </si>
  <si>
    <t>IN 2323198</t>
  </si>
  <si>
    <t>K611511IN 2323198</t>
  </si>
  <si>
    <t>K511311IN 2323198</t>
  </si>
  <si>
    <t>041732001</t>
  </si>
  <si>
    <t>IN 2323248</t>
  </si>
  <si>
    <t>K511311IN 2323248</t>
  </si>
  <si>
    <t>60130089</t>
  </si>
  <si>
    <t>BSSW-LK/1701/00</t>
  </si>
  <si>
    <t>F00</t>
  </si>
  <si>
    <t>7068570</t>
  </si>
  <si>
    <t>K411372</t>
  </si>
  <si>
    <t>AMOL BHANDGE</t>
  </si>
  <si>
    <t>C39</t>
  </si>
  <si>
    <t>BHARUCHA STONE &amp; SAND WORKS P LTD</t>
  </si>
  <si>
    <t>IN ES329257</t>
  </si>
  <si>
    <t>K411372IN ES329257</t>
  </si>
  <si>
    <t>60604005</t>
  </si>
  <si>
    <t>SMRTIPL/RJ/BSAP</t>
  </si>
  <si>
    <t>7049201</t>
  </si>
  <si>
    <t>CH7</t>
  </si>
  <si>
    <t>BLACKSTONE AGGREGATE PRIVATE LTD</t>
  </si>
  <si>
    <t>IN ES334832</t>
  </si>
  <si>
    <t>G411373IN ES334832</t>
  </si>
  <si>
    <t>7012543</t>
  </si>
  <si>
    <t>C25</t>
  </si>
  <si>
    <t>IN ES334982</t>
  </si>
  <si>
    <t>G411373IN ES334982</t>
  </si>
  <si>
    <t>IN ES334983</t>
  </si>
  <si>
    <t>G411373IN ES334983</t>
  </si>
  <si>
    <t>IN ES335070</t>
  </si>
  <si>
    <t>G411373IN ES335070</t>
  </si>
  <si>
    <t>IN ES335071</t>
  </si>
  <si>
    <t>G411373IN ES335071</t>
  </si>
  <si>
    <t>IN ES335157</t>
  </si>
  <si>
    <t>G411373IN ES335157</t>
  </si>
  <si>
    <t>IN ES335158</t>
  </si>
  <si>
    <t>G411373IN ES335158</t>
  </si>
  <si>
    <t>60604303</t>
  </si>
  <si>
    <t>P.O.No.CSI/25-26/015</t>
  </si>
  <si>
    <t>042307800</t>
  </si>
  <si>
    <t>SUNIL PANDIT</t>
  </si>
  <si>
    <t>C40</t>
  </si>
  <si>
    <t>CHOURASIYA STONE INDUSTRIES</t>
  </si>
  <si>
    <t>IN 2323336</t>
  </si>
  <si>
    <t>K511311IN 2323336</t>
  </si>
  <si>
    <t>K611311IN 2323336</t>
  </si>
  <si>
    <t>60603004</t>
  </si>
  <si>
    <t>DWPO/01517/25-26</t>
  </si>
  <si>
    <t>041940400</t>
  </si>
  <si>
    <t>005</t>
  </si>
  <si>
    <t>D P JAIN &amp;CO INFRASTRUCTURE PVT LTD</t>
  </si>
  <si>
    <t>IN 2323709</t>
  </si>
  <si>
    <t>K511311IN 2323709</t>
  </si>
  <si>
    <t>60603657</t>
  </si>
  <si>
    <t>25121695674436</t>
  </si>
  <si>
    <t>DASHMESH STONE CRUSHER</t>
  </si>
  <si>
    <t>UC 20228253</t>
  </si>
  <si>
    <t>60603998</t>
  </si>
  <si>
    <t>PO/DGNS/28012026</t>
  </si>
  <si>
    <t>043406400</t>
  </si>
  <si>
    <t>DGNS WASH SAND &amp; STONE CRUSHER</t>
  </si>
  <si>
    <t>IN 2323647</t>
  </si>
  <si>
    <t>K511311IN 2323647</t>
  </si>
  <si>
    <t>60604237</t>
  </si>
  <si>
    <t>DM/SAN/160625</t>
  </si>
  <si>
    <t>039530800</t>
  </si>
  <si>
    <t>DHARMESH MINERALS &amp; COMPANY</t>
  </si>
  <si>
    <t>IN 2323568</t>
  </si>
  <si>
    <t>K511311IN 2323568</t>
  </si>
  <si>
    <t>SMRTIPL/GJ/DMC/</t>
  </si>
  <si>
    <t>7066717</t>
  </si>
  <si>
    <t>CT9</t>
  </si>
  <si>
    <t>IN ES345252</t>
  </si>
  <si>
    <t>K411377IN ES345252</t>
  </si>
  <si>
    <t>60601125</t>
  </si>
  <si>
    <t>4335749418</t>
  </si>
  <si>
    <t>DILIP BUILDCON LIMITED</t>
  </si>
  <si>
    <t>UC 20199661</t>
  </si>
  <si>
    <t>07 &gt;366</t>
  </si>
  <si>
    <t>4200428126</t>
  </si>
  <si>
    <t>041993701</t>
  </si>
  <si>
    <t>HY</t>
  </si>
  <si>
    <t>G515770</t>
  </si>
  <si>
    <t>IN 2322887</t>
  </si>
  <si>
    <t>G515770IN 2322887</t>
  </si>
  <si>
    <t>041993702</t>
  </si>
  <si>
    <t>IN 2323197</t>
  </si>
  <si>
    <t>G515770IN 2323197</t>
  </si>
  <si>
    <t>4200433075</t>
  </si>
  <si>
    <t>042055600</t>
  </si>
  <si>
    <t>049</t>
  </si>
  <si>
    <t>IN 2323219</t>
  </si>
  <si>
    <t>G515770IN 2323219</t>
  </si>
  <si>
    <t>4200435770</t>
  </si>
  <si>
    <t>042903800</t>
  </si>
  <si>
    <t>IN 2323221</t>
  </si>
  <si>
    <t>G515770IN 2323221</t>
  </si>
  <si>
    <t>4200436519</t>
  </si>
  <si>
    <t>042989600</t>
  </si>
  <si>
    <t>047</t>
  </si>
  <si>
    <t>IN 2323233</t>
  </si>
  <si>
    <t>G515770IN 2323233</t>
  </si>
  <si>
    <t>G615770</t>
  </si>
  <si>
    <t>G615770IN 2323233</t>
  </si>
  <si>
    <t>4200435959</t>
  </si>
  <si>
    <t>042902600</t>
  </si>
  <si>
    <t>IN 2323235</t>
  </si>
  <si>
    <t>G615770IN 2323235</t>
  </si>
  <si>
    <t>G515770IN 2323235</t>
  </si>
  <si>
    <t>042902601</t>
  </si>
  <si>
    <t>IN 2323395</t>
  </si>
  <si>
    <t>G515770IN 2323395</t>
  </si>
  <si>
    <t>4200437514</t>
  </si>
  <si>
    <t>043113300</t>
  </si>
  <si>
    <t>IN 2323396</t>
  </si>
  <si>
    <t>G515770IN 2323396</t>
  </si>
  <si>
    <t>G615770IN 2323396</t>
  </si>
  <si>
    <t>4200439817</t>
  </si>
  <si>
    <t>043359300</t>
  </si>
  <si>
    <t>DL</t>
  </si>
  <si>
    <t>009</t>
  </si>
  <si>
    <t>IN 2323790</t>
  </si>
  <si>
    <t>G515770IN 2323790</t>
  </si>
  <si>
    <t>4200439664</t>
  </si>
  <si>
    <t>043359500</t>
  </si>
  <si>
    <t>G511378</t>
  </si>
  <si>
    <t>IN 2323791</t>
  </si>
  <si>
    <t>G511378IN 2323791</t>
  </si>
  <si>
    <t>G515770IN 2323791</t>
  </si>
  <si>
    <t>G615770IN 2323791</t>
  </si>
  <si>
    <t>4200432108</t>
  </si>
  <si>
    <t>042355600</t>
  </si>
  <si>
    <t>041</t>
  </si>
  <si>
    <t>IN 2323792</t>
  </si>
  <si>
    <t>G515770IN 2323792</t>
  </si>
  <si>
    <t>4200439659</t>
  </si>
  <si>
    <t>043359600</t>
  </si>
  <si>
    <t>IN 2323793</t>
  </si>
  <si>
    <t>G515770IN 2323793</t>
  </si>
  <si>
    <t>4200442465</t>
  </si>
  <si>
    <t>042899800</t>
  </si>
  <si>
    <t>IN 2323933</t>
  </si>
  <si>
    <t>G615770IN 2323933</t>
  </si>
  <si>
    <t>4200438074</t>
  </si>
  <si>
    <t>043178200</t>
  </si>
  <si>
    <t>IN 2323934</t>
  </si>
  <si>
    <t>G615770IN 2323934</t>
  </si>
  <si>
    <t>4200443128</t>
  </si>
  <si>
    <t>043816000</t>
  </si>
  <si>
    <t>IN 2316021</t>
  </si>
  <si>
    <t>G515770IN 2316021</t>
  </si>
  <si>
    <t>043359501</t>
  </si>
  <si>
    <t>IN 2324003</t>
  </si>
  <si>
    <t>G515770IN 2324003</t>
  </si>
  <si>
    <t>4200442875</t>
  </si>
  <si>
    <t>043479100</t>
  </si>
  <si>
    <t>IN 2324004</t>
  </si>
  <si>
    <t>G615770IN 2324004</t>
  </si>
  <si>
    <t>4200440650</t>
  </si>
  <si>
    <t>043394200</t>
  </si>
  <si>
    <t>IN 2324005</t>
  </si>
  <si>
    <t>G515770IN 2324005</t>
  </si>
  <si>
    <t>043359601</t>
  </si>
  <si>
    <t>IN 2324006</t>
  </si>
  <si>
    <t>G515770IN 2324006</t>
  </si>
  <si>
    <t>4200441585</t>
  </si>
  <si>
    <t>043566200</t>
  </si>
  <si>
    <t>024</t>
  </si>
  <si>
    <t>IN 2324036</t>
  </si>
  <si>
    <t>G515770IN 2324036</t>
  </si>
  <si>
    <t>043113301</t>
  </si>
  <si>
    <t>IN 2324037</t>
  </si>
  <si>
    <t>G515770IN 2324037</t>
  </si>
  <si>
    <t>4200438068</t>
  </si>
  <si>
    <t>042780400</t>
  </si>
  <si>
    <t>048</t>
  </si>
  <si>
    <t>IN 2324038</t>
  </si>
  <si>
    <t>G515770IN 2324038</t>
  </si>
  <si>
    <t>60604420</t>
  </si>
  <si>
    <t>PO NO - 303</t>
  </si>
  <si>
    <t>7067528</t>
  </si>
  <si>
    <t>DINESHCHANDRA R AGRAWAL INFRACON</t>
  </si>
  <si>
    <t>IN ES324391</t>
  </si>
  <si>
    <t>E511502IN ES324391</t>
  </si>
  <si>
    <t>IN ES324396</t>
  </si>
  <si>
    <t>E511502IN ES324396</t>
  </si>
  <si>
    <t>7067527</t>
  </si>
  <si>
    <t>IN ES329185</t>
  </si>
  <si>
    <t>D511360IN ES329185</t>
  </si>
  <si>
    <t>7067835</t>
  </si>
  <si>
    <t>IN ES329186</t>
  </si>
  <si>
    <t>D511360IN ES329186</t>
  </si>
  <si>
    <t>IN ES324402</t>
  </si>
  <si>
    <t>E511502IN ES324402</t>
  </si>
  <si>
    <t>IN ES324404</t>
  </si>
  <si>
    <t>E511502IN ES324404</t>
  </si>
  <si>
    <t>IN ES324410</t>
  </si>
  <si>
    <t>E511502IN ES324410</t>
  </si>
  <si>
    <t>E611502</t>
  </si>
  <si>
    <t>IN ES324413</t>
  </si>
  <si>
    <t>E611502IN ES324413</t>
  </si>
  <si>
    <t>E511502IN ES324413</t>
  </si>
  <si>
    <t>IN ES324415</t>
  </si>
  <si>
    <t>E511502IN ES324415</t>
  </si>
  <si>
    <t>IN ES324416</t>
  </si>
  <si>
    <t>E511502IN ES324416</t>
  </si>
  <si>
    <t>IN ES324419</t>
  </si>
  <si>
    <t>E511502IN ES324419</t>
  </si>
  <si>
    <t>IN ES324428</t>
  </si>
  <si>
    <t>E511502IN ES324428</t>
  </si>
  <si>
    <t>IN ES324434</t>
  </si>
  <si>
    <t>E511502IN ES324434</t>
  </si>
  <si>
    <t>7067524</t>
  </si>
  <si>
    <t>IN ES329244</t>
  </si>
  <si>
    <t>L511325IN ES329244</t>
  </si>
  <si>
    <t>7068458</t>
  </si>
  <si>
    <t>IN ES329245</t>
  </si>
  <si>
    <t>L511325IN ES329245</t>
  </si>
  <si>
    <t>7067522</t>
  </si>
  <si>
    <t>IN ES329246</t>
  </si>
  <si>
    <t>D511360IN ES329246</t>
  </si>
  <si>
    <t>IN ES324445</t>
  </si>
  <si>
    <t>E511502IN ES324445</t>
  </si>
  <si>
    <t>7067529</t>
  </si>
  <si>
    <t>IN ES324463</t>
  </si>
  <si>
    <t>E511502IN ES324463</t>
  </si>
  <si>
    <t>ME</t>
  </si>
  <si>
    <t>60604396</t>
  </si>
  <si>
    <t>25102700709636</t>
  </si>
  <si>
    <t>K100000</t>
  </si>
  <si>
    <t>DNYANESHWAR STONE METAL</t>
  </si>
  <si>
    <t>UC 20225100</t>
  </si>
  <si>
    <t>K100000UC 20225100</t>
  </si>
  <si>
    <t>60604253</t>
  </si>
  <si>
    <t>SMRTIPL/TN/EMVR</t>
  </si>
  <si>
    <t>7062216</t>
  </si>
  <si>
    <t>CK7</t>
  </si>
  <si>
    <t>EMVRAA STONES</t>
  </si>
  <si>
    <t>IN ES339015</t>
  </si>
  <si>
    <t>K411377IN ES339015</t>
  </si>
  <si>
    <t>IN ES339017</t>
  </si>
  <si>
    <t>K411377IN ES339017</t>
  </si>
  <si>
    <t>60602554</t>
  </si>
  <si>
    <t>PO-784-STK</t>
  </si>
  <si>
    <t>043353500</t>
  </si>
  <si>
    <t>05</t>
  </si>
  <si>
    <t>SPL</t>
  </si>
  <si>
    <t>ENCORE HEAVY MACHINERY PVT LTD</t>
  </si>
  <si>
    <t>IN 2323606</t>
  </si>
  <si>
    <t>K611511IN 2323606</t>
  </si>
  <si>
    <t>PO-785-STK</t>
  </si>
  <si>
    <t>043377200</t>
  </si>
  <si>
    <t>IN 2323607</t>
  </si>
  <si>
    <t>K611511IN 2323607</t>
  </si>
  <si>
    <t>PO-782-SGS</t>
  </si>
  <si>
    <t>043135701</t>
  </si>
  <si>
    <t>IN 2323608</t>
  </si>
  <si>
    <t>K611311IN 2323608</t>
  </si>
  <si>
    <t>PO-779-TMM</t>
  </si>
  <si>
    <t>043069102</t>
  </si>
  <si>
    <t>K511315</t>
  </si>
  <si>
    <t>IN 2323609</t>
  </si>
  <si>
    <t>K511315IN 2323609</t>
  </si>
  <si>
    <t>PO-ASC-013</t>
  </si>
  <si>
    <t>042898000</t>
  </si>
  <si>
    <t>IN 2323735</t>
  </si>
  <si>
    <t>M611011IN 2323735</t>
  </si>
  <si>
    <t>PO-787-PSC</t>
  </si>
  <si>
    <t>043532500</t>
  </si>
  <si>
    <t>IN 2323736</t>
  </si>
  <si>
    <t>K611311IN 2323736</t>
  </si>
  <si>
    <t>M611920IN 2323736</t>
  </si>
  <si>
    <t>PO-778-NBM</t>
  </si>
  <si>
    <t>043035404</t>
  </si>
  <si>
    <t>IN 2323737</t>
  </si>
  <si>
    <t>K611511IN 2323737</t>
  </si>
  <si>
    <t>PO-788-ASC</t>
  </si>
  <si>
    <t>043532700</t>
  </si>
  <si>
    <t>IN 2323738</t>
  </si>
  <si>
    <t>K611311IN 2323738</t>
  </si>
  <si>
    <t>PO-786-STK</t>
  </si>
  <si>
    <t>043415800</t>
  </si>
  <si>
    <t>IN 2323739</t>
  </si>
  <si>
    <t>K511311IN 2323739</t>
  </si>
  <si>
    <t>K611311IN 2323739</t>
  </si>
  <si>
    <t>M611327</t>
  </si>
  <si>
    <t>M611327IN 2323739</t>
  </si>
  <si>
    <t>M511327</t>
  </si>
  <si>
    <t>M511327IN 2323739</t>
  </si>
  <si>
    <t>PO-789-STK</t>
  </si>
  <si>
    <t>043567800</t>
  </si>
  <si>
    <t>IN 2323773</t>
  </si>
  <si>
    <t>K611511IN 2323773</t>
  </si>
  <si>
    <t>PO-790-BSM</t>
  </si>
  <si>
    <t>043567900</t>
  </si>
  <si>
    <t>IN 2323774</t>
  </si>
  <si>
    <t>K511311IN 2323774</t>
  </si>
  <si>
    <t>043415801</t>
  </si>
  <si>
    <t>IN 2323775</t>
  </si>
  <si>
    <t>M511327IN 2323775</t>
  </si>
  <si>
    <t>PO-793-STK</t>
  </si>
  <si>
    <t>043632900</t>
  </si>
  <si>
    <t>IN 2315959</t>
  </si>
  <si>
    <t>K511311IN 2315959</t>
  </si>
  <si>
    <t>PO-791-STK</t>
  </si>
  <si>
    <t>043599400</t>
  </si>
  <si>
    <t>IN 2323806</t>
  </si>
  <si>
    <t>K611511IN 2323806</t>
  </si>
  <si>
    <t>PO-792-BSM</t>
  </si>
  <si>
    <t>043599500</t>
  </si>
  <si>
    <t>IN 2323807</t>
  </si>
  <si>
    <t>K611311IN 2323807</t>
  </si>
  <si>
    <t>043599502</t>
  </si>
  <si>
    <t>IN 2315992</t>
  </si>
  <si>
    <t>K511411IN 2315992</t>
  </si>
  <si>
    <t>043599501</t>
  </si>
  <si>
    <t>IN 2323947</t>
  </si>
  <si>
    <t>K611311IN 2323947</t>
  </si>
  <si>
    <t>PO-794-KME</t>
  </si>
  <si>
    <t>043693300</t>
  </si>
  <si>
    <t>IN 2323948</t>
  </si>
  <si>
    <t>K611512IN 2323948</t>
  </si>
  <si>
    <t>K611511IN 2323948</t>
  </si>
  <si>
    <t>043069103</t>
  </si>
  <si>
    <t>IN 2323949</t>
  </si>
  <si>
    <t>K511315IN 2323949</t>
  </si>
  <si>
    <t>043532501</t>
  </si>
  <si>
    <t>IN 2323950</t>
  </si>
  <si>
    <t>K511411IN 2323950</t>
  </si>
  <si>
    <t>PO-795-KME</t>
  </si>
  <si>
    <t>043760900</t>
  </si>
  <si>
    <t>IN 2323951</t>
  </si>
  <si>
    <t>K511311IN 2323951</t>
  </si>
  <si>
    <t>K611311IN 2323951</t>
  </si>
  <si>
    <t>043599401</t>
  </si>
  <si>
    <t>IN 2323952</t>
  </si>
  <si>
    <t>K611317IN 2323952</t>
  </si>
  <si>
    <t>K611511IN 2323952</t>
  </si>
  <si>
    <t>60602972</t>
  </si>
  <si>
    <t>4042952172895</t>
  </si>
  <si>
    <t>Ashith Kumar Parenky</t>
  </si>
  <si>
    <t>A10</t>
  </si>
  <si>
    <t>UC 20182579</t>
  </si>
  <si>
    <t>South</t>
  </si>
  <si>
    <t>50200019376745</t>
  </si>
  <si>
    <t>UC 20189861</t>
  </si>
  <si>
    <t>0668473028</t>
  </si>
  <si>
    <t>UC 20202290</t>
  </si>
  <si>
    <t>1098063764</t>
  </si>
  <si>
    <t>UC 20210030</t>
  </si>
  <si>
    <t>26013163962171</t>
  </si>
  <si>
    <t>UC 20232006</t>
  </si>
  <si>
    <t>26013163898762</t>
  </si>
  <si>
    <t>UC 20232008</t>
  </si>
  <si>
    <t>60603897</t>
  </si>
  <si>
    <t>24000505</t>
  </si>
  <si>
    <t>7059053</t>
  </si>
  <si>
    <t>02</t>
  </si>
  <si>
    <t>ANKUR MAHESHWARI</t>
  </si>
  <si>
    <t>A21</t>
  </si>
  <si>
    <t>ETRACK CRUSHERS PRIVATE LIMITED</t>
  </si>
  <si>
    <t>IN ES305667</t>
  </si>
  <si>
    <t>E511300IN ES305667</t>
  </si>
  <si>
    <t>E511502IN ES305667</t>
  </si>
  <si>
    <t>25000673</t>
  </si>
  <si>
    <t>7065073</t>
  </si>
  <si>
    <t>IN ES329255</t>
  </si>
  <si>
    <t>E511300IN ES329255</t>
  </si>
  <si>
    <t>7065074</t>
  </si>
  <si>
    <t>IN ES329256</t>
  </si>
  <si>
    <t>E511300IN ES329256</t>
  </si>
  <si>
    <t>92500089</t>
  </si>
  <si>
    <t>043699100</t>
  </si>
  <si>
    <t>IN 2316022</t>
  </si>
  <si>
    <t>K611311IN 2316022</t>
  </si>
  <si>
    <t>K511311IN 2316022</t>
  </si>
  <si>
    <t>SC600013</t>
  </si>
  <si>
    <t>MATEX2958FRSO21</t>
  </si>
  <si>
    <t>EVERGREEN RECYLING</t>
  </si>
  <si>
    <t>IN 2315505</t>
  </si>
  <si>
    <t>AM - Scrap Sales</t>
  </si>
  <si>
    <t>Scrap</t>
  </si>
  <si>
    <t>IN 2326293</t>
  </si>
  <si>
    <t>60603910</t>
  </si>
  <si>
    <t>PO/GKS/12012026</t>
  </si>
  <si>
    <t>R00</t>
  </si>
  <si>
    <t>7067683</t>
  </si>
  <si>
    <t>K411376</t>
  </si>
  <si>
    <t>G.K. STONE INDUSTRIES</t>
  </si>
  <si>
    <t>IN ES329207</t>
  </si>
  <si>
    <t>K411376IN ES329207</t>
  </si>
  <si>
    <t>20000003</t>
  </si>
  <si>
    <t>TATA-90/JEIM</t>
  </si>
  <si>
    <t>042486700</t>
  </si>
  <si>
    <t>M511222</t>
  </si>
  <si>
    <t>Trinath Behera</t>
  </si>
  <si>
    <t>A73</t>
  </si>
  <si>
    <t>GANPATI ASSOCIATES</t>
  </si>
  <si>
    <t>IN 2323208</t>
  </si>
  <si>
    <t>M511222IN 2323208</t>
  </si>
  <si>
    <t>East - Mining</t>
  </si>
  <si>
    <t>11/GA/25-26/SCHENCK</t>
  </si>
  <si>
    <t>039366201</t>
  </si>
  <si>
    <t>IN 2323530</t>
  </si>
  <si>
    <t>M511222IN 2323530</t>
  </si>
  <si>
    <t>51/GA/25-26/STOCK</t>
  </si>
  <si>
    <t>041748800</t>
  </si>
  <si>
    <t>IN 2323531</t>
  </si>
  <si>
    <t>M511222IN 2323531</t>
  </si>
  <si>
    <t>34/GA/24-25/KIM</t>
  </si>
  <si>
    <t>037319017</t>
  </si>
  <si>
    <t>M611221</t>
  </si>
  <si>
    <t>IN 2323532</t>
  </si>
  <si>
    <t>M611221IN 2323532</t>
  </si>
  <si>
    <t>33/GA/25-26/KIM</t>
  </si>
  <si>
    <t>039912305</t>
  </si>
  <si>
    <t>IN 2323533</t>
  </si>
  <si>
    <t>M511222IN 2323533</t>
  </si>
  <si>
    <t>TATA NMD --27 REV 4</t>
  </si>
  <si>
    <t>038893504</t>
  </si>
  <si>
    <t>IN 2323936</t>
  </si>
  <si>
    <t>M511222IN 2323936</t>
  </si>
  <si>
    <t>36/25-26/JSR</t>
  </si>
  <si>
    <t>039913100</t>
  </si>
  <si>
    <t>IN 2323986</t>
  </si>
  <si>
    <t>M511222IN 2323986</t>
  </si>
  <si>
    <t>M511231</t>
  </si>
  <si>
    <t>M511231IN 2323986</t>
  </si>
  <si>
    <t>69/GA/25-26/JODA</t>
  </si>
  <si>
    <t>042612200</t>
  </si>
  <si>
    <t>IN 2323987</t>
  </si>
  <si>
    <t>M511222IN 2323987</t>
  </si>
  <si>
    <t>108/GA/25-26/JSR</t>
  </si>
  <si>
    <t>043276600</t>
  </si>
  <si>
    <t>IN 2323988</t>
  </si>
  <si>
    <t>M511222IN 2323988</t>
  </si>
  <si>
    <t>65/JEIM/IOPP</t>
  </si>
  <si>
    <t>040766800</t>
  </si>
  <si>
    <t>IN 2323990</t>
  </si>
  <si>
    <t>M511222IN 2323990</t>
  </si>
  <si>
    <t>80/JODA IOPP</t>
  </si>
  <si>
    <t>042403500</t>
  </si>
  <si>
    <t>IN 2323991</t>
  </si>
  <si>
    <t>M511222IN 2323991</t>
  </si>
  <si>
    <t>79/NIM IOPP/AMD</t>
  </si>
  <si>
    <t>042486900</t>
  </si>
  <si>
    <t>M411011</t>
  </si>
  <si>
    <t>IN 2337659</t>
  </si>
  <si>
    <t>M411011IN 2337659</t>
  </si>
  <si>
    <t>GA-TATA-84/NINL</t>
  </si>
  <si>
    <t>042486200</t>
  </si>
  <si>
    <t>IN 2337663</t>
  </si>
  <si>
    <t>M511222IN 2337663</t>
  </si>
  <si>
    <t>60601571</t>
  </si>
  <si>
    <t>87/GA/25-26/KIM</t>
  </si>
  <si>
    <t>042851600</t>
  </si>
  <si>
    <t>KO</t>
  </si>
  <si>
    <t>K515776</t>
  </si>
  <si>
    <t>004</t>
  </si>
  <si>
    <t>IN 2337328</t>
  </si>
  <si>
    <t>K515776IN 2337328</t>
  </si>
  <si>
    <t>64/GA/25-26/JEIM/KIM</t>
  </si>
  <si>
    <t>042260401</t>
  </si>
  <si>
    <t>IN 2337329</t>
  </si>
  <si>
    <t>K511411IN 2337329</t>
  </si>
  <si>
    <t>K511311IN 2337329</t>
  </si>
  <si>
    <t>48/GA/25-26/JODA</t>
  </si>
  <si>
    <t>041410700</t>
  </si>
  <si>
    <t>IN 2337330</t>
  </si>
  <si>
    <t>K511411IN 2337330</t>
  </si>
  <si>
    <t>K511311IN 2337330</t>
  </si>
  <si>
    <t>55/GA/25-26/KIM</t>
  </si>
  <si>
    <t>041793600</t>
  </si>
  <si>
    <t>IN 2337331</t>
  </si>
  <si>
    <t>K611511IN 2337331</t>
  </si>
  <si>
    <t>60/GA/25-26/KIM</t>
  </si>
  <si>
    <t>042219400</t>
  </si>
  <si>
    <t>IN 2337332</t>
  </si>
  <si>
    <t>K611311IN 2337332</t>
  </si>
  <si>
    <t>58/GA/25-26/KIM</t>
  </si>
  <si>
    <t>042058200</t>
  </si>
  <si>
    <t>IN 2337333</t>
  </si>
  <si>
    <t>K511311IN 2337333</t>
  </si>
  <si>
    <t>K611311IN 2337333</t>
  </si>
  <si>
    <t>54/GA/25-26/KIM</t>
  </si>
  <si>
    <t>041793101</t>
  </si>
  <si>
    <t>IN 2337334</t>
  </si>
  <si>
    <t>K511411IN 2337334</t>
  </si>
  <si>
    <t>K511311IN 2337334</t>
  </si>
  <si>
    <t>K611311IN 2337334</t>
  </si>
  <si>
    <t>118/GA/24-25</t>
  </si>
  <si>
    <t>037488901</t>
  </si>
  <si>
    <t>Raghunath Swain</t>
  </si>
  <si>
    <t>D68</t>
  </si>
  <si>
    <t>IN 2337335</t>
  </si>
  <si>
    <t>K515776IN 2337335</t>
  </si>
  <si>
    <t>49/GA/24-25/KIM</t>
  </si>
  <si>
    <t>035067108</t>
  </si>
  <si>
    <t>IN 2337336</t>
  </si>
  <si>
    <t>K511311IN 2337336</t>
  </si>
  <si>
    <t>103/GA/23-24/KBD</t>
  </si>
  <si>
    <t>031326813</t>
  </si>
  <si>
    <t>K515775</t>
  </si>
  <si>
    <t>IN 2337337</t>
  </si>
  <si>
    <t>K515775IN 2337337</t>
  </si>
  <si>
    <t>90/GA/23-24/KBD</t>
  </si>
  <si>
    <t>031008110</t>
  </si>
  <si>
    <t>SOUVIK GHOSH</t>
  </si>
  <si>
    <t>A70</t>
  </si>
  <si>
    <t>IN 2337338</t>
  </si>
  <si>
    <t>K515775IN 2337338</t>
  </si>
  <si>
    <t>042219401</t>
  </si>
  <si>
    <t>IN 2337339</t>
  </si>
  <si>
    <t>K511411IN 2337339</t>
  </si>
  <si>
    <t>61/GA/25-26/NIM</t>
  </si>
  <si>
    <t>042224100</t>
  </si>
  <si>
    <t>IN 2337340</t>
  </si>
  <si>
    <t>K515775IN 2337340</t>
  </si>
  <si>
    <t>041793601</t>
  </si>
  <si>
    <t>K511511</t>
  </si>
  <si>
    <t>IN 2343364</t>
  </si>
  <si>
    <t>K511511IN 2343364</t>
  </si>
  <si>
    <t>69/GA/24-25/JEIM</t>
  </si>
  <si>
    <t>035642107</t>
  </si>
  <si>
    <t>IN 2337344</t>
  </si>
  <si>
    <t>K511411IN 2337344</t>
  </si>
  <si>
    <t>117/GA/24-25</t>
  </si>
  <si>
    <t>037488304</t>
  </si>
  <si>
    <t>K511711</t>
  </si>
  <si>
    <t>IN 2337345</t>
  </si>
  <si>
    <t>K511711IN 2337345</t>
  </si>
  <si>
    <t>042260402</t>
  </si>
  <si>
    <t>IN 2337346</t>
  </si>
  <si>
    <t>K515775IN 2337346</t>
  </si>
  <si>
    <t>66/GA/25-26/JEIM</t>
  </si>
  <si>
    <t>042339800</t>
  </si>
  <si>
    <t>IN 2337347</t>
  </si>
  <si>
    <t>K511411IN 2337347</t>
  </si>
  <si>
    <t>K511311IN 2337347</t>
  </si>
  <si>
    <t>K611311IN 2337347</t>
  </si>
  <si>
    <t>138/GA/24-25</t>
  </si>
  <si>
    <t>038384404</t>
  </si>
  <si>
    <t>SCHEDULED ORDER</t>
  </si>
  <si>
    <t>IN 2337348</t>
  </si>
  <si>
    <t>K511711IN 2337348</t>
  </si>
  <si>
    <t>139/GA/24-25/KBD</t>
  </si>
  <si>
    <t>038397802</t>
  </si>
  <si>
    <t>IN 2337349</t>
  </si>
  <si>
    <t>K515775IN 2337349</t>
  </si>
  <si>
    <t>041793102</t>
  </si>
  <si>
    <t>IN 2337350</t>
  </si>
  <si>
    <t>K511411IN 2337350</t>
  </si>
  <si>
    <t>042058201</t>
  </si>
  <si>
    <t>IN 2337351</t>
  </si>
  <si>
    <t>K511311IN 2337351</t>
  </si>
  <si>
    <t>44/GA/25-26/KIM</t>
  </si>
  <si>
    <t>041247100</t>
  </si>
  <si>
    <t>IN 2337352</t>
  </si>
  <si>
    <t>K511311IN 2337352</t>
  </si>
  <si>
    <t>K515775IN 2337352</t>
  </si>
  <si>
    <t>042219402</t>
  </si>
  <si>
    <t>IN 2337353</t>
  </si>
  <si>
    <t>K511311IN 2337353</t>
  </si>
  <si>
    <t>K511411IN 2337353</t>
  </si>
  <si>
    <t>ORDER NO. 76/KI</t>
  </si>
  <si>
    <t>7067516</t>
  </si>
  <si>
    <t>IN ES329165</t>
  </si>
  <si>
    <t>K411376IN ES329165</t>
  </si>
  <si>
    <t>29/GA/25-26/BSL</t>
  </si>
  <si>
    <t>040721402</t>
  </si>
  <si>
    <t>008</t>
  </si>
  <si>
    <t>IN 2323327</t>
  </si>
  <si>
    <t>M511327IN 2323327</t>
  </si>
  <si>
    <t>72/GA/25-26/BSL</t>
  </si>
  <si>
    <t>042479200</t>
  </si>
  <si>
    <t>IN 2323328</t>
  </si>
  <si>
    <t>K511311IN 2323328</t>
  </si>
  <si>
    <t>92/GA/25-26/TMPL</t>
  </si>
  <si>
    <t>043059000</t>
  </si>
  <si>
    <t>P. Satish Kumar</t>
  </si>
  <si>
    <t>E04</t>
  </si>
  <si>
    <t>014</t>
  </si>
  <si>
    <t>IN 2323329</t>
  </si>
  <si>
    <t>K511311IN 2323329</t>
  </si>
  <si>
    <t>South 1</t>
  </si>
  <si>
    <t>K511411IN 2323329</t>
  </si>
  <si>
    <t>K611511IN 2323329</t>
  </si>
  <si>
    <t>91/GA/25-26/TMPL</t>
  </si>
  <si>
    <t>043058800</t>
  </si>
  <si>
    <t>SP4</t>
  </si>
  <si>
    <t>IN 2323330</t>
  </si>
  <si>
    <t>K611511IN 2323330</t>
  </si>
  <si>
    <t>31/GA/25-26/TMPL</t>
  </si>
  <si>
    <t>040756201</t>
  </si>
  <si>
    <t>IN 2323331</t>
  </si>
  <si>
    <t>K611511IN 2323331</t>
  </si>
  <si>
    <t>042224101</t>
  </si>
  <si>
    <t>IN 2337399</t>
  </si>
  <si>
    <t>K515775IN 2337399</t>
  </si>
  <si>
    <t>137/GA/24-25/NIM</t>
  </si>
  <si>
    <t>038311200</t>
  </si>
  <si>
    <t>IN 2337400</t>
  </si>
  <si>
    <t>K515776IN 2337400</t>
  </si>
  <si>
    <t>17/GA/25-26/KBD</t>
  </si>
  <si>
    <t>039913600</t>
  </si>
  <si>
    <t>IN 2337403</t>
  </si>
  <si>
    <t>K511411IN 2337403</t>
  </si>
  <si>
    <t>041247101</t>
  </si>
  <si>
    <t>IN 2337404</t>
  </si>
  <si>
    <t>K515775IN 2337404</t>
  </si>
  <si>
    <t>K511311IN 2337404</t>
  </si>
  <si>
    <t>042058202</t>
  </si>
  <si>
    <t>IN 2337405</t>
  </si>
  <si>
    <t>K511311IN 2337405</t>
  </si>
  <si>
    <t>042219403</t>
  </si>
  <si>
    <t>IN 2337406</t>
  </si>
  <si>
    <t>K511411IN 2337406</t>
  </si>
  <si>
    <t>042339801</t>
  </si>
  <si>
    <t>IN 2337407</t>
  </si>
  <si>
    <t>K511411IN 2337407</t>
  </si>
  <si>
    <t>K511311IN 2337407</t>
  </si>
  <si>
    <t>88/GA/25-26/JEIM</t>
  </si>
  <si>
    <t>042897500</t>
  </si>
  <si>
    <t>IN 2337408</t>
  </si>
  <si>
    <t>K511411IN 2337408</t>
  </si>
  <si>
    <t>K511311IN 2337408</t>
  </si>
  <si>
    <t>042260403</t>
  </si>
  <si>
    <t>IN 2337409</t>
  </si>
  <si>
    <t>K511311IN 2337409</t>
  </si>
  <si>
    <t>53/GA/25-26/KIM</t>
  </si>
  <si>
    <t>041975502</t>
  </si>
  <si>
    <t>013</t>
  </si>
  <si>
    <t>IN 2337412</t>
  </si>
  <si>
    <t>K511311IN 2337412</t>
  </si>
  <si>
    <t>K511411IN 2337412</t>
  </si>
  <si>
    <t>23/GA/25-26/BSL</t>
  </si>
  <si>
    <t>040352504</t>
  </si>
  <si>
    <t>IN 2337413</t>
  </si>
  <si>
    <t>K511311IN 2337413</t>
  </si>
  <si>
    <t>93/GA/25-26/BSL</t>
  </si>
  <si>
    <t>043064800</t>
  </si>
  <si>
    <t>IN 2337414</t>
  </si>
  <si>
    <t>M511327IN 2337414</t>
  </si>
  <si>
    <t>042260404</t>
  </si>
  <si>
    <t>IN 2337522</t>
  </si>
  <si>
    <t>K515775IN 2337522</t>
  </si>
  <si>
    <t>86/GA/25-26</t>
  </si>
  <si>
    <t>042832900</t>
  </si>
  <si>
    <t>IN 2337523</t>
  </si>
  <si>
    <t>K511411IN 2337523</t>
  </si>
  <si>
    <t>038384405</t>
  </si>
  <si>
    <t>IN 2337524</t>
  </si>
  <si>
    <t>K511711IN 2337524</t>
  </si>
  <si>
    <t>40/GA/25-26/KIM</t>
  </si>
  <si>
    <t>041169000</t>
  </si>
  <si>
    <t>IN 2337547</t>
  </si>
  <si>
    <t>K515776IN 2337547</t>
  </si>
  <si>
    <t>67/GA/25-26/KIM</t>
  </si>
  <si>
    <t>042427100</t>
  </si>
  <si>
    <t>IN 2337548</t>
  </si>
  <si>
    <t>K511411IN 2337548</t>
  </si>
  <si>
    <t>K511311IN 2337548</t>
  </si>
  <si>
    <t>K515775IN 2337548</t>
  </si>
  <si>
    <t>041793103</t>
  </si>
  <si>
    <t>IN 2337549</t>
  </si>
  <si>
    <t>K511311IN 2337549</t>
  </si>
  <si>
    <t>042058203</t>
  </si>
  <si>
    <t>IN 2337550</t>
  </si>
  <si>
    <t>K511311IN 2337550</t>
  </si>
  <si>
    <t>97/GA/25-26</t>
  </si>
  <si>
    <t>043274300</t>
  </si>
  <si>
    <t>IN 2337551</t>
  </si>
  <si>
    <t>K511411IN 2337551</t>
  </si>
  <si>
    <t>K511311IN 2337551</t>
  </si>
  <si>
    <t>041247102</t>
  </si>
  <si>
    <t>IN 2337552</t>
  </si>
  <si>
    <t>K515775IN 2337552</t>
  </si>
  <si>
    <t>031326815</t>
  </si>
  <si>
    <t>IN 2337553</t>
  </si>
  <si>
    <t>K511311IN 2337553</t>
  </si>
  <si>
    <t>K515775IN 2337553</t>
  </si>
  <si>
    <t>038384406</t>
  </si>
  <si>
    <t>IN 2337554</t>
  </si>
  <si>
    <t>K511711IN 2337554</t>
  </si>
  <si>
    <t>042260405</t>
  </si>
  <si>
    <t>IN 2337555</t>
  </si>
  <si>
    <t>K511411IN 2337555</t>
  </si>
  <si>
    <t>042339802</t>
  </si>
  <si>
    <t>IN 2337556</t>
  </si>
  <si>
    <t>K511411IN 2337556</t>
  </si>
  <si>
    <t>K511311IN 2337556</t>
  </si>
  <si>
    <t>K511315IN 2337556</t>
  </si>
  <si>
    <t>87/GA/25-26/JODA</t>
  </si>
  <si>
    <t>042835100</t>
  </si>
  <si>
    <t>IN 2337557</t>
  </si>
  <si>
    <t>K511411IN 2337557</t>
  </si>
  <si>
    <t>042897501</t>
  </si>
  <si>
    <t>IN 2337558</t>
  </si>
  <si>
    <t>K511411IN 2337558</t>
  </si>
  <si>
    <t>113/GA/25-26/TMPL</t>
  </si>
  <si>
    <t>043598900</t>
  </si>
  <si>
    <t>IN 2323835</t>
  </si>
  <si>
    <t>K611311IN 2323835</t>
  </si>
  <si>
    <t>110/GA/25-26/TMPL</t>
  </si>
  <si>
    <t>043473100</t>
  </si>
  <si>
    <t>IN 2323836</t>
  </si>
  <si>
    <t>K511311IN 2323836</t>
  </si>
  <si>
    <t>111/GA/25-26/TMPL</t>
  </si>
  <si>
    <t>043473200</t>
  </si>
  <si>
    <t>IN 2323837</t>
  </si>
  <si>
    <t>K611511IN 2323837</t>
  </si>
  <si>
    <t>043059001</t>
  </si>
  <si>
    <t>IN 2323893</t>
  </si>
  <si>
    <t>K511311IN 2323893</t>
  </si>
  <si>
    <t>116/GA/25-26</t>
  </si>
  <si>
    <t>043667700</t>
  </si>
  <si>
    <t>IN 2323954</t>
  </si>
  <si>
    <t>M611327IN 2323954</t>
  </si>
  <si>
    <t>K511311IN 2323954</t>
  </si>
  <si>
    <t>115/GA/25-26/TMPL</t>
  </si>
  <si>
    <t>043765200</t>
  </si>
  <si>
    <t>M611900</t>
  </si>
  <si>
    <t>IN 2323955</t>
  </si>
  <si>
    <t>M611900IN 2323955</t>
  </si>
  <si>
    <t>60604169</t>
  </si>
  <si>
    <t>GRM/2025-26/561</t>
  </si>
  <si>
    <t>043001000</t>
  </si>
  <si>
    <t>SIBA MISHRA</t>
  </si>
  <si>
    <t>A43</t>
  </si>
  <si>
    <t>GEETA RANI MOHANTY</t>
  </si>
  <si>
    <t>IN 2337410</t>
  </si>
  <si>
    <t>K611311IN 2337410</t>
  </si>
  <si>
    <t>K611512IN 2337410</t>
  </si>
  <si>
    <t>K611511IN 2337410</t>
  </si>
  <si>
    <t>K511311IN 2337410</t>
  </si>
  <si>
    <t>K611317IN 2337410</t>
  </si>
  <si>
    <t>GRM/2025-26/496</t>
  </si>
  <si>
    <t>042530700</t>
  </si>
  <si>
    <t>IN 2323756</t>
  </si>
  <si>
    <t>M611011IN 2323756</t>
  </si>
  <si>
    <t>M511011</t>
  </si>
  <si>
    <t>M511011IN 2323756</t>
  </si>
  <si>
    <t>GRM/2025-26/520</t>
  </si>
  <si>
    <t>042724501</t>
  </si>
  <si>
    <t>IN 2323757</t>
  </si>
  <si>
    <t>M511327IN 2323757</t>
  </si>
  <si>
    <t>60604361</t>
  </si>
  <si>
    <t>9400000377</t>
  </si>
  <si>
    <t>7065090</t>
  </si>
  <si>
    <t>GIRIDHAN METAL PRIVATE LIMITED</t>
  </si>
  <si>
    <t>IN ES339281</t>
  </si>
  <si>
    <t>K411372IN ES339281</t>
  </si>
  <si>
    <t>IN ES339353</t>
  </si>
  <si>
    <t>K411372IN ES339353</t>
  </si>
  <si>
    <t>60604278</t>
  </si>
  <si>
    <t>SMRTIPL/RJ/GCGM</t>
  </si>
  <si>
    <t>7055340</t>
  </si>
  <si>
    <t>CJ7</t>
  </si>
  <si>
    <t>GOLDCORP GLOBAL MINING PVT.LTD</t>
  </si>
  <si>
    <t>IN ES334270</t>
  </si>
  <si>
    <t>K411377IN ES334270</t>
  </si>
  <si>
    <t>60604279</t>
  </si>
  <si>
    <t>GEPL/WO/06/28</t>
  </si>
  <si>
    <t>7052226</t>
  </si>
  <si>
    <t>GROSSMACHT ENGINEERS PVT. LTD.</t>
  </si>
  <si>
    <t>IN ES305341</t>
  </si>
  <si>
    <t>L511326IN ES305341</t>
  </si>
  <si>
    <t>7052229</t>
  </si>
  <si>
    <t>IN ES305343</t>
  </si>
  <si>
    <t>L511325IN ES305343</t>
  </si>
  <si>
    <t>L511335</t>
  </si>
  <si>
    <t>L511335IN ES305343</t>
  </si>
  <si>
    <t>7052230</t>
  </si>
  <si>
    <t>IN ES305344</t>
  </si>
  <si>
    <t>L511335IN ES305344</t>
  </si>
  <si>
    <t>L511325IN ES305344</t>
  </si>
  <si>
    <t>7052231</t>
  </si>
  <si>
    <t>IN ES301211</t>
  </si>
  <si>
    <t>E511502IN ES301211</t>
  </si>
  <si>
    <t>60602916</t>
  </si>
  <si>
    <t>11169190</t>
  </si>
  <si>
    <t>031796100</t>
  </si>
  <si>
    <t>H.G.INFRA ENGINEERING LIMITED</t>
  </si>
  <si>
    <t>IN 2275709</t>
  </si>
  <si>
    <t>M611920IN 2275709</t>
  </si>
  <si>
    <t>60604120</t>
  </si>
  <si>
    <t>11167221</t>
  </si>
  <si>
    <t>030379100</t>
  </si>
  <si>
    <t>K611318</t>
  </si>
  <si>
    <t>IN 2238517</t>
  </si>
  <si>
    <t>K611318IN 2238517</t>
  </si>
  <si>
    <t>K611315</t>
  </si>
  <si>
    <t>K611315IN 2238517</t>
  </si>
  <si>
    <t>030379101</t>
  </si>
  <si>
    <t>K511318</t>
  </si>
  <si>
    <t>IN 2238562</t>
  </si>
  <si>
    <t>K511318IN 2238562</t>
  </si>
  <si>
    <t>11170621</t>
  </si>
  <si>
    <t>031080500</t>
  </si>
  <si>
    <t>IN 2238854</t>
  </si>
  <si>
    <t>K611318IN 2238854</t>
  </si>
  <si>
    <t>K511318IN 2238854</t>
  </si>
  <si>
    <t>60604290</t>
  </si>
  <si>
    <t>26020643178586</t>
  </si>
  <si>
    <t>Veeresh Kumar</t>
  </si>
  <si>
    <t>A83</t>
  </si>
  <si>
    <t>HASSANDONGRI MAIBUBASAB GIRAGAVI.</t>
  </si>
  <si>
    <t>UC 20233004</t>
  </si>
  <si>
    <t>60603876</t>
  </si>
  <si>
    <t>PO No. 315</t>
  </si>
  <si>
    <t>043772501</t>
  </si>
  <si>
    <t>Rajit Dubey</t>
  </si>
  <si>
    <t>D95</t>
  </si>
  <si>
    <t>HEERA RAM GODARA</t>
  </si>
  <si>
    <t>IN 2324012</t>
  </si>
  <si>
    <t>G515770IN 2324012</t>
  </si>
  <si>
    <t>M611920IN 2324012</t>
  </si>
  <si>
    <t>G615770IN 2324012</t>
  </si>
  <si>
    <t>043772500</t>
  </si>
  <si>
    <t>G611378</t>
  </si>
  <si>
    <t>IN 2316023</t>
  </si>
  <si>
    <t>G611378IN 2316023</t>
  </si>
  <si>
    <t>G515770IN 2316023</t>
  </si>
  <si>
    <t>G615770IN 2316023</t>
  </si>
  <si>
    <t>60604166</t>
  </si>
  <si>
    <t>5070587883016</t>
  </si>
  <si>
    <t>HINDUSTAN GRANITE</t>
  </si>
  <si>
    <t>UC 20217268</t>
  </si>
  <si>
    <t>MA</t>
  </si>
  <si>
    <t>0020</t>
  </si>
  <si>
    <t>60602519</t>
  </si>
  <si>
    <t>HZL/RC/2018/N0010AM</t>
  </si>
  <si>
    <t>043422900</t>
  </si>
  <si>
    <t>AMC dated : 20th Jan</t>
  </si>
  <si>
    <t>A585200</t>
  </si>
  <si>
    <t>ARUP KOLEY</t>
  </si>
  <si>
    <t>A17</t>
  </si>
  <si>
    <t>VMI</t>
  </si>
  <si>
    <t>HINDUSTAN ZINC LIMITED</t>
  </si>
  <si>
    <t>IN 2329472</t>
  </si>
  <si>
    <t>A585200IN 2329472</t>
  </si>
  <si>
    <t>ATTACHMENT</t>
  </si>
  <si>
    <t>ATDAM</t>
  </si>
  <si>
    <t>AM - Attachment</t>
  </si>
  <si>
    <t>Attachment</t>
  </si>
  <si>
    <t>043790200</t>
  </si>
  <si>
    <t>AMC Dated : 12th Feb</t>
  </si>
  <si>
    <t>IN 2329634</t>
  </si>
  <si>
    <t>A585200IN 2329634</t>
  </si>
  <si>
    <t>4100111820</t>
  </si>
  <si>
    <t>043790400</t>
  </si>
  <si>
    <t>AMC dated : 12th Feb</t>
  </si>
  <si>
    <t>A585430</t>
  </si>
  <si>
    <t>X01</t>
  </si>
  <si>
    <t>IN 2329635</t>
  </si>
  <si>
    <t>A585430IN 2329635</t>
  </si>
  <si>
    <t>043791100</t>
  </si>
  <si>
    <t>AMC dated : 14th Feb</t>
  </si>
  <si>
    <t>IN 2329641</t>
  </si>
  <si>
    <t>A585200IN 2329641</t>
  </si>
  <si>
    <t>043791900</t>
  </si>
  <si>
    <t>AMC Dated : 15th Feb</t>
  </si>
  <si>
    <t>IN 2329643</t>
  </si>
  <si>
    <t>A585200IN 2329643</t>
  </si>
  <si>
    <t>60602586</t>
  </si>
  <si>
    <t>4400065326</t>
  </si>
  <si>
    <t>024049400</t>
  </si>
  <si>
    <t>IN 2204527</t>
  </si>
  <si>
    <t>K511311IN 2204527</t>
  </si>
  <si>
    <t>60602594</t>
  </si>
  <si>
    <t>4100111683</t>
  </si>
  <si>
    <t>037326300</t>
  </si>
  <si>
    <t>AMC dated : 18th Jan</t>
  </si>
  <si>
    <t>IN 2289299</t>
  </si>
  <si>
    <t>A585200IN 2289299</t>
  </si>
  <si>
    <t>039648300</t>
  </si>
  <si>
    <t>AMC dated : 13th Jun</t>
  </si>
  <si>
    <t>IN 2327337</t>
  </si>
  <si>
    <t>A585200IN 2327337</t>
  </si>
  <si>
    <t>039648700</t>
  </si>
  <si>
    <t>AMC Dated : 14th Jun</t>
  </si>
  <si>
    <t>IN 2327341</t>
  </si>
  <si>
    <t>A585200IN 2327341</t>
  </si>
  <si>
    <t>039669800</t>
  </si>
  <si>
    <t>AMC Dated : 16th Jun</t>
  </si>
  <si>
    <t>IN 2327351</t>
  </si>
  <si>
    <t>A585200IN 2327351</t>
  </si>
  <si>
    <t>043507000</t>
  </si>
  <si>
    <t>AMC dated : 27th Jan</t>
  </si>
  <si>
    <t>IN 2329430</t>
  </si>
  <si>
    <t>A585200IN 2329430</t>
  </si>
  <si>
    <t>60602702</t>
  </si>
  <si>
    <t>HZL/RC/2018/N00BRAM</t>
  </si>
  <si>
    <t>039414600</t>
  </si>
  <si>
    <t>AMC DATED 28 MAY 2025</t>
  </si>
  <si>
    <t>IN 2327197</t>
  </si>
  <si>
    <t>A585200IN 2327197</t>
  </si>
  <si>
    <t>60602703</t>
  </si>
  <si>
    <t>4100111685</t>
  </si>
  <si>
    <t>00</t>
  </si>
  <si>
    <t>9J</t>
  </si>
  <si>
    <t>Narayan Choudhary</t>
  </si>
  <si>
    <t>A26</t>
  </si>
  <si>
    <t>C9J</t>
  </si>
  <si>
    <t>IN 2327270</t>
  </si>
  <si>
    <t>A585430IN 2327270</t>
  </si>
  <si>
    <t>IN 2327658</t>
  </si>
  <si>
    <t>A585200IN 2327658</t>
  </si>
  <si>
    <t>V9J</t>
  </si>
  <si>
    <t>IN 2328585</t>
  </si>
  <si>
    <t>A585200IN 2328585</t>
  </si>
  <si>
    <t>IN 2329197</t>
  </si>
  <si>
    <t>A585200IN 2329197</t>
  </si>
  <si>
    <t>IN 2329198</t>
  </si>
  <si>
    <t>A585200IN 2329198</t>
  </si>
  <si>
    <t>IN 2329199</t>
  </si>
  <si>
    <t>A585200IN 2329199</t>
  </si>
  <si>
    <t>IN 2329202</t>
  </si>
  <si>
    <t>A585200IN 2329202</t>
  </si>
  <si>
    <t>IN 2329207</t>
  </si>
  <si>
    <t>A585200IN 2329207</t>
  </si>
  <si>
    <t>IN 2329208</t>
  </si>
  <si>
    <t>A585200IN 2329208</t>
  </si>
  <si>
    <t>A585430IN 2329208</t>
  </si>
  <si>
    <t>IN 2329211</t>
  </si>
  <si>
    <t>A585200IN 2329211</t>
  </si>
  <si>
    <t>IN 2329213</t>
  </si>
  <si>
    <t>A585200IN 2329213</t>
  </si>
  <si>
    <t>IN 2329339</t>
  </si>
  <si>
    <t>A585200IN 2329339</t>
  </si>
  <si>
    <t>IN 2329343</t>
  </si>
  <si>
    <t>A585200IN 2329343</t>
  </si>
  <si>
    <t>IN 2329588</t>
  </si>
  <si>
    <t>A585200IN 2329588</t>
  </si>
  <si>
    <t>IN 2329592</t>
  </si>
  <si>
    <t>A585200IN 2329592</t>
  </si>
  <si>
    <t>60604041</t>
  </si>
  <si>
    <t>4100118319</t>
  </si>
  <si>
    <t>040275201</t>
  </si>
  <si>
    <t>IN 2315657</t>
  </si>
  <si>
    <t>K511311IN 2315657</t>
  </si>
  <si>
    <t>4400096799-</t>
  </si>
  <si>
    <t>043435000</t>
  </si>
  <si>
    <t>IN 2315844</t>
  </si>
  <si>
    <t>K511311IN 2315844</t>
  </si>
  <si>
    <t>K611511IN 2315844</t>
  </si>
  <si>
    <t>4400097021</t>
  </si>
  <si>
    <t>043501100</t>
  </si>
  <si>
    <t>IN 2315930</t>
  </si>
  <si>
    <t>K511311IN 2315930</t>
  </si>
  <si>
    <t>4400095283.</t>
  </si>
  <si>
    <t>043461600</t>
  </si>
  <si>
    <t>IN 2316031</t>
  </si>
  <si>
    <t>K511311IN 2316031</t>
  </si>
  <si>
    <t>60604042</t>
  </si>
  <si>
    <t>4400093904</t>
  </si>
  <si>
    <t>041596002</t>
  </si>
  <si>
    <t>IN 2315669</t>
  </si>
  <si>
    <t>K511311IN 2315669</t>
  </si>
  <si>
    <t>4400095301</t>
  </si>
  <si>
    <t>043206900</t>
  </si>
  <si>
    <t>IN 2315792</t>
  </si>
  <si>
    <t>K511311IN 2315792</t>
  </si>
  <si>
    <t>K611311IN 2315792</t>
  </si>
  <si>
    <t>4400096814.</t>
  </si>
  <si>
    <t>043435100</t>
  </si>
  <si>
    <t>IN 2315845</t>
  </si>
  <si>
    <t>K611511IN 2315845</t>
  </si>
  <si>
    <t>K511311IN 2315845</t>
  </si>
  <si>
    <t>K611311IN 2315845</t>
  </si>
  <si>
    <t>4400095301.</t>
  </si>
  <si>
    <t>043434900</t>
  </si>
  <si>
    <t>IN 2315846</t>
  </si>
  <si>
    <t>K511311IN 2315846</t>
  </si>
  <si>
    <t>4400096310.</t>
  </si>
  <si>
    <t>043433900</t>
  </si>
  <si>
    <t>IN 2315847</t>
  </si>
  <si>
    <t>K611311IN 2315847</t>
  </si>
  <si>
    <t>K511311IN 2315847</t>
  </si>
  <si>
    <t>4400094395.</t>
  </si>
  <si>
    <t>043433200</t>
  </si>
  <si>
    <t>IN 2315848</t>
  </si>
  <si>
    <t>M511327IN 2315848</t>
  </si>
  <si>
    <t>4400096961</t>
  </si>
  <si>
    <t>043500900</t>
  </si>
  <si>
    <t>IN 2315928</t>
  </si>
  <si>
    <t>M611011IN 2315928</t>
  </si>
  <si>
    <t>4400097183</t>
  </si>
  <si>
    <t>043564900</t>
  </si>
  <si>
    <t>K511317</t>
  </si>
  <si>
    <t>IN 2315929</t>
  </si>
  <si>
    <t>K511317IN 2315929</t>
  </si>
  <si>
    <t>4400094246.</t>
  </si>
  <si>
    <t>043461400</t>
  </si>
  <si>
    <t>IN 2315931</t>
  </si>
  <si>
    <t>K511317IN 2315931</t>
  </si>
  <si>
    <t>4400097456</t>
  </si>
  <si>
    <t>043766700</t>
  </si>
  <si>
    <t>IN 2316027</t>
  </si>
  <si>
    <t>M611011IN 2316027</t>
  </si>
  <si>
    <t>043434901</t>
  </si>
  <si>
    <t>IN 2316028</t>
  </si>
  <si>
    <t>K511311IN 2316028</t>
  </si>
  <si>
    <t>043433201</t>
  </si>
  <si>
    <t>IN 2316029</t>
  </si>
  <si>
    <t>K511317IN 2316029</t>
  </si>
  <si>
    <t>043433901</t>
  </si>
  <si>
    <t>IN 2316030</t>
  </si>
  <si>
    <t>K511311IN 2316030</t>
  </si>
  <si>
    <t>4400093904.</t>
  </si>
  <si>
    <t>043461100</t>
  </si>
  <si>
    <t>IN 2316032</t>
  </si>
  <si>
    <t>K511311IN 2316032</t>
  </si>
  <si>
    <t>60603937</t>
  </si>
  <si>
    <t>603815494480</t>
  </si>
  <si>
    <t>INDRILL INFRASTRUCTURE LLP</t>
  </si>
  <si>
    <t>UC 20232596</t>
  </si>
  <si>
    <t>60602039</t>
  </si>
  <si>
    <t>ie/0040/25-26/shiva</t>
  </si>
  <si>
    <t>042832200</t>
  </si>
  <si>
    <t>PLS ENSURE PRODUCT DESCRIPTION      ,MENTIONED IN ITEM.</t>
  </si>
  <si>
    <t>Biswajit Bhowmick</t>
  </si>
  <si>
    <t>A82</t>
  </si>
  <si>
    <t>INNOVATIVE ENTERPRISES</t>
  </si>
  <si>
    <t>IN 2323206</t>
  </si>
  <si>
    <t>M511327IN 2323206</t>
  </si>
  <si>
    <t>IE/0043/25-26/DUTTA</t>
  </si>
  <si>
    <t>043136400</t>
  </si>
  <si>
    <t>IN 2315744</t>
  </si>
  <si>
    <t>K511311IN 2315744</t>
  </si>
  <si>
    <t>IE/0044/25-26/DUTTA</t>
  </si>
  <si>
    <t>043136600</t>
  </si>
  <si>
    <t>IN 2315745</t>
  </si>
  <si>
    <t>K511311IN 2315745</t>
  </si>
  <si>
    <t>IE/0048/25-26/ARUKIA</t>
  </si>
  <si>
    <t>043167300</t>
  </si>
  <si>
    <t>IN 2323397</t>
  </si>
  <si>
    <t>K511317IN 2323397</t>
  </si>
  <si>
    <t>IE/0048/25-26/DUTTA</t>
  </si>
  <si>
    <t>043183700</t>
  </si>
  <si>
    <t>IN 2323417</t>
  </si>
  <si>
    <t>K611311IN 2323417</t>
  </si>
  <si>
    <t>IE/0047/25-26/DUTTA</t>
  </si>
  <si>
    <t>043154700</t>
  </si>
  <si>
    <t>IN 2323418</t>
  </si>
  <si>
    <t>K511311IN 2323418</t>
  </si>
  <si>
    <t>IE/0042/25-26/RASHMI</t>
  </si>
  <si>
    <t>043050900</t>
  </si>
  <si>
    <t>IN 2337439</t>
  </si>
  <si>
    <t>M511222IN 2337439</t>
  </si>
  <si>
    <t>IE/0046/25-26/KBC</t>
  </si>
  <si>
    <t>043137501</t>
  </si>
  <si>
    <t>IN 2337490</t>
  </si>
  <si>
    <t>K611511IN 2337490</t>
  </si>
  <si>
    <t>IE/0045/25-26/DUTTA</t>
  </si>
  <si>
    <t>043137401</t>
  </si>
  <si>
    <t>IN 2337491</t>
  </si>
  <si>
    <t>K511411IN 2337491</t>
  </si>
  <si>
    <t>K611311IN 2337491</t>
  </si>
  <si>
    <t>IE/0049/25-26</t>
  </si>
  <si>
    <t>043327400</t>
  </si>
  <si>
    <t>IN 2323528</t>
  </si>
  <si>
    <t>K511411IN 2323528</t>
  </si>
  <si>
    <t>IE/0050/25-26</t>
  </si>
  <si>
    <t>043349600</t>
  </si>
  <si>
    <t>IN 2337502</t>
  </si>
  <si>
    <t>K611512IN 2337502</t>
  </si>
  <si>
    <t>60602298</t>
  </si>
  <si>
    <t>CSKL/385/25/H&amp;P</t>
  </si>
  <si>
    <t>042947000</t>
  </si>
  <si>
    <t>DOOR DELIVERY GATI TRIVANDRUM</t>
  </si>
  <si>
    <t>NITHEESH T P</t>
  </si>
  <si>
    <t>A49</t>
  </si>
  <si>
    <t>IN 2323267</t>
  </si>
  <si>
    <t>K611318IN 2323267</t>
  </si>
  <si>
    <t>M511327IN 2323267</t>
  </si>
  <si>
    <t>CSKL/382/25/Stock</t>
  </si>
  <si>
    <t>042941900</t>
  </si>
  <si>
    <t>IN 2323268</t>
  </si>
  <si>
    <t>K611311IN 2323268</t>
  </si>
  <si>
    <t>CSKL/375/25/Stock</t>
  </si>
  <si>
    <t>042831600</t>
  </si>
  <si>
    <t>IN 2323269</t>
  </si>
  <si>
    <t>K611311IN 2323269</t>
  </si>
  <si>
    <t>K511311IN 2323269</t>
  </si>
  <si>
    <t>CSKL/378/25/Stock</t>
  </si>
  <si>
    <t>042901900</t>
  </si>
  <si>
    <t>IN 2323270</t>
  </si>
  <si>
    <t>K511311IN 2323270</t>
  </si>
  <si>
    <t>CSKL/373/25/Stock</t>
  </si>
  <si>
    <t>042824502</t>
  </si>
  <si>
    <t>SP1</t>
  </si>
  <si>
    <t>IN 2323271</t>
  </si>
  <si>
    <t>M511011IN 2323271</t>
  </si>
  <si>
    <t>CSKL/383/25</t>
  </si>
  <si>
    <t>042946100</t>
  </si>
  <si>
    <t>IN 2323272</t>
  </si>
  <si>
    <t>K611317IN 2323272</t>
  </si>
  <si>
    <t>CSKL/387/25</t>
  </si>
  <si>
    <t>042981705</t>
  </si>
  <si>
    <t>IN 2323273</t>
  </si>
  <si>
    <t>K611512IN 2323273</t>
  </si>
  <si>
    <t>K611511IN 2323273</t>
  </si>
  <si>
    <t>CSKL/371/25/Stock</t>
  </si>
  <si>
    <t>042757001</t>
  </si>
  <si>
    <t>IN 2323278</t>
  </si>
  <si>
    <t>K511311IN 2323278</t>
  </si>
  <si>
    <t>042941901</t>
  </si>
  <si>
    <t>IN 2323279</t>
  </si>
  <si>
    <t>K611311IN 2323279</t>
  </si>
  <si>
    <t>042981706</t>
  </si>
  <si>
    <t>IN 2323280</t>
  </si>
  <si>
    <t>K611512IN 2323280</t>
  </si>
  <si>
    <t>CSKL/367/25</t>
  </si>
  <si>
    <t>7067638</t>
  </si>
  <si>
    <t>IN ES329175</t>
  </si>
  <si>
    <t>K411376IN ES329175</t>
  </si>
  <si>
    <t>CSKL/388/26</t>
  </si>
  <si>
    <t>043035901</t>
  </si>
  <si>
    <t>IN 2323357</t>
  </si>
  <si>
    <t>K611512IN 2323357</t>
  </si>
  <si>
    <t>042901901</t>
  </si>
  <si>
    <t>IN 2323459</t>
  </si>
  <si>
    <t>K511311IN 2323459</t>
  </si>
  <si>
    <t>CSKL/357/25/H&amp;P</t>
  </si>
  <si>
    <t>042406601</t>
  </si>
  <si>
    <t>IN 2323460</t>
  </si>
  <si>
    <t>M511011IN 2323460</t>
  </si>
  <si>
    <t>042831601</t>
  </si>
  <si>
    <t>IN 2323461</t>
  </si>
  <si>
    <t>K511411IN 2323461</t>
  </si>
  <si>
    <t>CSKL/365/25/KK</t>
  </si>
  <si>
    <t>042545001</t>
  </si>
  <si>
    <t>IN 2323462</t>
  </si>
  <si>
    <t>M511327IN 2323462</t>
  </si>
  <si>
    <t>CSKL/390/26/Stock</t>
  </si>
  <si>
    <t>043155500</t>
  </si>
  <si>
    <t>IN 2323463</t>
  </si>
  <si>
    <t>M511327IN 2323463</t>
  </si>
  <si>
    <t>CSKL/393/26</t>
  </si>
  <si>
    <t>043167800</t>
  </si>
  <si>
    <t>IN 2323464</t>
  </si>
  <si>
    <t>K511311IN 2323464</t>
  </si>
  <si>
    <t>K611311IN 2323464</t>
  </si>
  <si>
    <t>CSKL/370/25/Karimal</t>
  </si>
  <si>
    <t>042719801</t>
  </si>
  <si>
    <t>IN 2323465</t>
  </si>
  <si>
    <t>M511011IN 2323465</t>
  </si>
  <si>
    <t>CSKL/354/25/Stock</t>
  </si>
  <si>
    <t>042313602</t>
  </si>
  <si>
    <t>IN 2323466</t>
  </si>
  <si>
    <t>K511317IN 2323466</t>
  </si>
  <si>
    <t>CSKL/351/25/NewG</t>
  </si>
  <si>
    <t>042191801</t>
  </si>
  <si>
    <t>IN 2323467</t>
  </si>
  <si>
    <t>M511327IN 2323467</t>
  </si>
  <si>
    <t>CSKL/346/25/Karima</t>
  </si>
  <si>
    <t>042103502</t>
  </si>
  <si>
    <t>IN 2323468</t>
  </si>
  <si>
    <t>K511317IN 2323468</t>
  </si>
  <si>
    <t>CSKL/395/26/Stock</t>
  </si>
  <si>
    <t>043192200</t>
  </si>
  <si>
    <t>IN 2323469</t>
  </si>
  <si>
    <t>K611318IN 2323469</t>
  </si>
  <si>
    <t>CSKL/331/25/Stock</t>
  </si>
  <si>
    <t>041792601</t>
  </si>
  <si>
    <t>IN 2323470</t>
  </si>
  <si>
    <t>M511327IN 2323470</t>
  </si>
  <si>
    <t>CSKL/391/26</t>
  </si>
  <si>
    <t>043161600</t>
  </si>
  <si>
    <t>IN 2323471</t>
  </si>
  <si>
    <t>K611317IN 2323471</t>
  </si>
  <si>
    <t>CSKL/392/26/H&amp;P</t>
  </si>
  <si>
    <t>043162500</t>
  </si>
  <si>
    <t>IN 2323472</t>
  </si>
  <si>
    <t>K511411IN 2323472</t>
  </si>
  <si>
    <t>K511311IN 2323472</t>
  </si>
  <si>
    <t>M511327IN 2323472</t>
  </si>
  <si>
    <t>K611311IN 2323472</t>
  </si>
  <si>
    <t>CSKL/394/26/ST/Stock</t>
  </si>
  <si>
    <t>043168200</t>
  </si>
  <si>
    <t>IN 2323473</t>
  </si>
  <si>
    <t>K511411IN 2323473</t>
  </si>
  <si>
    <t>K511311IN 2323473</t>
  </si>
  <si>
    <t>CSKL/400/26/Muda</t>
  </si>
  <si>
    <t>043373500</t>
  </si>
  <si>
    <t>IN 2323593</t>
  </si>
  <si>
    <t>K511411IN 2323593</t>
  </si>
  <si>
    <t>K611311IN 2323593</t>
  </si>
  <si>
    <t>K511311IN 2323593</t>
  </si>
  <si>
    <t>CSKL/398/26</t>
  </si>
  <si>
    <t>043288900</t>
  </si>
  <si>
    <t>IN 2323594</t>
  </si>
  <si>
    <t>K611512IN 2323594</t>
  </si>
  <si>
    <t>042545002</t>
  </si>
  <si>
    <t>IN 2323595</t>
  </si>
  <si>
    <t>K511311IN 2323595</t>
  </si>
  <si>
    <t>K611311IN 2323595</t>
  </si>
  <si>
    <t>042313603</t>
  </si>
  <si>
    <t>IN 2323596</t>
  </si>
  <si>
    <t>K511411IN 2323596</t>
  </si>
  <si>
    <t>043168201</t>
  </si>
  <si>
    <t>IN 2323597</t>
  </si>
  <si>
    <t>K511311IN 2323597</t>
  </si>
  <si>
    <t>043167801</t>
  </si>
  <si>
    <t>IN 2323598</t>
  </si>
  <si>
    <t>K511311IN 2323598</t>
  </si>
  <si>
    <t>CSKL/366/25</t>
  </si>
  <si>
    <t>042607000</t>
  </si>
  <si>
    <t>DOOR DELIVERY GATI TRIVANDRUM URGENT</t>
  </si>
  <si>
    <t>IN 2323599</t>
  </si>
  <si>
    <t>K511311IN 2323599</t>
  </si>
  <si>
    <t>CSKL/379/25/Karimal</t>
  </si>
  <si>
    <t>042931100</t>
  </si>
  <si>
    <t>IN 2323600</t>
  </si>
  <si>
    <t>K511411IN 2323600</t>
  </si>
  <si>
    <t>K511311IN 2323600</t>
  </si>
  <si>
    <t>CSKL/401/26</t>
  </si>
  <si>
    <t>043414701</t>
  </si>
  <si>
    <t>IN 2323626</t>
  </si>
  <si>
    <t>K511311IN 2323626</t>
  </si>
  <si>
    <t>K511317IN 2323626</t>
  </si>
  <si>
    <t>CSKL/402/26/Stock</t>
  </si>
  <si>
    <t>043414800</t>
  </si>
  <si>
    <t>IN 2323627</t>
  </si>
  <si>
    <t>K611317IN 2323627</t>
  </si>
  <si>
    <t>CSKL/397/26</t>
  </si>
  <si>
    <t>043288800</t>
  </si>
  <si>
    <t>IN 2337514</t>
  </si>
  <si>
    <t>K511317IN 2337514</t>
  </si>
  <si>
    <t>043414700</t>
  </si>
  <si>
    <t>IN 2337515</t>
  </si>
  <si>
    <t>K511317IN 2337515</t>
  </si>
  <si>
    <t>043162501</t>
  </si>
  <si>
    <t>IN 2323670</t>
  </si>
  <si>
    <t>K511311IN 2323670</t>
  </si>
  <si>
    <t>043192201</t>
  </si>
  <si>
    <t>IN 2323671</t>
  </si>
  <si>
    <t>K611318IN 2323671</t>
  </si>
  <si>
    <t>CSKL/407/26/Stock</t>
  </si>
  <si>
    <t>043521000</t>
  </si>
  <si>
    <t>GODOWN DELIVERY GATI TRIVANDRUM</t>
  </si>
  <si>
    <t>IN 2323724</t>
  </si>
  <si>
    <t>K611511IN 2323724</t>
  </si>
  <si>
    <t>043373501</t>
  </si>
  <si>
    <t>IN 2323725</t>
  </si>
  <si>
    <t>K511411IN 2323725</t>
  </si>
  <si>
    <t>043168202</t>
  </si>
  <si>
    <t>IN 2323726</t>
  </si>
  <si>
    <t>K511311IN 2323726</t>
  </si>
  <si>
    <t>CSKL/408/26/Stock</t>
  </si>
  <si>
    <t>043521701</t>
  </si>
  <si>
    <t>IN 2323727</t>
  </si>
  <si>
    <t>K611311IN 2323727</t>
  </si>
  <si>
    <t>K511311IN 2323727</t>
  </si>
  <si>
    <t>CSKL/404/26</t>
  </si>
  <si>
    <t>043462300</t>
  </si>
  <si>
    <t>IN 2323728</t>
  </si>
  <si>
    <t>K611318IN 2323728</t>
  </si>
  <si>
    <t>CSKL/406/26/Stock</t>
  </si>
  <si>
    <t>043462600</t>
  </si>
  <si>
    <t>IN 2323729</t>
  </si>
  <si>
    <t>K611512IN 2323729</t>
  </si>
  <si>
    <t>043414801</t>
  </si>
  <si>
    <t>IN 2323730</t>
  </si>
  <si>
    <t>K611317IN 2323730</t>
  </si>
  <si>
    <t>CSTN/306/25</t>
  </si>
  <si>
    <t>043568700</t>
  </si>
  <si>
    <t>DOOR DELIVERY TRIVANDRUM BY GATI AIR,URGENT</t>
  </si>
  <si>
    <t>IN 2323745</t>
  </si>
  <si>
    <t>K511411IN 2323745</t>
  </si>
  <si>
    <t>K511311IN 2323745</t>
  </si>
  <si>
    <t>CSKL/384/25</t>
  </si>
  <si>
    <t>043110200</t>
  </si>
  <si>
    <t>IN 2323782</t>
  </si>
  <si>
    <t>M611011IN 2323782</t>
  </si>
  <si>
    <t>CSKL/389/26</t>
  </si>
  <si>
    <t>043032400</t>
  </si>
  <si>
    <t>IN 2323783</t>
  </si>
  <si>
    <t>M611011IN 2323783</t>
  </si>
  <si>
    <t>CSTN/304/26</t>
  </si>
  <si>
    <t>043557500</t>
  </si>
  <si>
    <t>IN 2323784</t>
  </si>
  <si>
    <t>K611317IN 2323784</t>
  </si>
  <si>
    <t>K511311IN 2323784</t>
  </si>
  <si>
    <t>K511411IN 2323784</t>
  </si>
  <si>
    <t>K611311IN 2323784</t>
  </si>
  <si>
    <t>CSKL/405/26/H&amp;P</t>
  </si>
  <si>
    <t>043462501</t>
  </si>
  <si>
    <t>IN 2323785</t>
  </si>
  <si>
    <t>K511317IN 2323785</t>
  </si>
  <si>
    <t>042831602</t>
  </si>
  <si>
    <t>IN 2323786</t>
  </si>
  <si>
    <t>K511311IN 2323786</t>
  </si>
  <si>
    <t>CSKL/411/26</t>
  </si>
  <si>
    <t>043587700</t>
  </si>
  <si>
    <t>IN 2323787</t>
  </si>
  <si>
    <t>K511315IN 2323787</t>
  </si>
  <si>
    <t>K611315IN 2323787</t>
  </si>
  <si>
    <t>043192202</t>
  </si>
  <si>
    <t>IN 2323803</t>
  </si>
  <si>
    <t>K511318IN 2323803</t>
  </si>
  <si>
    <t>042901902</t>
  </si>
  <si>
    <t>IN 2323804</t>
  </si>
  <si>
    <t>K511311IN 2323804</t>
  </si>
  <si>
    <t>CSKL/361/25/KK</t>
  </si>
  <si>
    <t>042486300</t>
  </si>
  <si>
    <t>IN 2323805</t>
  </si>
  <si>
    <t>K511317IN 2323805</t>
  </si>
  <si>
    <t>043462500</t>
  </si>
  <si>
    <t>IN 2323818</t>
  </si>
  <si>
    <t>K511311IN 2323818</t>
  </si>
  <si>
    <t>043462502</t>
  </si>
  <si>
    <t>IN 2323819</t>
  </si>
  <si>
    <t>K511315IN 2323819</t>
  </si>
  <si>
    <t>CSKL/413/26/Delta</t>
  </si>
  <si>
    <t>043632300</t>
  </si>
  <si>
    <t>IN 2323820</t>
  </si>
  <si>
    <t>M511327IN 2323820</t>
  </si>
  <si>
    <t>M611327IN 2323820</t>
  </si>
  <si>
    <t>CSKL/410/26</t>
  </si>
  <si>
    <t>043581300</t>
  </si>
  <si>
    <t>IN 2323829</t>
  </si>
  <si>
    <t>K611311IN 2323829</t>
  </si>
  <si>
    <t>042406602</t>
  </si>
  <si>
    <t>IN 2323830</t>
  </si>
  <si>
    <t>M511327IN 2323830</t>
  </si>
  <si>
    <t>042901903</t>
  </si>
  <si>
    <t>IN 2323831</t>
  </si>
  <si>
    <t>M511327IN 2323831</t>
  </si>
  <si>
    <t>CSKL/417/26/H&amp;P</t>
  </si>
  <si>
    <t>043670400</t>
  </si>
  <si>
    <t>M511910</t>
  </si>
  <si>
    <t>IN 2323879</t>
  </si>
  <si>
    <t>M511910IN 2323879</t>
  </si>
  <si>
    <t>K511315IN 2323879</t>
  </si>
  <si>
    <t>K611315IN 2323879</t>
  </si>
  <si>
    <t>043167802</t>
  </si>
  <si>
    <t>IN 2323880</t>
  </si>
  <si>
    <t>K511311IN 2323880</t>
  </si>
  <si>
    <t>043162502</t>
  </si>
  <si>
    <t>IN 2323881</t>
  </si>
  <si>
    <t>K511311IN 2323881</t>
  </si>
  <si>
    <t>043462503</t>
  </si>
  <si>
    <t>IN 2323882</t>
  </si>
  <si>
    <t>K511311IN 2323882</t>
  </si>
  <si>
    <t>043155501</t>
  </si>
  <si>
    <t>IN 2323884</t>
  </si>
  <si>
    <t>M511327IN 2323884</t>
  </si>
  <si>
    <t>CSKL/415/26</t>
  </si>
  <si>
    <t>043657700</t>
  </si>
  <si>
    <t>IN 2323885</t>
  </si>
  <si>
    <t>K611511IN 2323885</t>
  </si>
  <si>
    <t>CSKL/386/25</t>
  </si>
  <si>
    <t>042962801</t>
  </si>
  <si>
    <t>IN 2323886</t>
  </si>
  <si>
    <t>K511311IN 2323886</t>
  </si>
  <si>
    <t>CSKL/396/26</t>
  </si>
  <si>
    <t>043289700</t>
  </si>
  <si>
    <t>IN 2323887</t>
  </si>
  <si>
    <t>M611920IN 2323887</t>
  </si>
  <si>
    <t>CSKL/414/26/H&amp;P</t>
  </si>
  <si>
    <t>043651900</t>
  </si>
  <si>
    <t>IN 2323888</t>
  </si>
  <si>
    <t>K611311IN 2323888</t>
  </si>
  <si>
    <t>K511311IN 2323888</t>
  </si>
  <si>
    <t>CSKL/399/26</t>
  </si>
  <si>
    <t>043352200</t>
  </si>
  <si>
    <t>IN 2323889</t>
  </si>
  <si>
    <t>M611011IN 2323889</t>
  </si>
  <si>
    <t>043557501</t>
  </si>
  <si>
    <t>IN 2323926</t>
  </si>
  <si>
    <t>K511317IN 2323926</t>
  </si>
  <si>
    <t>043462504</t>
  </si>
  <si>
    <t>IN 2323927</t>
  </si>
  <si>
    <t>M511011IN 2323927</t>
  </si>
  <si>
    <t>043587701</t>
  </si>
  <si>
    <t>IN 2323928</t>
  </si>
  <si>
    <t>K511317IN 2323928</t>
  </si>
  <si>
    <t>042191802</t>
  </si>
  <si>
    <t>IN 2323929</t>
  </si>
  <si>
    <t>M511327IN 2323929</t>
  </si>
  <si>
    <t>043168203</t>
  </si>
  <si>
    <t>IN 2323930</t>
  </si>
  <si>
    <t>K511311IN 2323930</t>
  </si>
  <si>
    <t>043373502</t>
  </si>
  <si>
    <t>IN 2323931</t>
  </si>
  <si>
    <t>K511311IN 2323931</t>
  </si>
  <si>
    <t>CSKL/418/26/VSC</t>
  </si>
  <si>
    <t>043776000</t>
  </si>
  <si>
    <t>DOOR DELIVERY GATI TRIVANDRUM       ,URGENT////BREAKDOWN///</t>
  </si>
  <si>
    <t>IN 2323956</t>
  </si>
  <si>
    <t>K511311IN 2323956</t>
  </si>
  <si>
    <t>CSKL/419/26</t>
  </si>
  <si>
    <t>043777800</t>
  </si>
  <si>
    <t>IN 2323992</t>
  </si>
  <si>
    <t>K611311IN 2323992</t>
  </si>
  <si>
    <t>K611315IN 2323992</t>
  </si>
  <si>
    <t>CSKL/412/26</t>
  </si>
  <si>
    <t>043595900</t>
  </si>
  <si>
    <t>IN 2323993</t>
  </si>
  <si>
    <t>K611317IN 2323993</t>
  </si>
  <si>
    <t>043162503</t>
  </si>
  <si>
    <t>IN 2323994</t>
  </si>
  <si>
    <t>K611311IN 2323994</t>
  </si>
  <si>
    <t>043168204</t>
  </si>
  <si>
    <t>IN 2323995</t>
  </si>
  <si>
    <t>K611311IN 2323995</t>
  </si>
  <si>
    <t>043670401</t>
  </si>
  <si>
    <t>IN 2323996</t>
  </si>
  <si>
    <t>M511910IN 2323996</t>
  </si>
  <si>
    <t>043632301</t>
  </si>
  <si>
    <t>IN 2323997</t>
  </si>
  <si>
    <t>M511327IN 2323997</t>
  </si>
  <si>
    <t>CSKL/420/26</t>
  </si>
  <si>
    <t>043834500</t>
  </si>
  <si>
    <t>IN 2324044</t>
  </si>
  <si>
    <t>K511411IN 2324044</t>
  </si>
  <si>
    <t>K511311IN 2324044</t>
  </si>
  <si>
    <t>K611311IN 2324044</t>
  </si>
  <si>
    <t>043162504</t>
  </si>
  <si>
    <t>IN 2324045</t>
  </si>
  <si>
    <t>K511311IN 2324045</t>
  </si>
  <si>
    <t>043651901</t>
  </si>
  <si>
    <t>IN 2324046</t>
  </si>
  <si>
    <t>K511311IN 2324046</t>
  </si>
  <si>
    <t>042545004</t>
  </si>
  <si>
    <t>IN 2324047</t>
  </si>
  <si>
    <t>K611311IN 2324047</t>
  </si>
  <si>
    <t>043167803</t>
  </si>
  <si>
    <t>IN 2324048</t>
  </si>
  <si>
    <t>K511311IN 2324048</t>
  </si>
  <si>
    <t>CSKL/416/26</t>
  </si>
  <si>
    <t>043670200</t>
  </si>
  <si>
    <t>IN 2324049</t>
  </si>
  <si>
    <t>K511318IN 2324049</t>
  </si>
  <si>
    <t>60602851</t>
  </si>
  <si>
    <t>25112607208828</t>
  </si>
  <si>
    <t>Sathish R</t>
  </si>
  <si>
    <t>A85</t>
  </si>
  <si>
    <t>UC 20227484</t>
  </si>
  <si>
    <t>60603608</t>
  </si>
  <si>
    <t>415389222</t>
  </si>
  <si>
    <t>AMIT KUMAR</t>
  </si>
  <si>
    <t>X84</t>
  </si>
  <si>
    <t>UC 20227013</t>
  </si>
  <si>
    <t>60604105</t>
  </si>
  <si>
    <t>SMRTIPL/JH/RSMP</t>
  </si>
  <si>
    <t>7025938</t>
  </si>
  <si>
    <t>Suman Kander</t>
  </si>
  <si>
    <t>A48</t>
  </si>
  <si>
    <t>C50</t>
  </si>
  <si>
    <t>IN ES343326</t>
  </si>
  <si>
    <t>K411377IN ES343326</t>
  </si>
  <si>
    <t>IN ES343328</t>
  </si>
  <si>
    <t>K411377IN ES343328</t>
  </si>
  <si>
    <t>60604267</t>
  </si>
  <si>
    <t>CSTN/288/25</t>
  </si>
  <si>
    <t>042985101</t>
  </si>
  <si>
    <t>IN 2337512</t>
  </si>
  <si>
    <t>K611512IN 2337512</t>
  </si>
  <si>
    <t>CSTN/302/26</t>
  </si>
  <si>
    <t>043550400</t>
  </si>
  <si>
    <t>GODOWN DELIVERY GATI SALEM</t>
  </si>
  <si>
    <t>IN 2323778</t>
  </si>
  <si>
    <t>K611512IN 2323778</t>
  </si>
  <si>
    <t>K611317IN 2323778</t>
  </si>
  <si>
    <t>CSTN/307/26/SGPL</t>
  </si>
  <si>
    <t>043568900</t>
  </si>
  <si>
    <t>DOOR DELIVERY GATI CHENNAI</t>
  </si>
  <si>
    <t>IN 2323779</t>
  </si>
  <si>
    <t>K511311IN 2323779</t>
  </si>
  <si>
    <t>K611512IN 2323779</t>
  </si>
  <si>
    <t>CSTN/303/26</t>
  </si>
  <si>
    <t>043553000</t>
  </si>
  <si>
    <t>IN 2323788</t>
  </si>
  <si>
    <t>K611317IN 2323788</t>
  </si>
  <si>
    <t>K511311IN 2323788</t>
  </si>
  <si>
    <t>K511317IN 2323788</t>
  </si>
  <si>
    <t>CSTN/257/25/VRG</t>
  </si>
  <si>
    <t>041983002</t>
  </si>
  <si>
    <t>IN 2323789</t>
  </si>
  <si>
    <t>K511317IN 2323789</t>
  </si>
  <si>
    <t>CSTN/311/26/Surya</t>
  </si>
  <si>
    <t>043636500</t>
  </si>
  <si>
    <t>DOOR DELIVERY  TRIVANDRUM BY GATI   ,AIR URGENT///BREAKDOWN /////</t>
  </si>
  <si>
    <t>IN 2319260</t>
  </si>
  <si>
    <t>K511311IN 2319260</t>
  </si>
  <si>
    <t>CSTN/299/26/SGK</t>
  </si>
  <si>
    <t>043307601</t>
  </si>
  <si>
    <t>IN 2323811</t>
  </si>
  <si>
    <t>K511311IN 2323811</t>
  </si>
  <si>
    <t>043553001</t>
  </si>
  <si>
    <t>IN 2323883</t>
  </si>
  <si>
    <t>K511311IN 2323883</t>
  </si>
  <si>
    <t>CSTN/308/26</t>
  </si>
  <si>
    <t>043581900</t>
  </si>
  <si>
    <t>DOOR DELIVERY CHENNAI URGENT</t>
  </si>
  <si>
    <t>IN 2323890</t>
  </si>
  <si>
    <t>K611311IN 2323890</t>
  </si>
  <si>
    <t>CSTN/281/25/Stock</t>
  </si>
  <si>
    <t>042758101</t>
  </si>
  <si>
    <t>DOOR DELIVERY CHENNAI</t>
  </si>
  <si>
    <t>IN 2323891</t>
  </si>
  <si>
    <t>K511311IN 2323891</t>
  </si>
  <si>
    <t>CSTN/310/26/SGPL</t>
  </si>
  <si>
    <t>043585101</t>
  </si>
  <si>
    <t>IN 2323892</t>
  </si>
  <si>
    <t>K511311IN 2323892</t>
  </si>
  <si>
    <t>CSTN/298/26/VLS</t>
  </si>
  <si>
    <t>043303901</t>
  </si>
  <si>
    <t>IN 2323945</t>
  </si>
  <si>
    <t>K511411IN 2323945</t>
  </si>
  <si>
    <t>CSTN/316/26</t>
  </si>
  <si>
    <t>043842300</t>
  </si>
  <si>
    <t>IN 2324040</t>
  </si>
  <si>
    <t>K611512IN 2324040</t>
  </si>
  <si>
    <t>K511512</t>
  </si>
  <si>
    <t>K511512IN 2324040</t>
  </si>
  <si>
    <t>CSTN/314/26</t>
  </si>
  <si>
    <t>043833300</t>
  </si>
  <si>
    <t>IN 2324041</t>
  </si>
  <si>
    <t>K511311IN 2324041</t>
  </si>
  <si>
    <t>K611311IN 2324041</t>
  </si>
  <si>
    <t>CSTN/280/25/SGT</t>
  </si>
  <si>
    <t>042726401</t>
  </si>
  <si>
    <t>DOOR DELIVERY CHENNAI (URGENT)</t>
  </si>
  <si>
    <t>IN 2324042</t>
  </si>
  <si>
    <t>K511315IN 2324042</t>
  </si>
  <si>
    <t>043585102</t>
  </si>
  <si>
    <t>IN 2324043</t>
  </si>
  <si>
    <t>K511317IN 2324043</t>
  </si>
  <si>
    <t>043553002</t>
  </si>
  <si>
    <t>IN 2324050</t>
  </si>
  <si>
    <t>K511317IN 2324050</t>
  </si>
  <si>
    <t>CSTN/317/26/SGK</t>
  </si>
  <si>
    <t>043843800</t>
  </si>
  <si>
    <t>IN 2324054</t>
  </si>
  <si>
    <t>K611511IN 2324054</t>
  </si>
  <si>
    <t>CSTN/318/26/SGK</t>
  </si>
  <si>
    <t>043844000</t>
  </si>
  <si>
    <t>IN 2324055</t>
  </si>
  <si>
    <t>K511311IN 2324055</t>
  </si>
  <si>
    <t>K611311IN 2324055</t>
  </si>
  <si>
    <t>CSTN/313/26</t>
  </si>
  <si>
    <t>043813000</t>
  </si>
  <si>
    <t>IN 2324056</t>
  </si>
  <si>
    <t>M611327IN 2324056</t>
  </si>
  <si>
    <t>60604203</t>
  </si>
  <si>
    <t>QPX389324513</t>
  </si>
  <si>
    <t>INNOVEN PROJECTS LLP</t>
  </si>
  <si>
    <t>UC 20224792</t>
  </si>
  <si>
    <t>60602386</t>
  </si>
  <si>
    <t>MMS 868</t>
  </si>
  <si>
    <t>042691200</t>
  </si>
  <si>
    <t>Aravind Balagopal</t>
  </si>
  <si>
    <t>A80</t>
  </si>
  <si>
    <t>INTIME ASSOCIATES</t>
  </si>
  <si>
    <t>IN 2323115</t>
  </si>
  <si>
    <t>K611512IN 2323115</t>
  </si>
  <si>
    <t>YC 869</t>
  </si>
  <si>
    <t>042703900</t>
  </si>
  <si>
    <t>IN 2323116</t>
  </si>
  <si>
    <t>M511327IN 2323116</t>
  </si>
  <si>
    <t>MMS 841</t>
  </si>
  <si>
    <t>041659001</t>
  </si>
  <si>
    <t>IN 2323150</t>
  </si>
  <si>
    <t>K511317IN 2323150</t>
  </si>
  <si>
    <t>SNG 871</t>
  </si>
  <si>
    <t>042808300</t>
  </si>
  <si>
    <t>IN 2323151</t>
  </si>
  <si>
    <t>K611511IN 2323151</t>
  </si>
  <si>
    <t>K611512IN 2323151</t>
  </si>
  <si>
    <t>PK 872</t>
  </si>
  <si>
    <t>042812300</t>
  </si>
  <si>
    <t>IN 2323152</t>
  </si>
  <si>
    <t>K511311IN 2323152</t>
  </si>
  <si>
    <t>M511327IN 2323152</t>
  </si>
  <si>
    <t>K511315IN 2323152</t>
  </si>
  <si>
    <t>KBM 839</t>
  </si>
  <si>
    <t>041616702</t>
  </si>
  <si>
    <t>IN 2323153</t>
  </si>
  <si>
    <t>M511327IN 2323153</t>
  </si>
  <si>
    <t>MMS 861 - Intime</t>
  </si>
  <si>
    <t>042367800</t>
  </si>
  <si>
    <t>IN 2315630</t>
  </si>
  <si>
    <t>K611511IN 2315630</t>
  </si>
  <si>
    <t>SN 874</t>
  </si>
  <si>
    <t>042940500</t>
  </si>
  <si>
    <t>IN 2323224</t>
  </si>
  <si>
    <t>K611512IN 2323224</t>
  </si>
  <si>
    <t>042703901</t>
  </si>
  <si>
    <t>IN 2323225</t>
  </si>
  <si>
    <t>M511327IN 2323225</t>
  </si>
  <si>
    <t>MMS 873</t>
  </si>
  <si>
    <t>042940100</t>
  </si>
  <si>
    <t>IN 2323226</t>
  </si>
  <si>
    <t>K611511IN 2323226</t>
  </si>
  <si>
    <t>K611512IN 2323226</t>
  </si>
  <si>
    <t>K611317IN 2323226</t>
  </si>
  <si>
    <t>MMS 875</t>
  </si>
  <si>
    <t>042940400</t>
  </si>
  <si>
    <t>IN 2323227</t>
  </si>
  <si>
    <t>K611311IN 2323227</t>
  </si>
  <si>
    <t>042812301</t>
  </si>
  <si>
    <t>IN 2323228</t>
  </si>
  <si>
    <t>K511317IN 2323228</t>
  </si>
  <si>
    <t>SMRT/KL/INTIME/</t>
  </si>
  <si>
    <t>7066779</t>
  </si>
  <si>
    <t>CL4</t>
  </si>
  <si>
    <t>IN ES342801</t>
  </si>
  <si>
    <t>K411377IN ES342801</t>
  </si>
  <si>
    <t>CS 880</t>
  </si>
  <si>
    <t>043136200</t>
  </si>
  <si>
    <t>IN 2323483</t>
  </si>
  <si>
    <t>K611317IN 2323483</t>
  </si>
  <si>
    <t>SF 851</t>
  </si>
  <si>
    <t>042151201</t>
  </si>
  <si>
    <t>IN 2323484</t>
  </si>
  <si>
    <t>M611011IN 2323484</t>
  </si>
  <si>
    <t>042940401</t>
  </si>
  <si>
    <t>IN 2323485</t>
  </si>
  <si>
    <t>K511411IN 2323485</t>
  </si>
  <si>
    <t>K511311IN 2323485</t>
  </si>
  <si>
    <t>K511317IN 2323485</t>
  </si>
  <si>
    <t>SNG 863</t>
  </si>
  <si>
    <t>042371101</t>
  </si>
  <si>
    <t>IN 2323486</t>
  </si>
  <si>
    <t>M511327IN 2323486</t>
  </si>
  <si>
    <t>MMS 879</t>
  </si>
  <si>
    <t>043186600</t>
  </si>
  <si>
    <t>IN 2323487</t>
  </si>
  <si>
    <t>M511327IN 2323487</t>
  </si>
  <si>
    <t>RF 883</t>
  </si>
  <si>
    <t>043245900</t>
  </si>
  <si>
    <t>IN 2323488</t>
  </si>
  <si>
    <t>K511311IN 2323488</t>
  </si>
  <si>
    <t>RF 853</t>
  </si>
  <si>
    <t>042028003</t>
  </si>
  <si>
    <t>IN 2323489</t>
  </si>
  <si>
    <t>M511327IN 2323489</t>
  </si>
  <si>
    <t>K511311IN 2323489</t>
  </si>
  <si>
    <t>CUMK 882</t>
  </si>
  <si>
    <t>043193700</t>
  </si>
  <si>
    <t>IN 2323490</t>
  </si>
  <si>
    <t>K511311IN 2323490</t>
  </si>
  <si>
    <t>K611311IN 2323490</t>
  </si>
  <si>
    <t>MMS 885</t>
  </si>
  <si>
    <t>043262500</t>
  </si>
  <si>
    <t>IN 2323491</t>
  </si>
  <si>
    <t>K611512IN 2323491</t>
  </si>
  <si>
    <t>K611317IN 2323491</t>
  </si>
  <si>
    <t>CS 878</t>
  </si>
  <si>
    <t>043136100</t>
  </si>
  <si>
    <t>IN 2323492</t>
  </si>
  <si>
    <t>K611317IN 2323492</t>
  </si>
  <si>
    <t>CUMI 881</t>
  </si>
  <si>
    <t>043165700</t>
  </si>
  <si>
    <t>IN 2323493</t>
  </si>
  <si>
    <t>K511311IN 2323493</t>
  </si>
  <si>
    <t>042812303</t>
  </si>
  <si>
    <t>IN 2323494</t>
  </si>
  <si>
    <t>K511317IN 2323494</t>
  </si>
  <si>
    <t>K511311IN 2323494</t>
  </si>
  <si>
    <t>042812302</t>
  </si>
  <si>
    <t>IN 2337485</t>
  </si>
  <si>
    <t>K511311IN 2337485</t>
  </si>
  <si>
    <t>CUM 856</t>
  </si>
  <si>
    <t>7068021</t>
  </si>
  <si>
    <t>IN ES329204</t>
  </si>
  <si>
    <t>K411376IN ES329204</t>
  </si>
  <si>
    <t>SN 892</t>
  </si>
  <si>
    <t>043392000</t>
  </si>
  <si>
    <t>IN 2323611</t>
  </si>
  <si>
    <t>K611512IN 2323611</t>
  </si>
  <si>
    <t>SN 894</t>
  </si>
  <si>
    <t>043404500</t>
  </si>
  <si>
    <t>IN 2323612</t>
  </si>
  <si>
    <t>K611511IN 2323612</t>
  </si>
  <si>
    <t>SF 858</t>
  </si>
  <si>
    <t>042257600</t>
  </si>
  <si>
    <t>IN 2323613</t>
  </si>
  <si>
    <t>M511910IN 2323613</t>
  </si>
  <si>
    <t>K511311IN 2323613</t>
  </si>
  <si>
    <t>043165701</t>
  </si>
  <si>
    <t>IN 2323614</t>
  </si>
  <si>
    <t>K611315IN 2323614</t>
  </si>
  <si>
    <t>043193701</t>
  </si>
  <si>
    <t>IN 2323615</t>
  </si>
  <si>
    <t>K611315IN 2323615</t>
  </si>
  <si>
    <t>043245901</t>
  </si>
  <si>
    <t>IN 2323616</t>
  </si>
  <si>
    <t>K511311IN 2323616</t>
  </si>
  <si>
    <t>MMS 893</t>
  </si>
  <si>
    <t>043392100</t>
  </si>
  <si>
    <t>IN 2323617</t>
  </si>
  <si>
    <t>K611512IN 2323617</t>
  </si>
  <si>
    <t>K611317IN 2323617</t>
  </si>
  <si>
    <t>SN 895</t>
  </si>
  <si>
    <t>043403600</t>
  </si>
  <si>
    <t>IN 2323618</t>
  </si>
  <si>
    <t>K611311IN 2323618</t>
  </si>
  <si>
    <t>MMS 889</t>
  </si>
  <si>
    <t>043380300</t>
  </si>
  <si>
    <t>IN 2323619</t>
  </si>
  <si>
    <t>K611317IN 2323619</t>
  </si>
  <si>
    <t>043136201</t>
  </si>
  <si>
    <t>IN 2323620</t>
  </si>
  <si>
    <t>K511317IN 2323620</t>
  </si>
  <si>
    <t>042940402</t>
  </si>
  <si>
    <t>IN 2323621</t>
  </si>
  <si>
    <t>K611315IN 2323621</t>
  </si>
  <si>
    <t>CS 896</t>
  </si>
  <si>
    <t>043404600</t>
  </si>
  <si>
    <t>IN 2323622</t>
  </si>
  <si>
    <t>K511317IN 2323622</t>
  </si>
  <si>
    <t>K511411IN 2323622</t>
  </si>
  <si>
    <t>MMS 886</t>
  </si>
  <si>
    <t>043262700</t>
  </si>
  <si>
    <t>IN 2323628</t>
  </si>
  <si>
    <t>K511311IN 2323628</t>
  </si>
  <si>
    <t>K611311IN 2323628</t>
  </si>
  <si>
    <t>MMS 891</t>
  </si>
  <si>
    <t>043391900</t>
  </si>
  <si>
    <t>IN 2323629</t>
  </si>
  <si>
    <t>K511411IN 2323629</t>
  </si>
  <si>
    <t>043392001</t>
  </si>
  <si>
    <t>IN 2343367</t>
  </si>
  <si>
    <t>K611512IN 2343367</t>
  </si>
  <si>
    <t>MMS 897</t>
  </si>
  <si>
    <t>043408800</t>
  </si>
  <si>
    <t>IN 2323673</t>
  </si>
  <si>
    <t>K611317IN 2323673</t>
  </si>
  <si>
    <t>MMS 899</t>
  </si>
  <si>
    <t>043425200</t>
  </si>
  <si>
    <t>IN 2323674</t>
  </si>
  <si>
    <t>K611512IN 2323674</t>
  </si>
  <si>
    <t>CS 898</t>
  </si>
  <si>
    <t>043422800</t>
  </si>
  <si>
    <t>IN 2323675</t>
  </si>
  <si>
    <t>K511317IN 2323675</t>
  </si>
  <si>
    <t>K511411IN 2323675</t>
  </si>
  <si>
    <t>K611317IN 2323675</t>
  </si>
  <si>
    <t>MMS 900</t>
  </si>
  <si>
    <t>043448400</t>
  </si>
  <si>
    <t>IN 2323676</t>
  </si>
  <si>
    <t>K511311IN 2323676</t>
  </si>
  <si>
    <t>K511317IN 2323676</t>
  </si>
  <si>
    <t>042257601</t>
  </si>
  <si>
    <t>IN 2323705</t>
  </si>
  <si>
    <t>K511311IN 2323705</t>
  </si>
  <si>
    <t>043165702</t>
  </si>
  <si>
    <t>IN 2323706</t>
  </si>
  <si>
    <t>K511315IN 2323706</t>
  </si>
  <si>
    <t>BH 884</t>
  </si>
  <si>
    <t>043249200</t>
  </si>
  <si>
    <t>IN 2323707</t>
  </si>
  <si>
    <t>M511327IN 2323707</t>
  </si>
  <si>
    <t>CUMI 865</t>
  </si>
  <si>
    <t>042500400</t>
  </si>
  <si>
    <t>IN 2323708</t>
  </si>
  <si>
    <t>K511315IN 2323708</t>
  </si>
  <si>
    <t>042257602</t>
  </si>
  <si>
    <t>IN 2323769</t>
  </si>
  <si>
    <t>K511311IN 2323769</t>
  </si>
  <si>
    <t>042940403</t>
  </si>
  <si>
    <t>IN 2323770</t>
  </si>
  <si>
    <t>K511311IN 2323770</t>
  </si>
  <si>
    <t>042812304</t>
  </si>
  <si>
    <t>IN 2323771</t>
  </si>
  <si>
    <t>M511327IN 2323771</t>
  </si>
  <si>
    <t>043422801</t>
  </si>
  <si>
    <t>IN 2323772</t>
  </si>
  <si>
    <t>K511317IN 2323772</t>
  </si>
  <si>
    <t>MMS 901</t>
  </si>
  <si>
    <t>043571800</t>
  </si>
  <si>
    <t>IN 2315927</t>
  </si>
  <si>
    <t>K611512IN 2315927</t>
  </si>
  <si>
    <t>SS 903</t>
  </si>
  <si>
    <t>043611900</t>
  </si>
  <si>
    <t>IN 2323808</t>
  </si>
  <si>
    <t>K611317IN 2323808</t>
  </si>
  <si>
    <t>K511311IN 2323808</t>
  </si>
  <si>
    <t>K511317IN 2323808</t>
  </si>
  <si>
    <t>CS 902</t>
  </si>
  <si>
    <t>043602400</t>
  </si>
  <si>
    <t>IN 2323809</t>
  </si>
  <si>
    <t>K511317IN 2323809</t>
  </si>
  <si>
    <t>MMS 904</t>
  </si>
  <si>
    <t>043661000</t>
  </si>
  <si>
    <t>IN 2323846</t>
  </si>
  <si>
    <t>K611512IN 2323846</t>
  </si>
  <si>
    <t>K611317IN 2323846</t>
  </si>
  <si>
    <t>043391901</t>
  </si>
  <si>
    <t>IN 2323847</t>
  </si>
  <si>
    <t>K511317IN 2323847</t>
  </si>
  <si>
    <t>RF 905</t>
  </si>
  <si>
    <t>043661100</t>
  </si>
  <si>
    <t>IN 2323848</t>
  </si>
  <si>
    <t>K611511IN 2323848</t>
  </si>
  <si>
    <t>043602402</t>
  </si>
  <si>
    <t>IN 2337631</t>
  </si>
  <si>
    <t>K511317IN 2337631</t>
  </si>
  <si>
    <t>043611901</t>
  </si>
  <si>
    <t>IN 2323894</t>
  </si>
  <si>
    <t>K511311IN 2323894</t>
  </si>
  <si>
    <t>043262701</t>
  </si>
  <si>
    <t>IN 2323895</t>
  </si>
  <si>
    <t>K511311IN 2323895</t>
  </si>
  <si>
    <t>043448401</t>
  </si>
  <si>
    <t>IN 2323896</t>
  </si>
  <si>
    <t>K511311IN 2323896</t>
  </si>
  <si>
    <t>043165703</t>
  </si>
  <si>
    <t>IN 2323897</t>
  </si>
  <si>
    <t>K511315IN 2323897</t>
  </si>
  <si>
    <t>043193702</t>
  </si>
  <si>
    <t>IN 2323898</t>
  </si>
  <si>
    <t>K511315IN 2323898</t>
  </si>
  <si>
    <t>IN ES342802</t>
  </si>
  <si>
    <t>K411377IN ES342802</t>
  </si>
  <si>
    <t>SS 888</t>
  </si>
  <si>
    <t>043351900</t>
  </si>
  <si>
    <t>IN 2323921</t>
  </si>
  <si>
    <t>M611011IN 2323921</t>
  </si>
  <si>
    <t>043165704</t>
  </si>
  <si>
    <t>IN 2323922</t>
  </si>
  <si>
    <t>K511311IN 2323922</t>
  </si>
  <si>
    <t>CS 911</t>
  </si>
  <si>
    <t>043814700</t>
  </si>
  <si>
    <t>IN 2323989</t>
  </si>
  <si>
    <t>K511317IN 2323989</t>
  </si>
  <si>
    <t>RF 916</t>
  </si>
  <si>
    <t>043825600</t>
  </si>
  <si>
    <t>IN 2324026</t>
  </si>
  <si>
    <t>K511311IN 2324026</t>
  </si>
  <si>
    <t>K511315IN 2324026</t>
  </si>
  <si>
    <t>K611311IN 2324026</t>
  </si>
  <si>
    <t>M511327IN 2324026</t>
  </si>
  <si>
    <t>PK 908</t>
  </si>
  <si>
    <t>043799200</t>
  </si>
  <si>
    <t>IN 2324027</t>
  </si>
  <si>
    <t>K611512IN 2324027</t>
  </si>
  <si>
    <t>PK 910</t>
  </si>
  <si>
    <t>043800500</t>
  </si>
  <si>
    <t>IN 2324028</t>
  </si>
  <si>
    <t>K511311IN 2324028</t>
  </si>
  <si>
    <t>M511327IN 2324028</t>
  </si>
  <si>
    <t>K611311IN 2324028</t>
  </si>
  <si>
    <t>K511315IN 2324028</t>
  </si>
  <si>
    <t>BH 912</t>
  </si>
  <si>
    <t>043822700</t>
  </si>
  <si>
    <t>IN 2324029</t>
  </si>
  <si>
    <t>K511315IN 2324029</t>
  </si>
  <si>
    <t>K611311IN 2324029</t>
  </si>
  <si>
    <t>K611315IN 2324029</t>
  </si>
  <si>
    <t>M611327IN 2324029</t>
  </si>
  <si>
    <t>M511327IN 2324029</t>
  </si>
  <si>
    <t>042940404</t>
  </si>
  <si>
    <t>IN 2324030</t>
  </si>
  <si>
    <t>K511311IN 2324030</t>
  </si>
  <si>
    <t>043391902</t>
  </si>
  <si>
    <t>IN 2324031</t>
  </si>
  <si>
    <t>K511311IN 2324031</t>
  </si>
  <si>
    <t>MMS 890</t>
  </si>
  <si>
    <t>043380200</t>
  </si>
  <si>
    <t>IN 2324032</t>
  </si>
  <si>
    <t>K511317IN 2324032</t>
  </si>
  <si>
    <t>MMS 877</t>
  </si>
  <si>
    <t>042985400</t>
  </si>
  <si>
    <t>IN 2324033</t>
  </si>
  <si>
    <t>K511317IN 2324033</t>
  </si>
  <si>
    <t>PK 907</t>
  </si>
  <si>
    <t>043799800</t>
  </si>
  <si>
    <t>IN 2324034</t>
  </si>
  <si>
    <t>K511411IN 2324034</t>
  </si>
  <si>
    <t>K511311IN 2324034</t>
  </si>
  <si>
    <t>M511327IN 2324034</t>
  </si>
  <si>
    <t>K611317IN 2324034</t>
  </si>
  <si>
    <t>K611315IN 2324034</t>
  </si>
  <si>
    <t>K611311IN 2324034</t>
  </si>
  <si>
    <t>K511315IN 2324034</t>
  </si>
  <si>
    <t>PK 909</t>
  </si>
  <si>
    <t>043800100</t>
  </si>
  <si>
    <t>IN 2324035</t>
  </si>
  <si>
    <t>K611511IN 2324035</t>
  </si>
  <si>
    <t>60602807</t>
  </si>
  <si>
    <t>25073100377225</t>
  </si>
  <si>
    <t>UC 20219155</t>
  </si>
  <si>
    <t>25080700760930</t>
  </si>
  <si>
    <t>UC 20219897</t>
  </si>
  <si>
    <t>25082971742578</t>
  </si>
  <si>
    <t>UC 20221228</t>
  </si>
  <si>
    <t>60601554</t>
  </si>
  <si>
    <t>KBPOL/00186/25-26</t>
  </si>
  <si>
    <t>043702400</t>
  </si>
  <si>
    <t>J KUMAR INFRAPROJECTS LIMITED</t>
  </si>
  <si>
    <t>IN 2323919</t>
  </si>
  <si>
    <t>K611317IN 2323919</t>
  </si>
  <si>
    <t>K611318IN 2323919</t>
  </si>
  <si>
    <t>K511318IN 2323919</t>
  </si>
  <si>
    <t>043702401</t>
  </si>
  <si>
    <t>IN 2323920</t>
  </si>
  <si>
    <t>K611318IN 2323920</t>
  </si>
  <si>
    <t>60602497</t>
  </si>
  <si>
    <t>SAPL/MH/JMM/48</t>
  </si>
  <si>
    <t>7014703</t>
  </si>
  <si>
    <t>5C</t>
  </si>
  <si>
    <t>C5C</t>
  </si>
  <si>
    <t>J M MHATRE INFRA PRIVATE LIMITED</t>
  </si>
  <si>
    <t>IN ES329067</t>
  </si>
  <si>
    <t>K411377IN ES329067</t>
  </si>
  <si>
    <t>SAPL/MH/JMM/GAW</t>
  </si>
  <si>
    <t>7014702</t>
  </si>
  <si>
    <t>1C</t>
  </si>
  <si>
    <t>C1C</t>
  </si>
  <si>
    <t>IN ES329068</t>
  </si>
  <si>
    <t>K411377IN ES329068</t>
  </si>
  <si>
    <t>IN ES329142</t>
  </si>
  <si>
    <t>K411377IN ES329142</t>
  </si>
  <si>
    <t>SMRTIPL/SAPL/MH</t>
  </si>
  <si>
    <t>7046507</t>
  </si>
  <si>
    <t>CG7</t>
  </si>
  <si>
    <t>IN ES329143</t>
  </si>
  <si>
    <t>K411377IN ES329143</t>
  </si>
  <si>
    <t>IN ES329144</t>
  </si>
  <si>
    <t>K411377IN ES329144</t>
  </si>
  <si>
    <t>IN ES329208</t>
  </si>
  <si>
    <t>K411377IN ES329208</t>
  </si>
  <si>
    <t>IN ES329209</t>
  </si>
  <si>
    <t>K411377IN ES329209</t>
  </si>
  <si>
    <t>IN ES329211</t>
  </si>
  <si>
    <t>K411377IN ES329211</t>
  </si>
  <si>
    <t>IN ES329263</t>
  </si>
  <si>
    <t>K411377IN ES329263</t>
  </si>
  <si>
    <t>IN ES329265</t>
  </si>
  <si>
    <t>K411377IN ES329265</t>
  </si>
  <si>
    <t>SAPL/MH/JMM/MAN</t>
  </si>
  <si>
    <t>7006281</t>
  </si>
  <si>
    <t>8C</t>
  </si>
  <si>
    <t>C8C</t>
  </si>
  <si>
    <t>IN ES329268</t>
  </si>
  <si>
    <t>K411377IN ES329268</t>
  </si>
  <si>
    <t>IN ES329270</t>
  </si>
  <si>
    <t>K411377IN ES329270</t>
  </si>
  <si>
    <t>60603991</t>
  </si>
  <si>
    <t>25122010077342</t>
  </si>
  <si>
    <t>RAVI  RANJAN TRIPATHY</t>
  </si>
  <si>
    <t>A50</t>
  </si>
  <si>
    <t>JAGABANDHU ENTERPRISERS PVT LTD</t>
  </si>
  <si>
    <t>UC 20228722</t>
  </si>
  <si>
    <t>K100000UC 20228722</t>
  </si>
  <si>
    <t>East</t>
  </si>
  <si>
    <t>60604211</t>
  </si>
  <si>
    <t>SMRTIPL/KAR/JAG</t>
  </si>
  <si>
    <t>7054726</t>
  </si>
  <si>
    <t>CJ5</t>
  </si>
  <si>
    <t>JAGADAMBHA STONE CRUSHER</t>
  </si>
  <si>
    <t>IN ES328213</t>
  </si>
  <si>
    <t>K411377IN ES328213</t>
  </si>
  <si>
    <t>IN ES328222</t>
  </si>
  <si>
    <t>K411377IN ES328222</t>
  </si>
  <si>
    <t>IN ES328228</t>
  </si>
  <si>
    <t>K411377IN ES328228</t>
  </si>
  <si>
    <t>60604193</t>
  </si>
  <si>
    <t>JCPL/25-26/PO237</t>
  </si>
  <si>
    <t>043157400</t>
  </si>
  <si>
    <t>JAGANNATH CORPORATION PROJECTS PVT</t>
  </si>
  <si>
    <t>IN 2337453</t>
  </si>
  <si>
    <t>K611311IN 2337453</t>
  </si>
  <si>
    <t>JCPL/25-26/PO185 R</t>
  </si>
  <si>
    <t>042028401</t>
  </si>
  <si>
    <t>IN 2337454</t>
  </si>
  <si>
    <t>K611311IN 2337454</t>
  </si>
  <si>
    <t>K511311IN 2337454</t>
  </si>
  <si>
    <t>60604056</t>
  </si>
  <si>
    <t>25042392790375</t>
  </si>
  <si>
    <t>JAMUNA CRU PRO SAND</t>
  </si>
  <si>
    <t>UC 20212005</t>
  </si>
  <si>
    <t>60602555</t>
  </si>
  <si>
    <t>26012438720836</t>
  </si>
  <si>
    <t>JAMUNA INFRAPROJECTS PVT LTD.</t>
  </si>
  <si>
    <t>UC 20231837</t>
  </si>
  <si>
    <t>26020255282129</t>
  </si>
  <si>
    <t>UC 20232284</t>
  </si>
  <si>
    <t>PO NO. 450</t>
  </si>
  <si>
    <t>042915001</t>
  </si>
  <si>
    <t>IN 2324010</t>
  </si>
  <si>
    <t>K511317IN 2324010</t>
  </si>
  <si>
    <t>K511311IN 2324010</t>
  </si>
  <si>
    <t>M611327IN 2324010</t>
  </si>
  <si>
    <t>M511327IN 2324010</t>
  </si>
  <si>
    <t>60604375</t>
  </si>
  <si>
    <t>26013151824549</t>
  </si>
  <si>
    <t>JIJAA STONE CRUSHER</t>
  </si>
  <si>
    <t>UC 20231963</t>
  </si>
  <si>
    <t>60601041</t>
  </si>
  <si>
    <t>4200169321/MES</t>
  </si>
  <si>
    <t>041068900</t>
  </si>
  <si>
    <t>JK LAKSHMI CEMENT LIMITED</t>
  </si>
  <si>
    <t>IN 2315230</t>
  </si>
  <si>
    <t>K511511IN 2315230</t>
  </si>
  <si>
    <t>K611511IN 2315230</t>
  </si>
  <si>
    <t>4200171116/MES</t>
  </si>
  <si>
    <t>042501600</t>
  </si>
  <si>
    <t>IN 2315751</t>
  </si>
  <si>
    <t>K611311IN 2315751</t>
  </si>
  <si>
    <t>M511327IN 2315751</t>
  </si>
  <si>
    <t>60601759</t>
  </si>
  <si>
    <t>SMRTIPL/HR/JKY/</t>
  </si>
  <si>
    <t>7015949</t>
  </si>
  <si>
    <t>H5</t>
  </si>
  <si>
    <t>CH5</t>
  </si>
  <si>
    <t>JKY STONE CRUSHING COMPANY</t>
  </si>
  <si>
    <t>IN ES324276</t>
  </si>
  <si>
    <t>G411373IN ES324276</t>
  </si>
  <si>
    <t>IN ES324321</t>
  </si>
  <si>
    <t>G411373IN ES324321</t>
  </si>
  <si>
    <t>IN ES324384</t>
  </si>
  <si>
    <t>G411373IN ES324384</t>
  </si>
  <si>
    <t>IN ES324418</t>
  </si>
  <si>
    <t>G411373IN ES324418</t>
  </si>
  <si>
    <t>IN ES324461</t>
  </si>
  <si>
    <t>G411373IN ES324461</t>
  </si>
  <si>
    <t>60603892</t>
  </si>
  <si>
    <t>JPS/2025-26/13</t>
  </si>
  <si>
    <t>7067498</t>
  </si>
  <si>
    <t>JP SILICA</t>
  </si>
  <si>
    <t>IN ES329170</t>
  </si>
  <si>
    <t>K411376IN ES329170</t>
  </si>
  <si>
    <t>60603972</t>
  </si>
  <si>
    <t>JSWEKLENGY2030001088</t>
  </si>
  <si>
    <t>036816102</t>
  </si>
  <si>
    <t>JSW ENERGY (KUTEHR) LIMITED</t>
  </si>
  <si>
    <t>IN 2276958</t>
  </si>
  <si>
    <t>M611920IN 2276958</t>
  </si>
  <si>
    <t>K611318IN 2276958</t>
  </si>
  <si>
    <t>M611011IN 2276958</t>
  </si>
  <si>
    <t>20000012</t>
  </si>
  <si>
    <t>VJNR//C/4700157</t>
  </si>
  <si>
    <t>7067335</t>
  </si>
  <si>
    <t>M411226</t>
  </si>
  <si>
    <t>JSW STEEL LIMITED</t>
  </si>
  <si>
    <t>IN ES329157</t>
  </si>
  <si>
    <t>M411226IN ES329157</t>
  </si>
  <si>
    <t>60602462</t>
  </si>
  <si>
    <t>PO-4700101220</t>
  </si>
  <si>
    <t>018790600</t>
  </si>
  <si>
    <t>PACKING DETAILS:                    ,1 NON-STACKABL 210 X 210 X 180 CM   ,WEIGHT-9970 KG                      ,1 NON-STACKABL 170 X 130 X 90 CM    ,WEIGHT-1040                         ,KG----------------------------------,------------------------------------,------------------------            ,Design,Manufacure, supply of 2 year ,spares for Crushing &amp;amp; Screening     ,plant at Iron Ore Mines</t>
  </si>
  <si>
    <t>IN 2219328</t>
  </si>
  <si>
    <t>K511311IN 2219328</t>
  </si>
  <si>
    <t>PO:4700101214 /NUAGA</t>
  </si>
  <si>
    <t>018789500</t>
  </si>
  <si>
    <t>Design,Manufacure, supply of 2 year ,spares for Crushing &amp;amp; Screening     ,plant at Iron Ore Mines Nuagaon for ,JSW Steel Ltd. Odisha               ,PO No: Odisha Mines/CAP/4700101214, ,PO Date: 15-11-2021</t>
  </si>
  <si>
    <t>K511328</t>
  </si>
  <si>
    <t>IN 2207185</t>
  </si>
  <si>
    <t>K511328IN 2207185</t>
  </si>
  <si>
    <t>K511327</t>
  </si>
  <si>
    <t>K511327IN 2207185</t>
  </si>
  <si>
    <t>018790601</t>
  </si>
  <si>
    <t>IN 2219568</t>
  </si>
  <si>
    <t>K511311IN 2219568</t>
  </si>
  <si>
    <t>PO-4700101214</t>
  </si>
  <si>
    <t>018789801</t>
  </si>
  <si>
    <t>Design,Manufacure, supply of 2 year ,spares for Crushing &amp;amp; Screening     ,plant at Iron Ore Mines             ,Narayanposhi for                    ,JSW Steel Ltd. Odisha               ,PO No: Odisha Mines/CAP/4700101214, ,PO Date: 15-11-2021</t>
  </si>
  <si>
    <t>IN 2207905</t>
  </si>
  <si>
    <t>K511317IN 2207905</t>
  </si>
  <si>
    <t>K511311IN 2207905</t>
  </si>
  <si>
    <t>018789501</t>
  </si>
  <si>
    <t>IN 2207911</t>
  </si>
  <si>
    <t>K511317IN 2207911</t>
  </si>
  <si>
    <t>K511311IN 2207911</t>
  </si>
  <si>
    <t>018789502</t>
  </si>
  <si>
    <t>IN 2208193</t>
  </si>
  <si>
    <t>K511327IN 2208193</t>
  </si>
  <si>
    <t>K511328IN 2208193</t>
  </si>
  <si>
    <t>018789802</t>
  </si>
  <si>
    <t>IN 2208194</t>
  </si>
  <si>
    <t>K511328IN 2208194</t>
  </si>
  <si>
    <t>K511327IN 2208194</t>
  </si>
  <si>
    <t>118414CAP/47001</t>
  </si>
  <si>
    <t>7009711</t>
  </si>
  <si>
    <t>Sourav Sengupta</t>
  </si>
  <si>
    <t>C87</t>
  </si>
  <si>
    <t>IN ES254673</t>
  </si>
  <si>
    <t>E511502IN ES254673</t>
  </si>
  <si>
    <t>IN ES254676</t>
  </si>
  <si>
    <t>E511502IN ES254676</t>
  </si>
  <si>
    <t>IN ES254678</t>
  </si>
  <si>
    <t>E511502IN ES254678</t>
  </si>
  <si>
    <t>IN ES254688</t>
  </si>
  <si>
    <t>E511502IN ES254688</t>
  </si>
  <si>
    <t>7009705</t>
  </si>
  <si>
    <t>IN ES254704</t>
  </si>
  <si>
    <t>E511502IN ES254704</t>
  </si>
  <si>
    <t>IN ES254705</t>
  </si>
  <si>
    <t>E511502IN ES254705</t>
  </si>
  <si>
    <t>IN ES254737</t>
  </si>
  <si>
    <t>E511502IN ES254737</t>
  </si>
  <si>
    <t>IN ES254738</t>
  </si>
  <si>
    <t>E511502IN ES254738</t>
  </si>
  <si>
    <t>IN ES254744</t>
  </si>
  <si>
    <t>E511502IN ES254744</t>
  </si>
  <si>
    <t>IN ES254752</t>
  </si>
  <si>
    <t>E511502IN ES254752</t>
  </si>
  <si>
    <t>IN ES254753</t>
  </si>
  <si>
    <t>E511502IN ES254753</t>
  </si>
  <si>
    <t>IN ES254756</t>
  </si>
  <si>
    <t>E511502IN ES254756</t>
  </si>
  <si>
    <t>IN ES254771</t>
  </si>
  <si>
    <t>E511502IN ES254771</t>
  </si>
  <si>
    <t>IN ES254840</t>
  </si>
  <si>
    <t>E511502IN ES254840</t>
  </si>
  <si>
    <t>IN ES254841</t>
  </si>
  <si>
    <t>E511502IN ES254841</t>
  </si>
  <si>
    <t>IN ES254842</t>
  </si>
  <si>
    <t>E511502IN ES254842</t>
  </si>
  <si>
    <t>IN ES254843</t>
  </si>
  <si>
    <t>E511502IN ES254843</t>
  </si>
  <si>
    <t>IN ES255055</t>
  </si>
  <si>
    <t>E511502IN ES255055</t>
  </si>
  <si>
    <t>IN ES255056</t>
  </si>
  <si>
    <t>E511502IN ES255056</t>
  </si>
  <si>
    <t>IN ES255221</t>
  </si>
  <si>
    <t>E511502IN ES255221</t>
  </si>
  <si>
    <t>IN ES255235</t>
  </si>
  <si>
    <t>E511502IN ES255235</t>
  </si>
  <si>
    <t>IN ES255239</t>
  </si>
  <si>
    <t>E511502IN ES255239</t>
  </si>
  <si>
    <t>IN ES277720</t>
  </si>
  <si>
    <t>E511502IN ES277720</t>
  </si>
  <si>
    <t>IN ES278333</t>
  </si>
  <si>
    <t>E511502IN ES278333</t>
  </si>
  <si>
    <t>IN ES278389</t>
  </si>
  <si>
    <t>E511502IN ES278389</t>
  </si>
  <si>
    <t>IN ES278390</t>
  </si>
  <si>
    <t>E511502IN ES278390</t>
  </si>
  <si>
    <t>60604241</t>
  </si>
  <si>
    <t>118231SER/45002</t>
  </si>
  <si>
    <t>7061664</t>
  </si>
  <si>
    <t>ANGSHUMAN DAS</t>
  </si>
  <si>
    <t>A11</t>
  </si>
  <si>
    <t>IN ES339289</t>
  </si>
  <si>
    <t>K411372IN ES339289</t>
  </si>
  <si>
    <t>4700100251</t>
  </si>
  <si>
    <t>7066884</t>
  </si>
  <si>
    <t>IN ES329119</t>
  </si>
  <si>
    <t>K411372IN ES329119</t>
  </si>
  <si>
    <t>60603994</t>
  </si>
  <si>
    <t>SMRTIPL/JH/JCEP</t>
  </si>
  <si>
    <t>7019273</t>
  </si>
  <si>
    <t>C31</t>
  </si>
  <si>
    <t>JYOTI CONSTRUCTION AND ENGINEERING</t>
  </si>
  <si>
    <t>IN ES343321</t>
  </si>
  <si>
    <t>K411377IN ES343321</t>
  </si>
  <si>
    <t>IN ES343324</t>
  </si>
  <si>
    <t>K411377IN ES343324</t>
  </si>
  <si>
    <t>IN ES343327</t>
  </si>
  <si>
    <t>K411377IN ES343327</t>
  </si>
  <si>
    <t>JCEPL/SMRT/2026/103</t>
  </si>
  <si>
    <t>043639701</t>
  </si>
  <si>
    <t>IN 2323932</t>
  </si>
  <si>
    <t>K511318IN 2323932</t>
  </si>
  <si>
    <t>K611318IN 2323932</t>
  </si>
  <si>
    <t>043639700</t>
  </si>
  <si>
    <t>IN 2337650</t>
  </si>
  <si>
    <t>K611318IN 2337650</t>
  </si>
  <si>
    <t>JCEPL/SMRT/2025/101</t>
  </si>
  <si>
    <t>041222902</t>
  </si>
  <si>
    <t>IN 2337651</t>
  </si>
  <si>
    <t>K511315IN 2337651</t>
  </si>
  <si>
    <t>K511318IN 2337651</t>
  </si>
  <si>
    <t>IN ES343332</t>
  </si>
  <si>
    <t>K411377IN ES343332</t>
  </si>
  <si>
    <t>60604271</t>
  </si>
  <si>
    <t>KCC/TCP/PO-207/</t>
  </si>
  <si>
    <t>7050777</t>
  </si>
  <si>
    <t>ANOOP SINGH</t>
  </si>
  <si>
    <t>A76</t>
  </si>
  <si>
    <t>KALINGA COMMERCIAL CORPORATION LIMI</t>
  </si>
  <si>
    <t>IN ES301337</t>
  </si>
  <si>
    <t>E511502IN ES301337</t>
  </si>
  <si>
    <t>60602754</t>
  </si>
  <si>
    <t>4400001043</t>
  </si>
  <si>
    <t>041363301</t>
  </si>
  <si>
    <t>KALINGA COMMERCIAL CORPORATION LTD</t>
  </si>
  <si>
    <t>IN 2322495</t>
  </si>
  <si>
    <t>M611327IN 2322495</t>
  </si>
  <si>
    <t>4400006635</t>
  </si>
  <si>
    <t>043131100</t>
  </si>
  <si>
    <t>IN 2323810</t>
  </si>
  <si>
    <t>M511327IN 2323810</t>
  </si>
  <si>
    <t>20000037</t>
  </si>
  <si>
    <t>1554595759</t>
  </si>
  <si>
    <t>KALYANI ISPAT LIMITED</t>
  </si>
  <si>
    <t>UC 20211449</t>
  </si>
  <si>
    <t>26011274733775</t>
  </si>
  <si>
    <t>UC 20230713</t>
  </si>
  <si>
    <t>4300034521</t>
  </si>
  <si>
    <t>7062000</t>
  </si>
  <si>
    <t>IN ES324452</t>
  </si>
  <si>
    <t>E511502IN ES324452</t>
  </si>
  <si>
    <t>60604270</t>
  </si>
  <si>
    <t>KTPL/SAM-10/25-26/NC</t>
  </si>
  <si>
    <t>042557500</t>
  </si>
  <si>
    <t>NC NAHAR ORDER SPARES</t>
  </si>
  <si>
    <t>KESAR TRUCKS PRIVATE LIMITED</t>
  </si>
  <si>
    <t>IN 2323099</t>
  </si>
  <si>
    <t>K611511IN 2323099</t>
  </si>
  <si>
    <t>KTPL/SAM-11SAI/24-25</t>
  </si>
  <si>
    <t>036167403</t>
  </si>
  <si>
    <t>IN 2323100</t>
  </si>
  <si>
    <t>K511711IN 2323100</t>
  </si>
  <si>
    <t>KTPL/DT/3110/25-26</t>
  </si>
  <si>
    <t>041939101</t>
  </si>
  <si>
    <t>DHIRAJ TRADERS ORDER</t>
  </si>
  <si>
    <t>IN 2323101</t>
  </si>
  <si>
    <t>K511311IN 2323101</t>
  </si>
  <si>
    <t>KTPL/NC/22/25-26</t>
  </si>
  <si>
    <t>042817400</t>
  </si>
  <si>
    <t>NC NAHAR ORDER</t>
  </si>
  <si>
    <t>IN 2323138</t>
  </si>
  <si>
    <t>K611311IN 2323138</t>
  </si>
  <si>
    <t>60601929</t>
  </si>
  <si>
    <t>KA/JE/PO/21</t>
  </si>
  <si>
    <t>041249100</t>
  </si>
  <si>
    <t>Serial Number - 0990P25160</t>
  </si>
  <si>
    <t>Jagannath Das</t>
  </si>
  <si>
    <t>A47</t>
  </si>
  <si>
    <t>011</t>
  </si>
  <si>
    <t>KONARK AUTOMOBILES</t>
  </si>
  <si>
    <t>IN 2322898</t>
  </si>
  <si>
    <t>K511317IN 2322898</t>
  </si>
  <si>
    <t>SMRTIPL/OR/KAPL</t>
  </si>
  <si>
    <t>7040767</t>
  </si>
  <si>
    <t>Ranjan Sethy</t>
  </si>
  <si>
    <t>D60</t>
  </si>
  <si>
    <t>CF9</t>
  </si>
  <si>
    <t>IN ES333812</t>
  </si>
  <si>
    <t>K411377IN ES333812</t>
  </si>
  <si>
    <t>KA/MBM/PO/19/25-26</t>
  </si>
  <si>
    <t>042371600</t>
  </si>
  <si>
    <t>007</t>
  </si>
  <si>
    <t>IN 2323122</t>
  </si>
  <si>
    <t>M611011IN 2323122</t>
  </si>
  <si>
    <t>KA/RKL/PO/54/25-26</t>
  </si>
  <si>
    <t>042310101</t>
  </si>
  <si>
    <t>Part order for RKL stock</t>
  </si>
  <si>
    <t>IN 2323124</t>
  </si>
  <si>
    <t>K611311IN 2323124</t>
  </si>
  <si>
    <t>KA/KM/PO/53/25-26</t>
  </si>
  <si>
    <t>042285102</t>
  </si>
  <si>
    <t>Parts order for Krishna Minerals</t>
  </si>
  <si>
    <t>IN 2323125</t>
  </si>
  <si>
    <t>K511318IN 2323125</t>
  </si>
  <si>
    <t>KA/RKL/PO/43/25-26</t>
  </si>
  <si>
    <t>041529504</t>
  </si>
  <si>
    <t>IN 2337317</t>
  </si>
  <si>
    <t>K611511IN 2337317</t>
  </si>
  <si>
    <t>KA/KM/PO/18/25-26</t>
  </si>
  <si>
    <t>042371500</t>
  </si>
  <si>
    <t>IN 2315612</t>
  </si>
  <si>
    <t>M611920IN 2315612</t>
  </si>
  <si>
    <t>KA/PO/BBSR/01/26-27</t>
  </si>
  <si>
    <t>043009400</t>
  </si>
  <si>
    <t>Spare parts order for BBSR</t>
  </si>
  <si>
    <t>SP3</t>
  </si>
  <si>
    <t>IN 2337401</t>
  </si>
  <si>
    <t>K611511IN 2337401</t>
  </si>
  <si>
    <t>K611512IN 2337401</t>
  </si>
  <si>
    <t>KA/PO/BBSR/03/26-27</t>
  </si>
  <si>
    <t>043095500</t>
  </si>
  <si>
    <t>Breakdown part order for SJM</t>
  </si>
  <si>
    <t>IN 2337402</t>
  </si>
  <si>
    <t>K511311IN 2337402</t>
  </si>
  <si>
    <t>KA/PO/51/25-26</t>
  </si>
  <si>
    <t>042793700</t>
  </si>
  <si>
    <t>Part order for RKL Stock</t>
  </si>
  <si>
    <t>IN 2337416</t>
  </si>
  <si>
    <t>K611511IN 2337416</t>
  </si>
  <si>
    <t>K611512IN 2337416</t>
  </si>
  <si>
    <t>K611317IN 2337416</t>
  </si>
  <si>
    <t>KA/PO/BBSR/08/26-27</t>
  </si>
  <si>
    <t>043198800</t>
  </si>
  <si>
    <t>Part order for MSPL</t>
  </si>
  <si>
    <t>IN 2337504</t>
  </si>
  <si>
    <t>K611512IN 2337504</t>
  </si>
  <si>
    <t>KA/PO/BBSR/05/26-27</t>
  </si>
  <si>
    <t>043133600</t>
  </si>
  <si>
    <t>Parts order for MSPL</t>
  </si>
  <si>
    <t>IN 2337505</t>
  </si>
  <si>
    <t>K611512IN 2337505</t>
  </si>
  <si>
    <t>KA/PO/BBSR/04/26-27</t>
  </si>
  <si>
    <t>043133800</t>
  </si>
  <si>
    <t>IN 2337506</t>
  </si>
  <si>
    <t>K611317IN 2337506</t>
  </si>
  <si>
    <t>K511317IN 2337506</t>
  </si>
  <si>
    <t>IN ES333821</t>
  </si>
  <si>
    <t>K411377IN ES333821</t>
  </si>
  <si>
    <t>043133601</t>
  </si>
  <si>
    <t>IN 2323776</t>
  </si>
  <si>
    <t>K611512IN 2323776</t>
  </si>
  <si>
    <t>IN ES333830</t>
  </si>
  <si>
    <t>K411377IN ES333830</t>
  </si>
  <si>
    <t>KA/PPSW/PO/11/26-27</t>
  </si>
  <si>
    <t>043699001</t>
  </si>
  <si>
    <t>VSI Parts order for Pawan Putra     ,Stone Works</t>
  </si>
  <si>
    <t>IN 2324011</t>
  </si>
  <si>
    <t>K611318IN 2324011</t>
  </si>
  <si>
    <t>K511318IN 2324011</t>
  </si>
  <si>
    <t>KA/RKL/PO/47/25-26</t>
  </si>
  <si>
    <t>041766702</t>
  </si>
  <si>
    <t>Parts for RKL stock</t>
  </si>
  <si>
    <t>IN 2324013</t>
  </si>
  <si>
    <t>K511317IN 2324013</t>
  </si>
  <si>
    <t>K511311IN 2324013</t>
  </si>
  <si>
    <t>KA/PPSW/PO/50/25-26</t>
  </si>
  <si>
    <t>042059000</t>
  </si>
  <si>
    <t>Parts order for Pawan Putra stone   ,works</t>
  </si>
  <si>
    <t>IN 2324014</t>
  </si>
  <si>
    <t>K511311IN 2324014</t>
  </si>
  <si>
    <t>K511317IN 2324014</t>
  </si>
  <si>
    <t>K611317IN 2324014</t>
  </si>
  <si>
    <t>KA//RKL/PO/42/25-26</t>
  </si>
  <si>
    <t>041354701</t>
  </si>
  <si>
    <t>part order for RKL</t>
  </si>
  <si>
    <t>IN 2324015</t>
  </si>
  <si>
    <t>K511317IN 2324015</t>
  </si>
  <si>
    <t>KA/JMSM/PO/34/25-26</t>
  </si>
  <si>
    <t>040478401</t>
  </si>
  <si>
    <t>Breakdown order for Jai Maa Sarda   ,Minerals</t>
  </si>
  <si>
    <t>IN 2324016</t>
  </si>
  <si>
    <t>K511317IN 2324016</t>
  </si>
  <si>
    <t>KA/PPSW/PO/24/25-26</t>
  </si>
  <si>
    <t>039800802</t>
  </si>
  <si>
    <t>Break down order for Pawan putra    ,stone works</t>
  </si>
  <si>
    <t>IN 2324017</t>
  </si>
  <si>
    <t>K511317IN 2324017</t>
  </si>
  <si>
    <t>KA/JMS/PO/44/25-26</t>
  </si>
  <si>
    <t>041557400</t>
  </si>
  <si>
    <t>Part order for Jai Maa Sarda        ,minerals</t>
  </si>
  <si>
    <t>IN 2324018</t>
  </si>
  <si>
    <t>M511327IN 2324018</t>
  </si>
  <si>
    <t>KA/RKL/PO/37/25-26</t>
  </si>
  <si>
    <t>040725202</t>
  </si>
  <si>
    <t>Part order for rourkela stock</t>
  </si>
  <si>
    <t>IN 2324019</t>
  </si>
  <si>
    <t>K511311IN 2324019</t>
  </si>
  <si>
    <t>KA/MBM/PO/35/25-26</t>
  </si>
  <si>
    <t>040724904</t>
  </si>
  <si>
    <t>Part order for MBM</t>
  </si>
  <si>
    <t>IN 2324020</t>
  </si>
  <si>
    <t>K511317IN 2324020</t>
  </si>
  <si>
    <t>M511327IN 2324020</t>
  </si>
  <si>
    <t>KA/PO/RKL/06/26-27</t>
  </si>
  <si>
    <t>043164301</t>
  </si>
  <si>
    <t>IN 2337664</t>
  </si>
  <si>
    <t>K611317IN 2337664</t>
  </si>
  <si>
    <t>K611512IN 2337664</t>
  </si>
  <si>
    <t>K611511IN 2337664</t>
  </si>
  <si>
    <t>KA/RKL/PO/44/25-26</t>
  </si>
  <si>
    <t>041530102</t>
  </si>
  <si>
    <t>IN 2337665</t>
  </si>
  <si>
    <t>K511311IN 2337665</t>
  </si>
  <si>
    <t>KA/PO/RKL/07/26-27</t>
  </si>
  <si>
    <t>043164401</t>
  </si>
  <si>
    <t>IN 2337666</t>
  </si>
  <si>
    <t>K511411IN 2337666</t>
  </si>
  <si>
    <t>K511311IN 2337666</t>
  </si>
  <si>
    <t>K511317IN 2337666</t>
  </si>
  <si>
    <t>K611311IN 2337666</t>
  </si>
  <si>
    <t>K611317IN 2337666</t>
  </si>
  <si>
    <t>041766701</t>
  </si>
  <si>
    <t>IN 2337667</t>
  </si>
  <si>
    <t>K511311IN 2337667</t>
  </si>
  <si>
    <t>KA/MSPL/PO/10/26-27</t>
  </si>
  <si>
    <t>043527400</t>
  </si>
  <si>
    <t>IN 2337668</t>
  </si>
  <si>
    <t>K611512IN 2337668</t>
  </si>
  <si>
    <t>KA/PO/BBSR/02/26-27</t>
  </si>
  <si>
    <t>043009501</t>
  </si>
  <si>
    <t>Parts order for BBSR stock</t>
  </si>
  <si>
    <t>IN 2337669</t>
  </si>
  <si>
    <t>K511311IN 2337669</t>
  </si>
  <si>
    <t>K611311IN 2337669</t>
  </si>
  <si>
    <t>043699000</t>
  </si>
  <si>
    <t>IN 2337670</t>
  </si>
  <si>
    <t>K511318IN 2337670</t>
  </si>
  <si>
    <t>K611318IN 2337670</t>
  </si>
  <si>
    <t>60602712</t>
  </si>
  <si>
    <t>NIL, OP-015903</t>
  </si>
  <si>
    <t>7068285</t>
  </si>
  <si>
    <t>022</t>
  </si>
  <si>
    <t>IN ES324435</t>
  </si>
  <si>
    <t>E511502IN ES324435</t>
  </si>
  <si>
    <t>60602548</t>
  </si>
  <si>
    <t>PTK25-26/156</t>
  </si>
  <si>
    <t>042786600</t>
  </si>
  <si>
    <t>KULDIP MACHINERY STORE</t>
  </si>
  <si>
    <t>IN 2316002</t>
  </si>
  <si>
    <t>K611511IN 2316002</t>
  </si>
  <si>
    <t>1512000000</t>
  </si>
  <si>
    <t>EX000013</t>
  </si>
  <si>
    <t>3960026039</t>
  </si>
  <si>
    <t>7065070</t>
  </si>
  <si>
    <t>LAFARGEHOLCIM BANGLADESH LIMITED</t>
  </si>
  <si>
    <t>IN ES329149</t>
  </si>
  <si>
    <t>E511502IN ES329149</t>
  </si>
  <si>
    <t>NE</t>
  </si>
  <si>
    <t>IN ES329153</t>
  </si>
  <si>
    <t>E511502IN ES329153</t>
  </si>
  <si>
    <t>IN ES329154</t>
  </si>
  <si>
    <t>E511502IN ES329154</t>
  </si>
  <si>
    <t>IN ES329155</t>
  </si>
  <si>
    <t>E611502IN ES329155</t>
  </si>
  <si>
    <t>E511502IN ES329155</t>
  </si>
  <si>
    <t>60601332</t>
  </si>
  <si>
    <t>596869</t>
  </si>
  <si>
    <t>LAXMI NARAYAN STONE INDUSTRIES</t>
  </si>
  <si>
    <t>UC 20222307</t>
  </si>
  <si>
    <t>60603904</t>
  </si>
  <si>
    <t>SMRTIPL/MH/LRG/</t>
  </si>
  <si>
    <t>7037255</t>
  </si>
  <si>
    <t>CF7</t>
  </si>
  <si>
    <t>LRG AGGREGATES MANUFACTURING</t>
  </si>
  <si>
    <t>IN ES329141</t>
  </si>
  <si>
    <t>K411377IN ES329141</t>
  </si>
  <si>
    <t>IN ES329191</t>
  </si>
  <si>
    <t>K411377IN ES329191</t>
  </si>
  <si>
    <t>IN ES329260</t>
  </si>
  <si>
    <t>K411377IN ES329260</t>
  </si>
  <si>
    <t>60603831</t>
  </si>
  <si>
    <t>25111100594037</t>
  </si>
  <si>
    <t>M/S VIDHYA GRANITE</t>
  </si>
  <si>
    <t>UC 20225923</t>
  </si>
  <si>
    <t>60601768</t>
  </si>
  <si>
    <t>PMV-060825SAN/70/310</t>
  </si>
  <si>
    <t>040497600</t>
  </si>
  <si>
    <t>MAAD MINES AND MINERALS PVT LTD</t>
  </si>
  <si>
    <t>IN 2321570</t>
  </si>
  <si>
    <t>K511311IN 2321570</t>
  </si>
  <si>
    <t>PMV-110825SAN/71/311</t>
  </si>
  <si>
    <t>037668200</t>
  </si>
  <si>
    <t>IN 2321644</t>
  </si>
  <si>
    <t>K611311IN 2321644</t>
  </si>
  <si>
    <t>20000002</t>
  </si>
  <si>
    <t>25102486459451</t>
  </si>
  <si>
    <t>08</t>
  </si>
  <si>
    <t>MAHAMIA TRADER</t>
  </si>
  <si>
    <t>UC 20225211</t>
  </si>
  <si>
    <t>25121996952684</t>
  </si>
  <si>
    <t>UC 20228899</t>
  </si>
  <si>
    <t>26010836253178</t>
  </si>
  <si>
    <t>UC 20230457</t>
  </si>
  <si>
    <t>60603772</t>
  </si>
  <si>
    <t>5072500029217</t>
  </si>
  <si>
    <t>MEGHA ENGINEERING &amp; INFRASTRUCTURES</t>
  </si>
  <si>
    <t>UC 20218783</t>
  </si>
  <si>
    <t>SMRTIPL/MEIL</t>
  </si>
  <si>
    <t>7051177</t>
  </si>
  <si>
    <t>CJ3</t>
  </si>
  <si>
    <t>IN ES321034</t>
  </si>
  <si>
    <t>K411377IN ES321034</t>
  </si>
  <si>
    <t>IN ES321042</t>
  </si>
  <si>
    <t>K411377IN ES321042</t>
  </si>
  <si>
    <t>IN ES321051</t>
  </si>
  <si>
    <t>K411377IN ES321051</t>
  </si>
  <si>
    <t>MEIL/3261/42000</t>
  </si>
  <si>
    <t>7057146</t>
  </si>
  <si>
    <t>CJ9</t>
  </si>
  <si>
    <t>IN ES321057</t>
  </si>
  <si>
    <t>K411377IN ES321057</t>
  </si>
  <si>
    <t>MEIL/3256/CHILL</t>
  </si>
  <si>
    <t>7043729</t>
  </si>
  <si>
    <t>CG4</t>
  </si>
  <si>
    <t>IN ES321058</t>
  </si>
  <si>
    <t>K411377IN ES321058</t>
  </si>
  <si>
    <t>IN ES321060</t>
  </si>
  <si>
    <t>K411377IN ES321060</t>
  </si>
  <si>
    <t>IN ES321065</t>
  </si>
  <si>
    <t>K411377IN ES321065</t>
  </si>
  <si>
    <t>IN ES321067</t>
  </si>
  <si>
    <t>K411377IN ES321067</t>
  </si>
  <si>
    <t>IN ES321069</t>
  </si>
  <si>
    <t>K411377IN ES321069</t>
  </si>
  <si>
    <t>IN ES321074</t>
  </si>
  <si>
    <t>K411377IN ES321074</t>
  </si>
  <si>
    <t>IN ES321075</t>
  </si>
  <si>
    <t>K411377IN ES321075</t>
  </si>
  <si>
    <t>IN ES321078</t>
  </si>
  <si>
    <t>K411377IN ES321078</t>
  </si>
  <si>
    <t>IN ES321086</t>
  </si>
  <si>
    <t>K411377IN ES321086</t>
  </si>
  <si>
    <t>IN ES321087</t>
  </si>
  <si>
    <t>K411377IN ES321087</t>
  </si>
  <si>
    <t>IN ES321089</t>
  </si>
  <si>
    <t>K411377IN ES321089</t>
  </si>
  <si>
    <t>60603857</t>
  </si>
  <si>
    <t>5800004966</t>
  </si>
  <si>
    <t>036809800</t>
  </si>
  <si>
    <t>IN 2283031</t>
  </si>
  <si>
    <t>K611311IN 2283031</t>
  </si>
  <si>
    <t>K511311IN 2283031</t>
  </si>
  <si>
    <t>5800005358</t>
  </si>
  <si>
    <t>037416900</t>
  </si>
  <si>
    <t>006</t>
  </si>
  <si>
    <t>IN 2283506</t>
  </si>
  <si>
    <t>G515770IN 2283506</t>
  </si>
  <si>
    <t>4200008974</t>
  </si>
  <si>
    <t>7058253</t>
  </si>
  <si>
    <t>CK5</t>
  </si>
  <si>
    <t>IN ES321043</t>
  </si>
  <si>
    <t>K411377IN ES321043</t>
  </si>
  <si>
    <t>IN ES321052</t>
  </si>
  <si>
    <t>K411377IN ES321052</t>
  </si>
  <si>
    <t>IN ES321059</t>
  </si>
  <si>
    <t>K411377IN ES321059</t>
  </si>
  <si>
    <t>IN ES321068</t>
  </si>
  <si>
    <t>K411377IN ES321068</t>
  </si>
  <si>
    <t>IN ES321077</t>
  </si>
  <si>
    <t>K411377IN ES321077</t>
  </si>
  <si>
    <t>IN ES321088</t>
  </si>
  <si>
    <t>K411377IN ES321088</t>
  </si>
  <si>
    <t>60603975</t>
  </si>
  <si>
    <t>MEIL/3195/ZOJIL</t>
  </si>
  <si>
    <t>7013562</t>
  </si>
  <si>
    <t>C20</t>
  </si>
  <si>
    <t>IN ES344528</t>
  </si>
  <si>
    <t>K411377IN ES344528</t>
  </si>
  <si>
    <t>IN ES344535</t>
  </si>
  <si>
    <t>K411377IN ES344535</t>
  </si>
  <si>
    <t>IN ES344539</t>
  </si>
  <si>
    <t>K411377IN ES344539</t>
  </si>
  <si>
    <t>IN ES344545</t>
  </si>
  <si>
    <t>K411377IN ES344545</t>
  </si>
  <si>
    <t>IN ES344546</t>
  </si>
  <si>
    <t>K411377IN ES344546</t>
  </si>
  <si>
    <t>60604123</t>
  </si>
  <si>
    <t>4700040400</t>
  </si>
  <si>
    <t>7060545</t>
  </si>
  <si>
    <t>CK6</t>
  </si>
  <si>
    <t>IN ES321508</t>
  </si>
  <si>
    <t>K411377IN ES321508</t>
  </si>
  <si>
    <t>IN ES321528</t>
  </si>
  <si>
    <t>K411377IN ES321528</t>
  </si>
  <si>
    <t>IN ES321547</t>
  </si>
  <si>
    <t>K411377IN ES321547</t>
  </si>
  <si>
    <t>IN ES321562</t>
  </si>
  <si>
    <t>K411377IN ES321562</t>
  </si>
  <si>
    <t>IN ES321582</t>
  </si>
  <si>
    <t>K411377IN ES321582</t>
  </si>
  <si>
    <t>IN ES321610</t>
  </si>
  <si>
    <t>K411377IN ES321610</t>
  </si>
  <si>
    <t>IN ES321636</t>
  </si>
  <si>
    <t>K411377IN ES321636</t>
  </si>
  <si>
    <t>60604429</t>
  </si>
  <si>
    <t>PO MMT- 124</t>
  </si>
  <si>
    <t>042897700</t>
  </si>
  <si>
    <t>MINERAL MINERS AND TRADERS</t>
  </si>
  <si>
    <t>IN 2324058</t>
  </si>
  <si>
    <t>G515770IN 2324058</t>
  </si>
  <si>
    <t>60604313</t>
  </si>
  <si>
    <t>4500377508</t>
  </si>
  <si>
    <t>7058320</t>
  </si>
  <si>
    <t>MUNDRA PETROCHEM LIMITED</t>
  </si>
  <si>
    <t>IN ES328865</t>
  </si>
  <si>
    <t>E511300IN ES328865</t>
  </si>
  <si>
    <t>4500377546</t>
  </si>
  <si>
    <t>7056867</t>
  </si>
  <si>
    <t>IN ES324382</t>
  </si>
  <si>
    <t>E511502IN ES324382</t>
  </si>
  <si>
    <t>037663900</t>
  </si>
  <si>
    <t>IGST IS EXEMPTED UNDER SECTION 16   ,(1) OF GST ACT FOR THE SUPPLY       ,OF GOODS UNDER THE PO : 4500377546, ,DT: 8-OCT-24.                       ,EXEMPTION AND DRAWBACK AS PER       ,SECTION-26 OF THE SEZ ACT, 2005.    ,APPROVED LETTER NO: F.NO:           ,APSEZ/53/MPL/2021-22/660, DT: 30-12-,21                                  ,++++++++++++++++++++++++++++++++++++,DOCUMENTARY CREDIT NO</t>
  </si>
  <si>
    <t>IN 2323405</t>
  </si>
  <si>
    <t>K511411IN 2323405</t>
  </si>
  <si>
    <t>K511311IN 2323405</t>
  </si>
  <si>
    <t>60604015</t>
  </si>
  <si>
    <t>243058251863</t>
  </si>
  <si>
    <t>MYTHRI INFRASTRUCTURE AND MINING</t>
  </si>
  <si>
    <t>UC 20184953</t>
  </si>
  <si>
    <t>73243105155860</t>
  </si>
  <si>
    <t>UC 20187162</t>
  </si>
  <si>
    <t>24102454958847</t>
  </si>
  <si>
    <t>UC 20197136</t>
  </si>
  <si>
    <t>24102455061705</t>
  </si>
  <si>
    <t>UC 20197137</t>
  </si>
  <si>
    <t>60603768</t>
  </si>
  <si>
    <t>25122606135660</t>
  </si>
  <si>
    <t>NANA ENTERPRISES</t>
  </si>
  <si>
    <t>UC 20229127</t>
  </si>
  <si>
    <t>26021007547194</t>
  </si>
  <si>
    <t>UC 20232587</t>
  </si>
  <si>
    <t>PO/NE/11022026</t>
  </si>
  <si>
    <t>043570800</t>
  </si>
  <si>
    <t>IN 2323982</t>
  </si>
  <si>
    <t>K511311IN 2323982</t>
  </si>
  <si>
    <t>K511411IN 2323982</t>
  </si>
  <si>
    <t>M611327IN 2323982</t>
  </si>
  <si>
    <t>M511327IN 2323982</t>
  </si>
  <si>
    <t>K611512IN 2323982</t>
  </si>
  <si>
    <t>SC600025</t>
  </si>
  <si>
    <t>5052173229391</t>
  </si>
  <si>
    <t>NEW TECH RECYCLING</t>
  </si>
  <si>
    <t>UC 20213832</t>
  </si>
  <si>
    <t>K100000UC 20213832</t>
  </si>
  <si>
    <t>60604324</t>
  </si>
  <si>
    <t>26020793533024</t>
  </si>
  <si>
    <t>NK STONE CRUSHER</t>
  </si>
  <si>
    <t>UC 20232450</t>
  </si>
  <si>
    <t>60604110</t>
  </si>
  <si>
    <t>SMRT/RJ/OMSGUH/</t>
  </si>
  <si>
    <t>7032828</t>
  </si>
  <si>
    <t>CC9</t>
  </si>
  <si>
    <t>OM SHIVA GRIT UDHYOG</t>
  </si>
  <si>
    <t>IN ES334739</t>
  </si>
  <si>
    <t>K411377IN ES334739</t>
  </si>
  <si>
    <t>IN ES334840</t>
  </si>
  <si>
    <t>G411373IN ES334840</t>
  </si>
  <si>
    <t>IN ES334973</t>
  </si>
  <si>
    <t>G411373IN ES334973</t>
  </si>
  <si>
    <t>IN ES335077</t>
  </si>
  <si>
    <t>G411373IN ES335077</t>
  </si>
  <si>
    <t>IN ES335078</t>
  </si>
  <si>
    <t>G411373IN ES335078</t>
  </si>
  <si>
    <t>60601753</t>
  </si>
  <si>
    <t>Po Dt. 07-11-20</t>
  </si>
  <si>
    <t>012974000</t>
  </si>
  <si>
    <t>K211317</t>
  </si>
  <si>
    <t>OMKARA STONE CRUSHER</t>
  </si>
  <si>
    <t>IN 2128438</t>
  </si>
  <si>
    <t>K211317IN 2128438</t>
  </si>
  <si>
    <t>60602294</t>
  </si>
  <si>
    <t>23119559</t>
  </si>
  <si>
    <t>040335500</t>
  </si>
  <si>
    <t>ORIENTAL STRUCTURAL ENGINEERS P LTD</t>
  </si>
  <si>
    <t>IN 2314734</t>
  </si>
  <si>
    <t>K611318IN 2314734</t>
  </si>
  <si>
    <t>K511318IN 2314734</t>
  </si>
  <si>
    <t>60604342</t>
  </si>
  <si>
    <t>23121417</t>
  </si>
  <si>
    <t>042124200</t>
  </si>
  <si>
    <t>IN 2322606</t>
  </si>
  <si>
    <t>K511411IN 2322606</t>
  </si>
  <si>
    <t>23120974</t>
  </si>
  <si>
    <t>041573501</t>
  </si>
  <si>
    <t>IN 2322829</t>
  </si>
  <si>
    <t>K611511IN 2322829</t>
  </si>
  <si>
    <t>041573502</t>
  </si>
  <si>
    <t>IN 2323121</t>
  </si>
  <si>
    <t>K511318IN 2323121</t>
  </si>
  <si>
    <t>23121558</t>
  </si>
  <si>
    <t>042295700</t>
  </si>
  <si>
    <t>IN 2323123</t>
  </si>
  <si>
    <t>K611511IN 2323123</t>
  </si>
  <si>
    <t>042295701</t>
  </si>
  <si>
    <t>IN 2323334</t>
  </si>
  <si>
    <t>K611511IN 2323334</t>
  </si>
  <si>
    <t>60604362</t>
  </si>
  <si>
    <t>PIML/IOBP/25/PO</t>
  </si>
  <si>
    <t>7063438</t>
  </si>
  <si>
    <t>PACIFIC IRON MANUFACTURING LIMITED</t>
  </si>
  <si>
    <t>IN ES329254</t>
  </si>
  <si>
    <t>E511300IN ES329254</t>
  </si>
  <si>
    <t>7067661</t>
  </si>
  <si>
    <t>IN ES324455</t>
  </si>
  <si>
    <t>E511502IN ES324455</t>
  </si>
  <si>
    <t>IN ES324467</t>
  </si>
  <si>
    <t>E511502IN ES324467</t>
  </si>
  <si>
    <t>60603976</t>
  </si>
  <si>
    <t>25100400513317</t>
  </si>
  <si>
    <t>PARIJAS ENTERPRISES</t>
  </si>
  <si>
    <t>UC 20223667</t>
  </si>
  <si>
    <t>60603714</t>
  </si>
  <si>
    <t>4800047513</t>
  </si>
  <si>
    <t>042546200</t>
  </si>
  <si>
    <t>PATEL ENGINEERING LIMITED</t>
  </si>
  <si>
    <t>IN 2342584</t>
  </si>
  <si>
    <t>K511318IN 2342584</t>
  </si>
  <si>
    <t>M511011IN 2342584</t>
  </si>
  <si>
    <t>M511221</t>
  </si>
  <si>
    <t>M511221IN 2342584</t>
  </si>
  <si>
    <t>K611512IN 2342584</t>
  </si>
  <si>
    <t>M511910IN 2342584</t>
  </si>
  <si>
    <t>M611920IN 2342584</t>
  </si>
  <si>
    <t>M511327IN 2342584</t>
  </si>
  <si>
    <t>K611311IN 2342584</t>
  </si>
  <si>
    <t>K511411IN 2342584</t>
  </si>
  <si>
    <t>M611221IN 2342584</t>
  </si>
  <si>
    <t>K611511IN 2342584</t>
  </si>
  <si>
    <t>K611318IN 2342584</t>
  </si>
  <si>
    <t>K511317IN 2342584</t>
  </si>
  <si>
    <t>K611317IN 2342584</t>
  </si>
  <si>
    <t>M511222IN 2342584</t>
  </si>
  <si>
    <t>K511311IN 2342584</t>
  </si>
  <si>
    <t>M611011IN 2342584</t>
  </si>
  <si>
    <t>4800045406</t>
  </si>
  <si>
    <t>041915700</t>
  </si>
  <si>
    <t>IN 2342585</t>
  </si>
  <si>
    <t>M611920IN 2342585</t>
  </si>
  <si>
    <t>4800045408</t>
  </si>
  <si>
    <t>041915600</t>
  </si>
  <si>
    <t>IN 2342586</t>
  </si>
  <si>
    <t>M611920IN 2342586</t>
  </si>
  <si>
    <t>4800045405</t>
  </si>
  <si>
    <t>041878300</t>
  </si>
  <si>
    <t>IN 2342587</t>
  </si>
  <si>
    <t>K611317IN 2342587</t>
  </si>
  <si>
    <t>K611311IN 2342587</t>
  </si>
  <si>
    <t>K511411IN 2342587</t>
  </si>
  <si>
    <t>K511318IN 2342587</t>
  </si>
  <si>
    <t>K611512IN 2342587</t>
  </si>
  <si>
    <t>M511011IN 2342587</t>
  </si>
  <si>
    <t>M511222IN 2342587</t>
  </si>
  <si>
    <t>K511311IN 2342587</t>
  </si>
  <si>
    <t>M611920IN 2342587</t>
  </si>
  <si>
    <t>M511327IN 2342587</t>
  </si>
  <si>
    <t>K611318IN 2342587</t>
  </si>
  <si>
    <t>M611011IN 2342587</t>
  </si>
  <si>
    <t>5100003267</t>
  </si>
  <si>
    <t>7067827</t>
  </si>
  <si>
    <t>IN ES344550</t>
  </si>
  <si>
    <t>K411372IN ES344550</t>
  </si>
  <si>
    <t>4800049100</t>
  </si>
  <si>
    <t>043059400</t>
  </si>
  <si>
    <t>IN 2342588</t>
  </si>
  <si>
    <t>M611920IN 2342588</t>
  </si>
  <si>
    <t>4800049098</t>
  </si>
  <si>
    <t>043059100</t>
  </si>
  <si>
    <t>IN 2342589</t>
  </si>
  <si>
    <t>K611311IN 2342589</t>
  </si>
  <si>
    <t>4800049102</t>
  </si>
  <si>
    <t>042966400</t>
  </si>
  <si>
    <t>IN 2342590</t>
  </si>
  <si>
    <t>K611511IN 2342590</t>
  </si>
  <si>
    <t>K511311IN 2342590</t>
  </si>
  <si>
    <t>K511411IN 2342590</t>
  </si>
  <si>
    <t>K511318IN 2342590</t>
  </si>
  <si>
    <t>M611920IN 2342590</t>
  </si>
  <si>
    <t>M511011IN 2342590</t>
  </si>
  <si>
    <t>K611311IN 2342590</t>
  </si>
  <si>
    <t>M611011IN 2342590</t>
  </si>
  <si>
    <t>K611318IN 2342590</t>
  </si>
  <si>
    <t>M511327IN 2342590</t>
  </si>
  <si>
    <t>4800049099</t>
  </si>
  <si>
    <t>043059200</t>
  </si>
  <si>
    <t>IN 2342591</t>
  </si>
  <si>
    <t>M611920IN 2342591</t>
  </si>
  <si>
    <t>7068428</t>
  </si>
  <si>
    <t>IN ES344554</t>
  </si>
  <si>
    <t>K411372IN ES344554</t>
  </si>
  <si>
    <t>60604107</t>
  </si>
  <si>
    <t>SMRTIPL/KAPATHI</t>
  </si>
  <si>
    <t>7031785</t>
  </si>
  <si>
    <t>CC7</t>
  </si>
  <si>
    <t>PATHIKA METALS PVT LIMITED</t>
  </si>
  <si>
    <t>IN ES328220</t>
  </si>
  <si>
    <t>K411377IN ES328220</t>
  </si>
  <si>
    <t>IN ES328229</t>
  </si>
  <si>
    <t>K411377IN ES328229</t>
  </si>
  <si>
    <t>60601863</t>
  </si>
  <si>
    <t>5042354533610</t>
  </si>
  <si>
    <t>PLANTERS AGGREGATES</t>
  </si>
  <si>
    <t>UC 20211753</t>
  </si>
  <si>
    <t>60603969</t>
  </si>
  <si>
    <t>2001498661</t>
  </si>
  <si>
    <t>PRAKASH INFRASOLUTIONS</t>
  </si>
  <si>
    <t>UC 20233323</t>
  </si>
  <si>
    <t>20000040</t>
  </si>
  <si>
    <t>9200015282</t>
  </si>
  <si>
    <t>7067520</t>
  </si>
  <si>
    <t>QLAR TECHNOLOGY INDIA PRIVATE LIMIT</t>
  </si>
  <si>
    <t>IN ES329168</t>
  </si>
  <si>
    <t>K411372IN ES329168</t>
  </si>
  <si>
    <t>9200015261</t>
  </si>
  <si>
    <t>7067533</t>
  </si>
  <si>
    <t>IN ES329169</t>
  </si>
  <si>
    <t>M411226IN ES329169</t>
  </si>
  <si>
    <t>60602700</t>
  </si>
  <si>
    <t>SMRTIPL/KN/RS R</t>
  </si>
  <si>
    <t>7006531</t>
  </si>
  <si>
    <t>1H</t>
  </si>
  <si>
    <t>Govardhan Gangaram</t>
  </si>
  <si>
    <t>C95</t>
  </si>
  <si>
    <t>C1H</t>
  </si>
  <si>
    <t>R S ROCK SAND</t>
  </si>
  <si>
    <t>IN ES238829</t>
  </si>
  <si>
    <t>K411377IN ES238829</t>
  </si>
  <si>
    <t>IN ES238911</t>
  </si>
  <si>
    <t>K411377IN ES238911</t>
  </si>
  <si>
    <t>7015551</t>
  </si>
  <si>
    <t>IN ES238924</t>
  </si>
  <si>
    <t>K411377IN ES238924</t>
  </si>
  <si>
    <t>IN ES238925</t>
  </si>
  <si>
    <t>K411377IN ES238925</t>
  </si>
  <si>
    <t>IN ES257406</t>
  </si>
  <si>
    <t>K411377IN ES257406</t>
  </si>
  <si>
    <t>IN ES257416</t>
  </si>
  <si>
    <t>K411377IN ES257416</t>
  </si>
  <si>
    <t>IN ES257428</t>
  </si>
  <si>
    <t>K411377IN ES257428</t>
  </si>
  <si>
    <t>IN ES257450</t>
  </si>
  <si>
    <t>K411377IN ES257450</t>
  </si>
  <si>
    <t>IN ES257454</t>
  </si>
  <si>
    <t>K411377IN ES257454</t>
  </si>
  <si>
    <t>IN ES257469</t>
  </si>
  <si>
    <t>K411377IN ES257469</t>
  </si>
  <si>
    <t>IN ES257483</t>
  </si>
  <si>
    <t>K411377IN ES257483</t>
  </si>
  <si>
    <t>IN ES257492</t>
  </si>
  <si>
    <t>K411377IN ES257492</t>
  </si>
  <si>
    <t>IN ES257509</t>
  </si>
  <si>
    <t>K411377IN ES257509</t>
  </si>
  <si>
    <t>IN ES257520</t>
  </si>
  <si>
    <t>K411377IN ES257520</t>
  </si>
  <si>
    <t>IN ES257521</t>
  </si>
  <si>
    <t>K411377IN ES257521</t>
  </si>
  <si>
    <t>60603036</t>
  </si>
  <si>
    <t>PO-4500008863</t>
  </si>
  <si>
    <t>040962800</t>
  </si>
  <si>
    <t>RAI BAHADUR SETH SHREERAM</t>
  </si>
  <si>
    <t>IN 2323047</t>
  </si>
  <si>
    <t>G515770IN 2323047</t>
  </si>
  <si>
    <t>040962801</t>
  </si>
  <si>
    <t>IN 2323054</t>
  </si>
  <si>
    <t>G515770IN 2323054</t>
  </si>
  <si>
    <t>60604258</t>
  </si>
  <si>
    <t>TDS Q125-26</t>
  </si>
  <si>
    <t>RAJ INFRASTRUCTURE DEVELOPMENT</t>
  </si>
  <si>
    <t>JL TD25-26</t>
  </si>
  <si>
    <t>K100000JL TD25-26</t>
  </si>
  <si>
    <t>60603745</t>
  </si>
  <si>
    <t>SMRTIPL/MP/RRG/</t>
  </si>
  <si>
    <t>7023472</t>
  </si>
  <si>
    <t>C47</t>
  </si>
  <si>
    <t>RAMRAJA GRANITE</t>
  </si>
  <si>
    <t>IN ES344379</t>
  </si>
  <si>
    <t>G411373IN ES344379</t>
  </si>
  <si>
    <t>IN ES344390</t>
  </si>
  <si>
    <t>G411373IN ES344390</t>
  </si>
  <si>
    <t>60604198</t>
  </si>
  <si>
    <t>409616143</t>
  </si>
  <si>
    <t>RIBA STONE CRUSHERS</t>
  </si>
  <si>
    <t>UC 20205648</t>
  </si>
  <si>
    <t>K100000UC 20205648</t>
  </si>
  <si>
    <t>60603922</t>
  </si>
  <si>
    <t>SMRT/RSI02/INDO</t>
  </si>
  <si>
    <t>7067990</t>
  </si>
  <si>
    <t>CL9</t>
  </si>
  <si>
    <t>RSI STONE WORLD PVT LTD</t>
  </si>
  <si>
    <t>IN ES344380</t>
  </si>
  <si>
    <t>K411377IN ES344380</t>
  </si>
  <si>
    <t>IN ES344393</t>
  </si>
  <si>
    <t>K411377IN ES344393</t>
  </si>
  <si>
    <t>60604102</t>
  </si>
  <si>
    <t>4500183238</t>
  </si>
  <si>
    <t>040285601</t>
  </si>
  <si>
    <t>RUNGTA MINES LIMITED</t>
  </si>
  <si>
    <t>IN 2336754</t>
  </si>
  <si>
    <t>K611511IN 2336754</t>
  </si>
  <si>
    <t>4500186784</t>
  </si>
  <si>
    <t>040976600</t>
  </si>
  <si>
    <t>IN 2323529</t>
  </si>
  <si>
    <t>M511011IN 2323529</t>
  </si>
  <si>
    <t>M511327IN 2323529</t>
  </si>
  <si>
    <t>SC600027</t>
  </si>
  <si>
    <t>MATEX4594FRDO22</t>
  </si>
  <si>
    <t>K.V.SUDHAKARAN</t>
  </si>
  <si>
    <t>X77</t>
  </si>
  <si>
    <t>S S TRADERS</t>
  </si>
  <si>
    <t>IN 2319783</t>
  </si>
  <si>
    <t>60602634</t>
  </si>
  <si>
    <t>IN9902864</t>
  </si>
  <si>
    <t>S9 INFRA PVT.LTD.</t>
  </si>
  <si>
    <t>IN M9902864</t>
  </si>
  <si>
    <t>IN9902865</t>
  </si>
  <si>
    <t>IN M9902865</t>
  </si>
  <si>
    <t>IN9903057</t>
  </si>
  <si>
    <t>IN M9903057</t>
  </si>
  <si>
    <t>IN9903058</t>
  </si>
  <si>
    <t>IN M9903058</t>
  </si>
  <si>
    <t>Order Dated</t>
  </si>
  <si>
    <t>001083200</t>
  </si>
  <si>
    <t>K211311</t>
  </si>
  <si>
    <t>IN 1010213</t>
  </si>
  <si>
    <t>K211311IN 1010213</t>
  </si>
  <si>
    <t>K211511</t>
  </si>
  <si>
    <t>K211511IN 1010213</t>
  </si>
  <si>
    <t>K311311</t>
  </si>
  <si>
    <t>K311311IN 1010213</t>
  </si>
  <si>
    <t>60604077</t>
  </si>
  <si>
    <t>25111700984630</t>
  </si>
  <si>
    <t>Avinash Kumar</t>
  </si>
  <si>
    <t>C72</t>
  </si>
  <si>
    <t>SAI SAMARTH METAL AND SAND</t>
  </si>
  <si>
    <t>UC 20226315</t>
  </si>
  <si>
    <t>NIL, DT : 14-JU</t>
  </si>
  <si>
    <t>7022223</t>
  </si>
  <si>
    <t>IN ES324469</t>
  </si>
  <si>
    <t>E511502IN ES324469</t>
  </si>
  <si>
    <t>60603855</t>
  </si>
  <si>
    <t>OFFER/SSC/03092</t>
  </si>
  <si>
    <t>7064200</t>
  </si>
  <si>
    <t>SAI STONE CRUSHER &amp; SAND PVT LTD</t>
  </si>
  <si>
    <t>IN ES328975</t>
  </si>
  <si>
    <t>K411376IN ES328975</t>
  </si>
  <si>
    <t>PONO-427/2025-26</t>
  </si>
  <si>
    <t>232366100</t>
  </si>
  <si>
    <t>CR C201332</t>
  </si>
  <si>
    <t>K511317CR C201332</t>
  </si>
  <si>
    <t>60603700</t>
  </si>
  <si>
    <t>SAIGURU/7</t>
  </si>
  <si>
    <t>043355300</t>
  </si>
  <si>
    <t>SAIGURU STONE INDUSTRIES PVT LTD</t>
  </si>
  <si>
    <t>IN 2323544</t>
  </si>
  <si>
    <t>M511327IN 2323544</t>
  </si>
  <si>
    <t>043355301</t>
  </si>
  <si>
    <t>IN 2323646</t>
  </si>
  <si>
    <t>M511327IN 2323646</t>
  </si>
  <si>
    <t>60604298</t>
  </si>
  <si>
    <t>2265363</t>
  </si>
  <si>
    <t>7058903</t>
  </si>
  <si>
    <t>SAINT - GOBAIN INDIA PRIVATE LTD</t>
  </si>
  <si>
    <t>IN ES305650</t>
  </si>
  <si>
    <t>E511502IN ES305650</t>
  </si>
  <si>
    <t>E511300IN ES305650</t>
  </si>
  <si>
    <t>60603912</t>
  </si>
  <si>
    <t>VRCPL Parts</t>
  </si>
  <si>
    <t>043162700</t>
  </si>
  <si>
    <t>UREGENT DISPATCH ON SPL BACK PRICE</t>
  </si>
  <si>
    <t>SAM EQUIPMENT AND TRADERS PVT LTD</t>
  </si>
  <si>
    <t>IN 2337434</t>
  </si>
  <si>
    <t>K511411IN 2337434</t>
  </si>
  <si>
    <t>K511311IN 2337434</t>
  </si>
  <si>
    <t>BHOLE MINERALS 1 -20</t>
  </si>
  <si>
    <t>043163200</t>
  </si>
  <si>
    <t>URGENT DISPATCH ON SPL BACK PRICE</t>
  </si>
  <si>
    <t>IN 2337435</t>
  </si>
  <si>
    <t>K611512IN 2337435</t>
  </si>
  <si>
    <t>K611511IN 2337435</t>
  </si>
  <si>
    <t>BHOLE MINERALS - Par</t>
  </si>
  <si>
    <t>043163600</t>
  </si>
  <si>
    <t>IN 2337436</t>
  </si>
  <si>
    <t>K511311IN 2337436</t>
  </si>
  <si>
    <t>K611311IN 2337436</t>
  </si>
  <si>
    <t>vrcpl</t>
  </si>
  <si>
    <t>043190800</t>
  </si>
  <si>
    <t>IN 2337437</t>
  </si>
  <si>
    <t>K611311IN 2337437</t>
  </si>
  <si>
    <t>K511311IN 2337437</t>
  </si>
  <si>
    <t>SHIVAM CEMENT</t>
  </si>
  <si>
    <t>040978207</t>
  </si>
  <si>
    <t>URGENT REQUIRE</t>
  </si>
  <si>
    <t>IN 2323503</t>
  </si>
  <si>
    <t>K511317IN 2323503</t>
  </si>
  <si>
    <t>K511311IN 2323503</t>
  </si>
  <si>
    <t>bhagyashree 1</t>
  </si>
  <si>
    <t>043312501</t>
  </si>
  <si>
    <t>IN 2323516</t>
  </si>
  <si>
    <t>K511311IN 2323516</t>
  </si>
  <si>
    <t>043312500</t>
  </si>
  <si>
    <t>IN 2337493</t>
  </si>
  <si>
    <t>K511311IN 2337493</t>
  </si>
  <si>
    <t>G.I PVT LTD</t>
  </si>
  <si>
    <t>043408901</t>
  </si>
  <si>
    <t>URGENT REQUIRED</t>
  </si>
  <si>
    <t>IN 2323601</t>
  </si>
  <si>
    <t>K511311IN 2323601</t>
  </si>
  <si>
    <t>K611311IN 2323601</t>
  </si>
  <si>
    <t>043408900</t>
  </si>
  <si>
    <t>IN 2337513</t>
  </si>
  <si>
    <t>K511311IN 2337513</t>
  </si>
  <si>
    <t>SAR STONE</t>
  </si>
  <si>
    <t>043491701</t>
  </si>
  <si>
    <t>URGENT</t>
  </si>
  <si>
    <t>IN 2337592</t>
  </si>
  <si>
    <t>M611327IN 2337592</t>
  </si>
  <si>
    <t>MAHALAXMI</t>
  </si>
  <si>
    <t>043781200</t>
  </si>
  <si>
    <t>IN 2337662</t>
  </si>
  <si>
    <t>K511317IN 2337662</t>
  </si>
  <si>
    <t>K511311IN 2337662</t>
  </si>
  <si>
    <t>60604075</t>
  </si>
  <si>
    <t>26012862124891</t>
  </si>
  <si>
    <t>ANKUSH SHARAD</t>
  </si>
  <si>
    <t>X53</t>
  </si>
  <si>
    <t>SAMAR AGGREGATE SOLUTION LLP</t>
  </si>
  <si>
    <t>UC 20231678</t>
  </si>
  <si>
    <t>60604394</t>
  </si>
  <si>
    <t>SMRTIPL/RJ/SIPL</t>
  </si>
  <si>
    <t>7065548</t>
  </si>
  <si>
    <t>CT8</t>
  </si>
  <si>
    <t>SAMAR INFRA PRIVATE LIMITED</t>
  </si>
  <si>
    <t>IN ES334737</t>
  </si>
  <si>
    <t>K411377IN ES334737</t>
  </si>
  <si>
    <t>IN ES334836</t>
  </si>
  <si>
    <t>K411377IN ES334836</t>
  </si>
  <si>
    <t>IN ES334974</t>
  </si>
  <si>
    <t>K411377IN ES334974</t>
  </si>
  <si>
    <t>IN ES335069</t>
  </si>
  <si>
    <t>K411377IN ES335069</t>
  </si>
  <si>
    <t>60601509</t>
  </si>
  <si>
    <t>25121587699368</t>
  </si>
  <si>
    <t>SAT KARTAR MINING&amp;ALLIED SERVICES P</t>
  </si>
  <si>
    <t>UC 20229852</t>
  </si>
  <si>
    <t>60603968</t>
  </si>
  <si>
    <t>Po No. 85</t>
  </si>
  <si>
    <t>042482900</t>
  </si>
  <si>
    <t>"Under Hypothecation With HDFC BANK ,LTD"</t>
  </si>
  <si>
    <t>SHIV INDUSTRIAL SOLUTIONS</t>
  </si>
  <si>
    <t>IN 2323444</t>
  </si>
  <si>
    <t>K511317IN 2323444</t>
  </si>
  <si>
    <t>jai hanuman 27/12/25</t>
  </si>
  <si>
    <t>042906600</t>
  </si>
  <si>
    <t>IN 2315809</t>
  </si>
  <si>
    <t>K611311IN 2315809</t>
  </si>
  <si>
    <t>K511411IN 2315809</t>
  </si>
  <si>
    <t>K511311IN 2315809</t>
  </si>
  <si>
    <t>Krishna 19/1/26</t>
  </si>
  <si>
    <t>043282900</t>
  </si>
  <si>
    <t>IN 2315810</t>
  </si>
  <si>
    <t>K611511IN 2315810</t>
  </si>
  <si>
    <t>skylight 21/01/26</t>
  </si>
  <si>
    <t>043334100</t>
  </si>
  <si>
    <t>IN 2315811</t>
  </si>
  <si>
    <t>K611512IN 2315811</t>
  </si>
  <si>
    <t>skylight 21/1/26</t>
  </si>
  <si>
    <t>043334600</t>
  </si>
  <si>
    <t>IN 2315812</t>
  </si>
  <si>
    <t>K511311IN 2315812</t>
  </si>
  <si>
    <t>K611317IN 2315812</t>
  </si>
  <si>
    <t>K511317IN 2315812</t>
  </si>
  <si>
    <t>K511411IN 2315812</t>
  </si>
  <si>
    <t>K611311IN 2315812</t>
  </si>
  <si>
    <t>Gangotri 14/1/26</t>
  </si>
  <si>
    <t>043202800</t>
  </si>
  <si>
    <t>IN 2315829</t>
  </si>
  <si>
    <t>K511311IN 2315829</t>
  </si>
  <si>
    <t>043334101</t>
  </si>
  <si>
    <t>IN 2315902</t>
  </si>
  <si>
    <t>K611511IN 2315902</t>
  </si>
  <si>
    <t>Skylight 15/1/26</t>
  </si>
  <si>
    <t>043235600</t>
  </si>
  <si>
    <t>IN 2315903</t>
  </si>
  <si>
    <t>K611311IN 2315903</t>
  </si>
  <si>
    <t>K611317IN 2315903</t>
  </si>
  <si>
    <t>K511311IN 2315903</t>
  </si>
  <si>
    <t>Nisarg</t>
  </si>
  <si>
    <t>042023300</t>
  </si>
  <si>
    <t>IN 2315904</t>
  </si>
  <si>
    <t>M511221IN 2315904</t>
  </si>
  <si>
    <t>M611221IN 2315904</t>
  </si>
  <si>
    <t>urmila 7/2/26</t>
  </si>
  <si>
    <t>043609300</t>
  </si>
  <si>
    <t>IN 2315935</t>
  </si>
  <si>
    <t>K511311IN 2315935</t>
  </si>
  <si>
    <t>K511411IN 2315935</t>
  </si>
  <si>
    <t>K611311IN 2315935</t>
  </si>
  <si>
    <t>sandeep 9/2/26</t>
  </si>
  <si>
    <t>043633400</t>
  </si>
  <si>
    <t>IN 2315936</t>
  </si>
  <si>
    <t>K611317IN 2315936</t>
  </si>
  <si>
    <t>M511327IN 2315936</t>
  </si>
  <si>
    <t>mahalaxmi 2/2/26</t>
  </si>
  <si>
    <t>043530500</t>
  </si>
  <si>
    <t>IN 2315937</t>
  </si>
  <si>
    <t>K511311IN 2315937</t>
  </si>
  <si>
    <t>mahalaxmi 4/2/26</t>
  </si>
  <si>
    <t>043560600</t>
  </si>
  <si>
    <t>IN 2315938</t>
  </si>
  <si>
    <t>K511311IN 2315938</t>
  </si>
  <si>
    <t>K511411IN 2315938</t>
  </si>
  <si>
    <t>RKB 30/1/26</t>
  </si>
  <si>
    <t>043472800</t>
  </si>
  <si>
    <t>IN 2315966</t>
  </si>
  <si>
    <t>M611920IN 2315966</t>
  </si>
  <si>
    <t>nkc 2/2/26</t>
  </si>
  <si>
    <t>043530600</t>
  </si>
  <si>
    <t>IN 2315967</t>
  </si>
  <si>
    <t>K611511IN 2315967</t>
  </si>
  <si>
    <t>043530700</t>
  </si>
  <si>
    <t>IN 2315968</t>
  </si>
  <si>
    <t>K611311IN 2315968</t>
  </si>
  <si>
    <t>M511327IN 2315968</t>
  </si>
  <si>
    <t>nrg 11/2/26</t>
  </si>
  <si>
    <t>043661900</t>
  </si>
  <si>
    <t>IN 2315970</t>
  </si>
  <si>
    <t>K611511IN 2315970</t>
  </si>
  <si>
    <t>sidhivinayak 11/2/26</t>
  </si>
  <si>
    <t>043662300</t>
  </si>
  <si>
    <t>IN 2315971</t>
  </si>
  <si>
    <t>K611311IN 2315971</t>
  </si>
  <si>
    <t>K511311IN 2315971</t>
  </si>
  <si>
    <t>Kabeer 11/2/26</t>
  </si>
  <si>
    <t>043670100</t>
  </si>
  <si>
    <t>IN 2315972</t>
  </si>
  <si>
    <t>K511311IN 2315972</t>
  </si>
  <si>
    <t>043560601</t>
  </si>
  <si>
    <t>IN 2315973</t>
  </si>
  <si>
    <t>K511411IN 2315973</t>
  </si>
  <si>
    <t>043472801</t>
  </si>
  <si>
    <t>IN 2323845</t>
  </si>
  <si>
    <t>M511327IN 2323845</t>
  </si>
  <si>
    <t>sushil 18/2/26</t>
  </si>
  <si>
    <t>043790500</t>
  </si>
  <si>
    <t>IN 2315993</t>
  </si>
  <si>
    <t>K611311IN 2315993</t>
  </si>
  <si>
    <t>60604178</t>
  </si>
  <si>
    <t>84</t>
  </si>
  <si>
    <t>7066315</t>
  </si>
  <si>
    <t>020</t>
  </si>
  <si>
    <t>IN ES324316</t>
  </si>
  <si>
    <t>E511502IN ES324316</t>
  </si>
  <si>
    <t>E611502IN ES324316</t>
  </si>
  <si>
    <t>26010900522337</t>
  </si>
  <si>
    <t>UC 20231588</t>
  </si>
  <si>
    <t>NIL, OP-018054</t>
  </si>
  <si>
    <t>7067837</t>
  </si>
  <si>
    <t>019</t>
  </si>
  <si>
    <t>IN ES324399</t>
  </si>
  <si>
    <t>K511311IN ES324399</t>
  </si>
  <si>
    <t>E511502IN ES324399</t>
  </si>
  <si>
    <t>26012800544840</t>
  </si>
  <si>
    <t>UC 20231848</t>
  </si>
  <si>
    <t>118</t>
  </si>
  <si>
    <t>7068468</t>
  </si>
  <si>
    <t>IN ES324444</t>
  </si>
  <si>
    <t>E511502IN ES324444</t>
  </si>
  <si>
    <t>E611502IN ES324444</t>
  </si>
  <si>
    <t>NIL, OP-019244</t>
  </si>
  <si>
    <t>7068505</t>
  </si>
  <si>
    <t>IN ES329252</t>
  </si>
  <si>
    <t>L511325IN ES329252</t>
  </si>
  <si>
    <t>7068506</t>
  </si>
  <si>
    <t>IN ES329253</t>
  </si>
  <si>
    <t>E511301IN ES329253</t>
  </si>
  <si>
    <t>7068507</t>
  </si>
  <si>
    <t>IN ES324464</t>
  </si>
  <si>
    <t>E511502IN ES324464</t>
  </si>
  <si>
    <t>60604414</t>
  </si>
  <si>
    <t>PO/HO/25-26/02/00046</t>
  </si>
  <si>
    <t>043537200</t>
  </si>
  <si>
    <t>SHIVALAYA CONSTRUCTION LIMITED</t>
  </si>
  <si>
    <t>IN 2323717</t>
  </si>
  <si>
    <t>K511311IN 2323717</t>
  </si>
  <si>
    <t>K611311IN 2323717</t>
  </si>
  <si>
    <t>043537201</t>
  </si>
  <si>
    <t>IN 2323719</t>
  </si>
  <si>
    <t>K511311IN 2323719</t>
  </si>
  <si>
    <t>PO/HO/25-26/12/00713</t>
  </si>
  <si>
    <t>042823800</t>
  </si>
  <si>
    <t>IN 2323842</t>
  </si>
  <si>
    <t>K511311IN 2323842</t>
  </si>
  <si>
    <t>K611317IN 2323842</t>
  </si>
  <si>
    <t>K611311IN 2323842</t>
  </si>
  <si>
    <t>K511315IN 2323842</t>
  </si>
  <si>
    <t>60602291</t>
  </si>
  <si>
    <t>523700684198</t>
  </si>
  <si>
    <t>SHREE GANESH STONE METAL</t>
  </si>
  <si>
    <t>UC 20221011</t>
  </si>
  <si>
    <t>60604025</t>
  </si>
  <si>
    <t>PO No. 02.</t>
  </si>
  <si>
    <t>041934601</t>
  </si>
  <si>
    <t>SHRI BALAJI AGGREGATE INDUSTRIES PV</t>
  </si>
  <si>
    <t>IN 2315855</t>
  </si>
  <si>
    <t>G615770IN 2315855</t>
  </si>
  <si>
    <t>G611378IN 2315855</t>
  </si>
  <si>
    <t>G511378IN 2315855</t>
  </si>
  <si>
    <t>G515770IN 2315855</t>
  </si>
  <si>
    <t>PO Number 01</t>
  </si>
  <si>
    <t>043045701</t>
  </si>
  <si>
    <t>IN 2315856</t>
  </si>
  <si>
    <t>G515770IN 2315856</t>
  </si>
  <si>
    <t>G615770IN 2315856</t>
  </si>
  <si>
    <t>G611378IN 2315856</t>
  </si>
  <si>
    <t>043045702</t>
  </si>
  <si>
    <t>IN 2315858</t>
  </si>
  <si>
    <t>G611378IN 2315858</t>
  </si>
  <si>
    <t>60601627</t>
  </si>
  <si>
    <t>PO-Dt. 03-02-2026</t>
  </si>
  <si>
    <t>043539600</t>
  </si>
  <si>
    <t>SHRI BALAJI MINERALS</t>
  </si>
  <si>
    <t>IN 2315888</t>
  </si>
  <si>
    <t>G611378IN 2315888</t>
  </si>
  <si>
    <t>60604410</t>
  </si>
  <si>
    <t>NIL, OP-018934</t>
  </si>
  <si>
    <t>7067060</t>
  </si>
  <si>
    <t>NIMISH MODI</t>
  </si>
  <si>
    <t>A60</t>
  </si>
  <si>
    <t>SHRI BALAJI SOLUTIONS</t>
  </si>
  <si>
    <t>IN ES324368</t>
  </si>
  <si>
    <t>E511502IN ES324368</t>
  </si>
  <si>
    <t>SP1020-I000</t>
  </si>
  <si>
    <t>7067058</t>
  </si>
  <si>
    <t>IN ES329147</t>
  </si>
  <si>
    <t>L511325IN ES329147</t>
  </si>
  <si>
    <t>7067057</t>
  </si>
  <si>
    <t>D411360</t>
  </si>
  <si>
    <t>IN ES329148</t>
  </si>
  <si>
    <t>D411360IN ES329148</t>
  </si>
  <si>
    <t>D511360IN ES329148</t>
  </si>
  <si>
    <t>IN ES324370</t>
  </si>
  <si>
    <t>E511502IN ES324370</t>
  </si>
  <si>
    <t>IN ES324374</t>
  </si>
  <si>
    <t>E511502IN ES324374</t>
  </si>
  <si>
    <t>E611502IN ES324374</t>
  </si>
  <si>
    <t>IN ES324375</t>
  </si>
  <si>
    <t>E511502IN ES324375</t>
  </si>
  <si>
    <t>IN ES324376</t>
  </si>
  <si>
    <t>E511502IN ES324376</t>
  </si>
  <si>
    <t>IN ES324389</t>
  </si>
  <si>
    <t>E511502IN ES324389</t>
  </si>
  <si>
    <t>60604421</t>
  </si>
  <si>
    <t>26022310055603</t>
  </si>
  <si>
    <t>UC 20233402</t>
  </si>
  <si>
    <t>SBS/2025-26/PO/5060</t>
  </si>
  <si>
    <t>043801300</t>
  </si>
  <si>
    <t>IN 2324057</t>
  </si>
  <si>
    <t>K611318IN 2324057</t>
  </si>
  <si>
    <t>K511318IN 2324057</t>
  </si>
  <si>
    <t>60603749</t>
  </si>
  <si>
    <t>PO Dtd. 25-01-2026</t>
  </si>
  <si>
    <t>043420500</t>
  </si>
  <si>
    <t>SHYAM STONE INDUSTRIES</t>
  </si>
  <si>
    <t>IN 2315890</t>
  </si>
  <si>
    <t>K611512IN 2315890</t>
  </si>
  <si>
    <t>PO-Dt. 27-11-2025</t>
  </si>
  <si>
    <t>042341502</t>
  </si>
  <si>
    <t>IN 2315891</t>
  </si>
  <si>
    <t>K611315IN 2315891</t>
  </si>
  <si>
    <t>60603979</t>
  </si>
  <si>
    <t>21653006142</t>
  </si>
  <si>
    <t>SIDDHESHWAR STONE CRUSHER</t>
  </si>
  <si>
    <t>UC 20228202</t>
  </si>
  <si>
    <t>60602509</t>
  </si>
  <si>
    <t>SJB/KTM/2026/PO-081</t>
  </si>
  <si>
    <t>041257000</t>
  </si>
  <si>
    <t>SJ BIZ SOLUTIONS PVT LTD</t>
  </si>
  <si>
    <t>IN 2322839</t>
  </si>
  <si>
    <t>M511011IN 2322839</t>
  </si>
  <si>
    <t>SJ-SANDVIK/JODA/109</t>
  </si>
  <si>
    <t>042473700</t>
  </si>
  <si>
    <t>IN 2322865</t>
  </si>
  <si>
    <t>K611317IN 2322865</t>
  </si>
  <si>
    <t>SJ/SAN/KTM/2025/PO84</t>
  </si>
  <si>
    <t>041579903</t>
  </si>
  <si>
    <t>IN 2337199</t>
  </si>
  <si>
    <t>K511311IN 2337199</t>
  </si>
  <si>
    <t>SJ/SAN/KTM/2026PO110</t>
  </si>
  <si>
    <t>042489100</t>
  </si>
  <si>
    <t>IN 2337200</t>
  </si>
  <si>
    <t>K611511IN 2337200</t>
  </si>
  <si>
    <t>SJ/SAN/BMR/2026PO112</t>
  </si>
  <si>
    <t>042511700</t>
  </si>
  <si>
    <t>IN 2337204</t>
  </si>
  <si>
    <t>K611311IN 2337204</t>
  </si>
  <si>
    <t>K611512IN 2337204</t>
  </si>
  <si>
    <t>K511311IN 2337204</t>
  </si>
  <si>
    <t>K611511IN 2337204</t>
  </si>
  <si>
    <t>SJ/SAN/PKM/2026PO114</t>
  </si>
  <si>
    <t>042526000</t>
  </si>
  <si>
    <t>IN 2337205</t>
  </si>
  <si>
    <t>K611311IN 2337205</t>
  </si>
  <si>
    <t>K511311IN 2337205</t>
  </si>
  <si>
    <t>K611511IN 2337205</t>
  </si>
  <si>
    <t>SJB-SANDVIK/JODA/109</t>
  </si>
  <si>
    <t>042708400</t>
  </si>
  <si>
    <t>IN 2323067</t>
  </si>
  <si>
    <t>K611317IN 2323067</t>
  </si>
  <si>
    <t>SJB/RUNGTA/2025/PO86</t>
  </si>
  <si>
    <t>041615002</t>
  </si>
  <si>
    <t>IN 2337285</t>
  </si>
  <si>
    <t>M511327IN 2337285</t>
  </si>
  <si>
    <t>K511311IN 2337285</t>
  </si>
  <si>
    <t>SJ/BMR/2026/PO118</t>
  </si>
  <si>
    <t>042754701</t>
  </si>
  <si>
    <t>IN 2323110</t>
  </si>
  <si>
    <t>K511311IN 2323110</t>
  </si>
  <si>
    <t>K511411IN 2323110</t>
  </si>
  <si>
    <t>042754700</t>
  </si>
  <si>
    <t>IN 2337310</t>
  </si>
  <si>
    <t>K511317IN 2337310</t>
  </si>
  <si>
    <t>K611512IN 2337310</t>
  </si>
  <si>
    <t>K611311IN 2337310</t>
  </si>
  <si>
    <t>K611511IN 2337310</t>
  </si>
  <si>
    <t>K611317IN 2337310</t>
  </si>
  <si>
    <t>K511311IN 2337310</t>
  </si>
  <si>
    <t>041615005</t>
  </si>
  <si>
    <t>IN 2323119</t>
  </si>
  <si>
    <t>K511311IN 2323119</t>
  </si>
  <si>
    <t>K511411IN 2323119</t>
  </si>
  <si>
    <t>M511327IN 2323119</t>
  </si>
  <si>
    <t>041615007</t>
  </si>
  <si>
    <t>IN 2341622</t>
  </si>
  <si>
    <t>K511311IN 2341622</t>
  </si>
  <si>
    <t>SJB/KTM/2026/PO119</t>
  </si>
  <si>
    <t>042806100</t>
  </si>
  <si>
    <t>IN 2326292</t>
  </si>
  <si>
    <t>K511311IN 2326292</t>
  </si>
  <si>
    <t>041615008</t>
  </si>
  <si>
    <t>IN 2337438</t>
  </si>
  <si>
    <t>K511311IN 2337438</t>
  </si>
  <si>
    <t>M511327IN 2337438</t>
  </si>
  <si>
    <t>041615009</t>
  </si>
  <si>
    <t>IN 2323406</t>
  </si>
  <si>
    <t>K511311IN 2323406</t>
  </si>
  <si>
    <t>M511327IN 2323406</t>
  </si>
  <si>
    <t>SJBIZ/PKM/26/PO-124</t>
  </si>
  <si>
    <t>043408100</t>
  </si>
  <si>
    <t>IN 2337510</t>
  </si>
  <si>
    <t>K611317IN 2337510</t>
  </si>
  <si>
    <t>K511311IN 2337510</t>
  </si>
  <si>
    <t>K511315IN 2337510</t>
  </si>
  <si>
    <t>K511411IN 2337510</t>
  </si>
  <si>
    <t>K611512IN 2337510</t>
  </si>
  <si>
    <t>K511317IN 2337510</t>
  </si>
  <si>
    <t>K611311IN 2337510</t>
  </si>
  <si>
    <t>K611315IN 2337510</t>
  </si>
  <si>
    <t>SJBIZ/PKM/26/PO-125</t>
  </si>
  <si>
    <t>043408500</t>
  </si>
  <si>
    <t>SP2</t>
  </si>
  <si>
    <t>IN 2337511</t>
  </si>
  <si>
    <t>K611511IN 2337511</t>
  </si>
  <si>
    <t>K611512IN 2337511</t>
  </si>
  <si>
    <t>SJBIZ/BMR/26/PO-121</t>
  </si>
  <si>
    <t>043208100</t>
  </si>
  <si>
    <t>IN 2337529</t>
  </si>
  <si>
    <t>K611311IN 2337529</t>
  </si>
  <si>
    <t>SJBIZ/BMR/26/PO-120</t>
  </si>
  <si>
    <t>043208000</t>
  </si>
  <si>
    <t>IN 2337530</t>
  </si>
  <si>
    <t>K611317IN 2337530</t>
  </si>
  <si>
    <t>K611511IN 2337530</t>
  </si>
  <si>
    <t>K611512IN 2337530</t>
  </si>
  <si>
    <t>042754702</t>
  </si>
  <si>
    <t>IN 2337531</t>
  </si>
  <si>
    <t>K511311IN 2337531</t>
  </si>
  <si>
    <t>SJ/SAN/PKM/2026PO128</t>
  </si>
  <si>
    <t>043558300</t>
  </si>
  <si>
    <t>IN 2326331</t>
  </si>
  <si>
    <t>M611920IN 2326331</t>
  </si>
  <si>
    <t>K611512IN 2326331</t>
  </si>
  <si>
    <t>K511311IN 2326331</t>
  </si>
  <si>
    <t>M611011IN 2326331</t>
  </si>
  <si>
    <t>043558301</t>
  </si>
  <si>
    <t>IN 2326332</t>
  </si>
  <si>
    <t>K611311IN 2326332</t>
  </si>
  <si>
    <t>K511411IN 2326332</t>
  </si>
  <si>
    <t>K611512IN 2326332</t>
  </si>
  <si>
    <t>SMRTIPL/TSL JOD</t>
  </si>
  <si>
    <t>7067474</t>
  </si>
  <si>
    <t>CL5</t>
  </si>
  <si>
    <t>IN ES333827</t>
  </si>
  <si>
    <t>K411377IN ES333827</t>
  </si>
  <si>
    <t>SJBS/TSL-KTM01/</t>
  </si>
  <si>
    <t>7067684</t>
  </si>
  <si>
    <t>DILIP DAS</t>
  </si>
  <si>
    <t>E02</t>
  </si>
  <si>
    <t>CE7</t>
  </si>
  <si>
    <t>IN ES333828</t>
  </si>
  <si>
    <t>K411377IN ES333828</t>
  </si>
  <si>
    <t>SJBS/TSL-KTM02/</t>
  </si>
  <si>
    <t>7067388</t>
  </si>
  <si>
    <t>CL7</t>
  </si>
  <si>
    <t>IN ES333829</t>
  </si>
  <si>
    <t>K411377IN ES333829</t>
  </si>
  <si>
    <t>SJBIZ/PKM/26/PO-130</t>
  </si>
  <si>
    <t>043745200</t>
  </si>
  <si>
    <t>PLANT BREAKDOWN</t>
  </si>
  <si>
    <t>IN 2337646</t>
  </si>
  <si>
    <t>K611511IN 2337646</t>
  </si>
  <si>
    <t>SJBIZ/PKM/26/PO-129</t>
  </si>
  <si>
    <t>043753000</t>
  </si>
  <si>
    <t>BREAKDOWN CASE</t>
  </si>
  <si>
    <t>IN 2337647</t>
  </si>
  <si>
    <t>K611512IN 2337647</t>
  </si>
  <si>
    <t>M611327IN 2337647</t>
  </si>
  <si>
    <t>K511311IN 2337647</t>
  </si>
  <si>
    <t>60602984</t>
  </si>
  <si>
    <t>NIL, OP-017981</t>
  </si>
  <si>
    <t>7068129</t>
  </si>
  <si>
    <t>016</t>
  </si>
  <si>
    <t>IN ES324454</t>
  </si>
  <si>
    <t>E511502IN ES324454</t>
  </si>
  <si>
    <t>60604088</t>
  </si>
  <si>
    <t>SJ-NMD//2026/PO77</t>
  </si>
  <si>
    <t>041067504</t>
  </si>
  <si>
    <t>IN 2337103</t>
  </si>
  <si>
    <t>K511311IN 2337103</t>
  </si>
  <si>
    <t>K511315IN 2337103</t>
  </si>
  <si>
    <t>M511327IN 2337103</t>
  </si>
  <si>
    <t>K511317IN 2337103</t>
  </si>
  <si>
    <t>K611311IN 2337103</t>
  </si>
  <si>
    <t>K511411IN 2337103</t>
  </si>
  <si>
    <t>PO/NMD/E1/SJB</t>
  </si>
  <si>
    <t>040742211</t>
  </si>
  <si>
    <t>IN 2337104</t>
  </si>
  <si>
    <t>K511311IN 2337104</t>
  </si>
  <si>
    <t>M511327IN 2337104</t>
  </si>
  <si>
    <t>K611311IN 2337104</t>
  </si>
  <si>
    <t>NMD/CON/NOV-02</t>
  </si>
  <si>
    <t>042033800</t>
  </si>
  <si>
    <t>IN 2341612</t>
  </si>
  <si>
    <t>M511327IN 2341612</t>
  </si>
  <si>
    <t>M611920IN 2341612</t>
  </si>
  <si>
    <t>M511910IN 2341612</t>
  </si>
  <si>
    <t>K511317IN 2341612</t>
  </si>
  <si>
    <t>NMD/CON/NOV-03</t>
  </si>
  <si>
    <t>042139500</t>
  </si>
  <si>
    <t>IN 2341613</t>
  </si>
  <si>
    <t>M611920IN 2341613</t>
  </si>
  <si>
    <t>M611900IN 2341613</t>
  </si>
  <si>
    <t>M511327IN 2341613</t>
  </si>
  <si>
    <t>00001205</t>
  </si>
  <si>
    <t>7060408</t>
  </si>
  <si>
    <t>IN ES343322</t>
  </si>
  <si>
    <t>K411377IN ES343322</t>
  </si>
  <si>
    <t>SJB/NMD/2026/PO-104</t>
  </si>
  <si>
    <t>042374501</t>
  </si>
  <si>
    <t>IN 2322823</t>
  </si>
  <si>
    <t>K611311IN 2322823</t>
  </si>
  <si>
    <t>K511311IN 2322823</t>
  </si>
  <si>
    <t>042374500</t>
  </si>
  <si>
    <t>IN 2337175</t>
  </si>
  <si>
    <t>K611512IN 2337175</t>
  </si>
  <si>
    <t>K511311IN 2337175</t>
  </si>
  <si>
    <t>K611311IN 2337175</t>
  </si>
  <si>
    <t>NMD/CON/NOV-06</t>
  </si>
  <si>
    <t>042419100</t>
  </si>
  <si>
    <t>IN 2341614</t>
  </si>
  <si>
    <t>M611900IN 2341614</t>
  </si>
  <si>
    <t>M611920IN 2341614</t>
  </si>
  <si>
    <t>NMD/CON/NOV-04</t>
  </si>
  <si>
    <t>042210900</t>
  </si>
  <si>
    <t>IN 2341615</t>
  </si>
  <si>
    <t>K611512IN 2341615</t>
  </si>
  <si>
    <t>K511311IN 2341615</t>
  </si>
  <si>
    <t>M611920IN 2341615</t>
  </si>
  <si>
    <t>NMD/CON/NOV-05</t>
  </si>
  <si>
    <t>042287900</t>
  </si>
  <si>
    <t>IN 2341616</t>
  </si>
  <si>
    <t>M611920IN 2341616</t>
  </si>
  <si>
    <t>SJ/SAN/NMD/2026PO111</t>
  </si>
  <si>
    <t>042489400</t>
  </si>
  <si>
    <t>IN 2337197</t>
  </si>
  <si>
    <t>K611511IN 2337197</t>
  </si>
  <si>
    <t>041067506</t>
  </si>
  <si>
    <t>IN 2337198</t>
  </si>
  <si>
    <t>K511311IN 2337198</t>
  </si>
  <si>
    <t>042374502</t>
  </si>
  <si>
    <t>IN 2341617</t>
  </si>
  <si>
    <t>M511327IN 2341617</t>
  </si>
  <si>
    <t>K611512IN 2341617</t>
  </si>
  <si>
    <t>NMD/CON/NOV-07</t>
  </si>
  <si>
    <t>042475800</t>
  </si>
  <si>
    <t>IN 2341618</t>
  </si>
  <si>
    <t>M611920IN 2341618</t>
  </si>
  <si>
    <t>NMD/CON/DEC-01</t>
  </si>
  <si>
    <t>042502000</t>
  </si>
  <si>
    <t>IN 2341619</t>
  </si>
  <si>
    <t>M611920IN 2341619</t>
  </si>
  <si>
    <t>NMD/CON/DEC-02</t>
  </si>
  <si>
    <t>042562900</t>
  </si>
  <si>
    <t>IN 2341620</t>
  </si>
  <si>
    <t>M611920IN 2341620</t>
  </si>
  <si>
    <t>NMD/CON/DEC-03</t>
  </si>
  <si>
    <t>042643400</t>
  </si>
  <si>
    <t>IN 2341621</t>
  </si>
  <si>
    <t>K511311IN 2341621</t>
  </si>
  <si>
    <t>M511910IN 2341621</t>
  </si>
  <si>
    <t>M611920IN 2341621</t>
  </si>
  <si>
    <t>IN ES343325</t>
  </si>
  <si>
    <t>K411377IN ES343325</t>
  </si>
  <si>
    <t>NMD/CON/DEC-04</t>
  </si>
  <si>
    <t>042826600</t>
  </si>
  <si>
    <t>IN 2341623</t>
  </si>
  <si>
    <t>M611920IN 2341623</t>
  </si>
  <si>
    <t>K511311IN 2341623</t>
  </si>
  <si>
    <t>M511327IN 2341623</t>
  </si>
  <si>
    <t>NMD/CON/DEC-05</t>
  </si>
  <si>
    <t>042898800</t>
  </si>
  <si>
    <t>IN 2341624</t>
  </si>
  <si>
    <t>M611011IN 2341624</t>
  </si>
  <si>
    <t>NMD/CON/DEC-06</t>
  </si>
  <si>
    <t>042931300</t>
  </si>
  <si>
    <t>IN 2341625</t>
  </si>
  <si>
    <t>M611011IN 2341625</t>
  </si>
  <si>
    <t>IN ES343329</t>
  </si>
  <si>
    <t>K411377IN ES343329</t>
  </si>
  <si>
    <t>SJBS/TSL-NIM01/</t>
  </si>
  <si>
    <t>7067676</t>
  </si>
  <si>
    <t>C35</t>
  </si>
  <si>
    <t>IN ES343330</t>
  </si>
  <si>
    <t>K411377IN ES343330</t>
  </si>
  <si>
    <t>SJBS/TSL-NIM02/</t>
  </si>
  <si>
    <t>7067678</t>
  </si>
  <si>
    <t>CA6</t>
  </si>
  <si>
    <t>IN ES343331</t>
  </si>
  <si>
    <t>K411377IN ES343331</t>
  </si>
  <si>
    <t>60600240</t>
  </si>
  <si>
    <t>4700141746</t>
  </si>
  <si>
    <t>7062103</t>
  </si>
  <si>
    <t>SOUTH WEST MINING LIMITED</t>
  </si>
  <si>
    <t>IN ES328849</t>
  </si>
  <si>
    <t>K411372IN ES328849</t>
  </si>
  <si>
    <t>IN ES328946</t>
  </si>
  <si>
    <t>K411372IN ES328946</t>
  </si>
  <si>
    <t>60604034</t>
  </si>
  <si>
    <t>VJNR/C/21-22/04</t>
  </si>
  <si>
    <t>7017220</t>
  </si>
  <si>
    <t>E511325</t>
  </si>
  <si>
    <t>PRAVEEN KUMAR VG</t>
  </si>
  <si>
    <t>X50</t>
  </si>
  <si>
    <t>IN ES282458</t>
  </si>
  <si>
    <t>E511325IN ES282458</t>
  </si>
  <si>
    <t>7017221</t>
  </si>
  <si>
    <t>IN ES282459</t>
  </si>
  <si>
    <t>E511325IN ES282459</t>
  </si>
  <si>
    <t>7017331</t>
  </si>
  <si>
    <t>E511326</t>
  </si>
  <si>
    <t>IN ES282460</t>
  </si>
  <si>
    <t>E511326IN ES282460</t>
  </si>
  <si>
    <t>7017332</t>
  </si>
  <si>
    <t>IN ES282461</t>
  </si>
  <si>
    <t>E511326IN ES282461</t>
  </si>
  <si>
    <t>7017335</t>
  </si>
  <si>
    <t>IN ES282462</t>
  </si>
  <si>
    <t>E511326IN ES282462</t>
  </si>
  <si>
    <t>7034028</t>
  </si>
  <si>
    <t>IN ES282465</t>
  </si>
  <si>
    <t>E511325IN ES282465</t>
  </si>
  <si>
    <t>E411325</t>
  </si>
  <si>
    <t>E411325IN ES282465</t>
  </si>
  <si>
    <t>7034026</t>
  </si>
  <si>
    <t>IN ES282466</t>
  </si>
  <si>
    <t>E511325IN ES282466</t>
  </si>
  <si>
    <t>E411325IN ES282466</t>
  </si>
  <si>
    <t>7034025</t>
  </si>
  <si>
    <t>IN ES282467</t>
  </si>
  <si>
    <t>E411325IN ES282467</t>
  </si>
  <si>
    <t>E511325IN ES282467</t>
  </si>
  <si>
    <t>7034024</t>
  </si>
  <si>
    <t>IN ES282468</t>
  </si>
  <si>
    <t>E511326IN ES282468</t>
  </si>
  <si>
    <t>7034023</t>
  </si>
  <si>
    <t>IN ES282469</t>
  </si>
  <si>
    <t>E511326IN ES282469</t>
  </si>
  <si>
    <t>7034027</t>
  </si>
  <si>
    <t>IN ES282470</t>
  </si>
  <si>
    <t>E511325IN ES282470</t>
  </si>
  <si>
    <t>E411325IN ES282470</t>
  </si>
  <si>
    <t>7034030</t>
  </si>
  <si>
    <t>IN ES282471</t>
  </si>
  <si>
    <t>E511325IN ES282471</t>
  </si>
  <si>
    <t>7034032</t>
  </si>
  <si>
    <t>IN ES282472</t>
  </si>
  <si>
    <t>E511325IN ES282472</t>
  </si>
  <si>
    <t>7034031</t>
  </si>
  <si>
    <t>IN ES282473</t>
  </si>
  <si>
    <t>E511325IN ES282473</t>
  </si>
  <si>
    <t>7034033</t>
  </si>
  <si>
    <t>IN ES282474</t>
  </si>
  <si>
    <t>E511325IN ES282474</t>
  </si>
  <si>
    <t>7034034</t>
  </si>
  <si>
    <t>IN ES282475</t>
  </si>
  <si>
    <t>E411325IN ES282475</t>
  </si>
  <si>
    <t>E511502IN ES282475</t>
  </si>
  <si>
    <t>7034035</t>
  </si>
  <si>
    <t>IN ES282476</t>
  </si>
  <si>
    <t>E411325IN ES282476</t>
  </si>
  <si>
    <t>E511502IN ES282476</t>
  </si>
  <si>
    <t>7039657</t>
  </si>
  <si>
    <t>IN ES282813</t>
  </si>
  <si>
    <t>E511502IN ES282813</t>
  </si>
  <si>
    <t>E611502IN ES282813</t>
  </si>
  <si>
    <t>IN ES282814</t>
  </si>
  <si>
    <t>E611502IN ES282814</t>
  </si>
  <si>
    <t>E511502IN ES282814</t>
  </si>
  <si>
    <t>7017317</t>
  </si>
  <si>
    <t>IN ES282815</t>
  </si>
  <si>
    <t>E511300IN ES282815</t>
  </si>
  <si>
    <t>7017315</t>
  </si>
  <si>
    <t>IN ES282816</t>
  </si>
  <si>
    <t>E511300IN ES282816</t>
  </si>
  <si>
    <t>7040214</t>
  </si>
  <si>
    <t>IN ES282817</t>
  </si>
  <si>
    <t>E511300IN ES282817</t>
  </si>
  <si>
    <t>7040213</t>
  </si>
  <si>
    <t>IN ES282818</t>
  </si>
  <si>
    <t>E511300IN ES282818</t>
  </si>
  <si>
    <t>7040303</t>
  </si>
  <si>
    <t>IN ES282824</t>
  </si>
  <si>
    <t>E411325IN ES282824</t>
  </si>
  <si>
    <t>E511325IN ES282824</t>
  </si>
  <si>
    <t>7017334</t>
  </si>
  <si>
    <t>IN ES282825</t>
  </si>
  <si>
    <t>E511326IN ES282825</t>
  </si>
  <si>
    <t>7017333</t>
  </si>
  <si>
    <t>IN ES282826</t>
  </si>
  <si>
    <t>E511326IN ES282826</t>
  </si>
  <si>
    <t>7017318</t>
  </si>
  <si>
    <t>E511302</t>
  </si>
  <si>
    <t>IN ES282827</t>
  </si>
  <si>
    <t>E511302IN ES282827</t>
  </si>
  <si>
    <t>7017407</t>
  </si>
  <si>
    <t>IN ES300920</t>
  </si>
  <si>
    <t>E511502IN ES300920</t>
  </si>
  <si>
    <t>7053636</t>
  </si>
  <si>
    <t>IN ES300960</t>
  </si>
  <si>
    <t>E511502IN ES300960</t>
  </si>
  <si>
    <t>IN ES300966</t>
  </si>
  <si>
    <t>E511502IN ES300966</t>
  </si>
  <si>
    <t>4700143180</t>
  </si>
  <si>
    <t>034778401</t>
  </si>
  <si>
    <t>HF654X---COMPRESSION SPRING HF654X  ,SWML SAP MATERIAL NO.-2100906298</t>
  </si>
  <si>
    <t>IN 2283531</t>
  </si>
  <si>
    <t>M611327IN 2283531</t>
  </si>
  <si>
    <t>K511311IN 2283531</t>
  </si>
  <si>
    <t>K611511IN 2283531</t>
  </si>
  <si>
    <t>M511327IN 2283531</t>
  </si>
  <si>
    <t>M511910IN 2283531</t>
  </si>
  <si>
    <t>034778403</t>
  </si>
  <si>
    <t>IN 2283557</t>
  </si>
  <si>
    <t>K611511IN 2283557</t>
  </si>
  <si>
    <t>P.O.No.:4700143180</t>
  </si>
  <si>
    <t>034778405</t>
  </si>
  <si>
    <t>IN 2283620</t>
  </si>
  <si>
    <t>K611511IN 2283620</t>
  </si>
  <si>
    <t>034778406</t>
  </si>
  <si>
    <t>IN 2283648</t>
  </si>
  <si>
    <t>K611511IN 2283648</t>
  </si>
  <si>
    <t>K611311IN 2283648</t>
  </si>
  <si>
    <t>M511327IN 2283648</t>
  </si>
  <si>
    <t>K511311IN 2283648</t>
  </si>
  <si>
    <t>K611318IN 2283648</t>
  </si>
  <si>
    <t>034778410</t>
  </si>
  <si>
    <t>IN 2283891</t>
  </si>
  <si>
    <t>K511311IN 2283891</t>
  </si>
  <si>
    <t>K611311IN 2283891</t>
  </si>
  <si>
    <t>K511315IN 2283891</t>
  </si>
  <si>
    <t>K611318IN 2283891</t>
  </si>
  <si>
    <t>M511327IN 2283891</t>
  </si>
  <si>
    <t>K611511IN 2283891</t>
  </si>
  <si>
    <t>K511317IN 2283891</t>
  </si>
  <si>
    <t>K511318IN 2283891</t>
  </si>
  <si>
    <t>228353100</t>
  </si>
  <si>
    <t>IN 2283947</t>
  </si>
  <si>
    <t>M511327IN 2283947</t>
  </si>
  <si>
    <t>228353200</t>
  </si>
  <si>
    <t>IN 2283948</t>
  </si>
  <si>
    <t>M511327IN 2283948</t>
  </si>
  <si>
    <t>034778411</t>
  </si>
  <si>
    <t>IN 2284020</t>
  </si>
  <si>
    <t>K611511IN 2284020</t>
  </si>
  <si>
    <t>034778412</t>
  </si>
  <si>
    <t>IN 2284253</t>
  </si>
  <si>
    <t>K511411IN 2284253</t>
  </si>
  <si>
    <t>K611511IN 2284253</t>
  </si>
  <si>
    <t>K511311IN 2284253</t>
  </si>
  <si>
    <t>K611318IN 2284253</t>
  </si>
  <si>
    <t>K511315IN 2284253</t>
  </si>
  <si>
    <t>K511318IN 2284253</t>
  </si>
  <si>
    <t>K611311IN 2284253</t>
  </si>
  <si>
    <t>M511327IN 2284253</t>
  </si>
  <si>
    <t>034828103</t>
  </si>
  <si>
    <t>IN 2284254</t>
  </si>
  <si>
    <t>K511311IN 2284254</t>
  </si>
  <si>
    <t>M511327IN 2284254</t>
  </si>
  <si>
    <t>K611311IN 2284254</t>
  </si>
  <si>
    <t>034778415</t>
  </si>
  <si>
    <t>IN 2322202</t>
  </si>
  <si>
    <t>M511327IN 2322202</t>
  </si>
  <si>
    <t>034778416</t>
  </si>
  <si>
    <t>IN 2322206</t>
  </si>
  <si>
    <t>M511327IN 2322206</t>
  </si>
  <si>
    <t>034828104</t>
  </si>
  <si>
    <t>IN 2322266</t>
  </si>
  <si>
    <t>K511311IN 2322266</t>
  </si>
  <si>
    <t>M511910IN 2322266</t>
  </si>
  <si>
    <t>M511327IN 2322266</t>
  </si>
  <si>
    <t>034778417</t>
  </si>
  <si>
    <t>IN 2322267</t>
  </si>
  <si>
    <t>K511311IN 2322267</t>
  </si>
  <si>
    <t>G515770IN 2322267</t>
  </si>
  <si>
    <t>M511327IN 2322267</t>
  </si>
  <si>
    <t>K611318IN 2322267</t>
  </si>
  <si>
    <t>K611511IN 2322267</t>
  </si>
  <si>
    <t>K511411IN 2322267</t>
  </si>
  <si>
    <t>K511318IN 2322267</t>
  </si>
  <si>
    <t>K611311IN 2322267</t>
  </si>
  <si>
    <t>M611327IN 2322267</t>
  </si>
  <si>
    <t>M511910IN 2322267</t>
  </si>
  <si>
    <t>034778418</t>
  </si>
  <si>
    <t>IN 2322268</t>
  </si>
  <si>
    <t>K511311IN 2322268</t>
  </si>
  <si>
    <t>034778419</t>
  </si>
  <si>
    <t>IN 2322281</t>
  </si>
  <si>
    <t>M511327IN 2322281</t>
  </si>
  <si>
    <t>034778420</t>
  </si>
  <si>
    <t>IN 2322442</t>
  </si>
  <si>
    <t>M511327IN 2322442</t>
  </si>
  <si>
    <t>20000007</t>
  </si>
  <si>
    <t>INDPLT/25-26/00468</t>
  </si>
  <si>
    <t>040583300</t>
  </si>
  <si>
    <t>100% ADVANCE PAYMENT</t>
  </si>
  <si>
    <t>SPINTECH TUBES PRIVATE LIMITED</t>
  </si>
  <si>
    <t>IN 2323938</t>
  </si>
  <si>
    <t>M511327IN 2323938</t>
  </si>
  <si>
    <t>M511222IN 2323938</t>
  </si>
  <si>
    <t>60601175</t>
  </si>
  <si>
    <t>6013047614155</t>
  </si>
  <si>
    <t>SREE SAI RAM ENTERPRISE</t>
  </si>
  <si>
    <t>UC 20231909</t>
  </si>
  <si>
    <t>60602115</t>
  </si>
  <si>
    <t>IN-KA5529228860</t>
  </si>
  <si>
    <t>7015891</t>
  </si>
  <si>
    <t>C29</t>
  </si>
  <si>
    <t>SRI MANJUNATHA ENTERPRISES</t>
  </si>
  <si>
    <t>IN ES257498</t>
  </si>
  <si>
    <t>K411377IN ES257498</t>
  </si>
  <si>
    <t>60604387</t>
  </si>
  <si>
    <t>26012200911497</t>
  </si>
  <si>
    <t>SRI MANJUNATHA STONE CRUSHER</t>
  </si>
  <si>
    <t>UC 20231523</t>
  </si>
  <si>
    <t>26021802114205</t>
  </si>
  <si>
    <t>UC 20233308</t>
  </si>
  <si>
    <t>60602868</t>
  </si>
  <si>
    <t>PO/SSMI/180522</t>
  </si>
  <si>
    <t>021605601</t>
  </si>
  <si>
    <t>SRI SAI METAL INDUSTRIES</t>
  </si>
  <si>
    <t>IN 2204634</t>
  </si>
  <si>
    <t>K611511IN 2204634</t>
  </si>
  <si>
    <t>K511311IN 2204634</t>
  </si>
  <si>
    <t>021605603</t>
  </si>
  <si>
    <t>IN 2209671</t>
  </si>
  <si>
    <t>K511311IN 2209671</t>
  </si>
  <si>
    <t>60603018</t>
  </si>
  <si>
    <t>SMRTIPL/SOMESHW</t>
  </si>
  <si>
    <t>7006571</t>
  </si>
  <si>
    <t>P9</t>
  </si>
  <si>
    <t>CP9</t>
  </si>
  <si>
    <t>SRI SOMESHWARA PROPERTIES (INDIA)</t>
  </si>
  <si>
    <t>IN ES328183</t>
  </si>
  <si>
    <t>K411377IN ES328183</t>
  </si>
  <si>
    <t>IN ES328188</t>
  </si>
  <si>
    <t>K411377IN ES328188</t>
  </si>
  <si>
    <t>IN ES328196</t>
  </si>
  <si>
    <t>K411377IN ES328196</t>
  </si>
  <si>
    <t>IN ES328204</t>
  </si>
  <si>
    <t>K411377IN ES328204</t>
  </si>
  <si>
    <t>IN ES328211</t>
  </si>
  <si>
    <t>K411377IN ES328211</t>
  </si>
  <si>
    <t>IN ES328226</t>
  </si>
  <si>
    <t>K411377IN ES328226</t>
  </si>
  <si>
    <t>60602729</t>
  </si>
  <si>
    <t>603560084327</t>
  </si>
  <si>
    <t>SRI SRI STONE CRUSHER</t>
  </si>
  <si>
    <t>UC 20232286</t>
  </si>
  <si>
    <t>60602696</t>
  </si>
  <si>
    <t>SVE/PUR/SANDVIK/42</t>
  </si>
  <si>
    <t>020247201</t>
  </si>
  <si>
    <t>SRI VIJAYALAKSHMI ENTERPRISES</t>
  </si>
  <si>
    <t>IN 2180314</t>
  </si>
  <si>
    <t>K611311IN 2180314</t>
  </si>
  <si>
    <t>K611511IN 2180314</t>
  </si>
  <si>
    <t>K511311IN 2180314</t>
  </si>
  <si>
    <t>SVE/PUR/SANDVIK/44</t>
  </si>
  <si>
    <t>020247600</t>
  </si>
  <si>
    <t>IN 2180315</t>
  </si>
  <si>
    <t>K611311IN 2180315</t>
  </si>
  <si>
    <t>K511311IN 2180315</t>
  </si>
  <si>
    <t>SVE-02</t>
  </si>
  <si>
    <t>021205301</t>
  </si>
  <si>
    <t>IN 2207021</t>
  </si>
  <si>
    <t>K611511IN 2207021</t>
  </si>
  <si>
    <t>021205300</t>
  </si>
  <si>
    <t>IN 2219316</t>
  </si>
  <si>
    <t>K511311IN 2219316</t>
  </si>
  <si>
    <t>60601657</t>
  </si>
  <si>
    <t>IN6270009</t>
  </si>
  <si>
    <t>STEEL AUTHORITY OF INDIA LIMITED</t>
  </si>
  <si>
    <t>IN M6270009</t>
  </si>
  <si>
    <t>IN7270002</t>
  </si>
  <si>
    <t>IN M7270002</t>
  </si>
  <si>
    <t>IN7000936</t>
  </si>
  <si>
    <t>IN M7000936</t>
  </si>
  <si>
    <t>IN7100268</t>
  </si>
  <si>
    <t>IN M7100268</t>
  </si>
  <si>
    <t>TCS COMPLIANCE</t>
  </si>
  <si>
    <t>IN 2128324</t>
  </si>
  <si>
    <t>BOM/CA/11-12/02</t>
  </si>
  <si>
    <t>7005534</t>
  </si>
  <si>
    <t>E211502</t>
  </si>
  <si>
    <t>Ratnakar Bharti</t>
  </si>
  <si>
    <t>D80</t>
  </si>
  <si>
    <t>IN ES193933</t>
  </si>
  <si>
    <t>E211502IN ES193933</t>
  </si>
  <si>
    <t>IN ES193977</t>
  </si>
  <si>
    <t>E211502IN ES193977</t>
  </si>
  <si>
    <t>IN ES236175</t>
  </si>
  <si>
    <t>E511502IN ES236175</t>
  </si>
  <si>
    <t>RSP/ROUPROJBOMAT23/8</t>
  </si>
  <si>
    <t>030027300</t>
  </si>
  <si>
    <t>Supply of spares part (for          ,refurbishing)                       ,(Annexure-ll)</t>
  </si>
  <si>
    <t>K611920</t>
  </si>
  <si>
    <t>IN 2245048</t>
  </si>
  <si>
    <t>K611920IN 2245048</t>
  </si>
  <si>
    <t>030027301</t>
  </si>
  <si>
    <t>IN 2245049</t>
  </si>
  <si>
    <t>K611920IN 2245049</t>
  </si>
  <si>
    <t>030027302</t>
  </si>
  <si>
    <t>IN 2245050</t>
  </si>
  <si>
    <t>K611920IN 2245050</t>
  </si>
  <si>
    <t>030027303</t>
  </si>
  <si>
    <t>K511910</t>
  </si>
  <si>
    <t>IN 2245086</t>
  </si>
  <si>
    <t>K511910IN 2245086</t>
  </si>
  <si>
    <t>K511311IN 2245086</t>
  </si>
  <si>
    <t>K511411IN 2245086</t>
  </si>
  <si>
    <t>RSPROUPROJBOMAT23/08</t>
  </si>
  <si>
    <t>031960600</t>
  </si>
  <si>
    <t>IN 2239369</t>
  </si>
  <si>
    <t>K611920IN 2239369</t>
  </si>
  <si>
    <t>RSPROUPROJBOMAT</t>
  </si>
  <si>
    <t>7046698</t>
  </si>
  <si>
    <t>IN ES305063</t>
  </si>
  <si>
    <t>K411372IN ES305063</t>
  </si>
  <si>
    <t>IN ES305064</t>
  </si>
  <si>
    <t>K411372IN ES305064</t>
  </si>
  <si>
    <t>7054304</t>
  </si>
  <si>
    <t>IN ES305397</t>
  </si>
  <si>
    <t>E511502IN ES305397</t>
  </si>
  <si>
    <t>IN ES305398</t>
  </si>
  <si>
    <t>E511502IN ES305398</t>
  </si>
  <si>
    <t>IN ES305399</t>
  </si>
  <si>
    <t>E511502IN ES305399</t>
  </si>
  <si>
    <t>IN ES305400</t>
  </si>
  <si>
    <t>E511502IN ES305400</t>
  </si>
  <si>
    <t>IN ES305401</t>
  </si>
  <si>
    <t>E511502IN ES305401</t>
  </si>
  <si>
    <t>IN ES305402</t>
  </si>
  <si>
    <t>E511502IN ES305402</t>
  </si>
  <si>
    <t>60604170</t>
  </si>
  <si>
    <t>PCC/TK/2023/483</t>
  </si>
  <si>
    <t>7034702</t>
  </si>
  <si>
    <t>E511500</t>
  </si>
  <si>
    <t>KUSH PARE</t>
  </si>
  <si>
    <t>A62</t>
  </si>
  <si>
    <t>IN ES305053</t>
  </si>
  <si>
    <t>E511500IN ES305053</t>
  </si>
  <si>
    <t>7034703</t>
  </si>
  <si>
    <t>IN ES300465</t>
  </si>
  <si>
    <t>E511502IN ES300465</t>
  </si>
  <si>
    <t>IN ES300468</t>
  </si>
  <si>
    <t>E511502IN ES300468</t>
  </si>
  <si>
    <t>7048599</t>
  </si>
  <si>
    <t>IN ES305165</t>
  </si>
  <si>
    <t>E511502IN ES305165</t>
  </si>
  <si>
    <t>IN ES300575</t>
  </si>
  <si>
    <t>E511502IN ES300575</t>
  </si>
  <si>
    <t>IN ES300646</t>
  </si>
  <si>
    <t>E511502IN ES300646</t>
  </si>
  <si>
    <t>IN ES300656</t>
  </si>
  <si>
    <t>E511502IN ES300656</t>
  </si>
  <si>
    <t>IN ES300658</t>
  </si>
  <si>
    <t>E511502IN ES300658</t>
  </si>
  <si>
    <t>IN ES300660</t>
  </si>
  <si>
    <t>E511502IN ES300660</t>
  </si>
  <si>
    <t>7034704</t>
  </si>
  <si>
    <t>IN ES300750</t>
  </si>
  <si>
    <t>E511502IN ES300750</t>
  </si>
  <si>
    <t>IN ES300751</t>
  </si>
  <si>
    <t>E511502IN ES300751</t>
  </si>
  <si>
    <t>IN ES300752</t>
  </si>
  <si>
    <t>E511502IN ES300752</t>
  </si>
  <si>
    <t>IN ES300753</t>
  </si>
  <si>
    <t>E511502IN ES300753</t>
  </si>
  <si>
    <t>IN ES300864</t>
  </si>
  <si>
    <t>E511502IN ES300864</t>
  </si>
  <si>
    <t>IN ES300865</t>
  </si>
  <si>
    <t>E511502IN ES300865</t>
  </si>
  <si>
    <t>IN ES300866</t>
  </si>
  <si>
    <t>E511502IN ES300866</t>
  </si>
  <si>
    <t>IN ES300867</t>
  </si>
  <si>
    <t>E511502IN ES300867</t>
  </si>
  <si>
    <t>IN ES300977</t>
  </si>
  <si>
    <t>E511502IN ES300977</t>
  </si>
  <si>
    <t>IN ES301015</t>
  </si>
  <si>
    <t>E511502IN ES301015</t>
  </si>
  <si>
    <t>IN ES301018</t>
  </si>
  <si>
    <t>E511502IN ES301018</t>
  </si>
  <si>
    <t>IN ES301022</t>
  </si>
  <si>
    <t>E511502IN ES301022</t>
  </si>
  <si>
    <t>IN ES301034</t>
  </si>
  <si>
    <t>E511502IN ES301034</t>
  </si>
  <si>
    <t>IN ES301035</t>
  </si>
  <si>
    <t>E511502IN ES301035</t>
  </si>
  <si>
    <t>IN ES301036</t>
  </si>
  <si>
    <t>E511502IN ES301036</t>
  </si>
  <si>
    <t>IN ES301037</t>
  </si>
  <si>
    <t>E511502IN ES301037</t>
  </si>
  <si>
    <t>IN ES301038</t>
  </si>
  <si>
    <t>E511502IN ES301038</t>
  </si>
  <si>
    <t>IN ES301039</t>
  </si>
  <si>
    <t>E511502IN ES301039</t>
  </si>
  <si>
    <t>60601157</t>
  </si>
  <si>
    <t>IN6011620</t>
  </si>
  <si>
    <t>P100000</t>
  </si>
  <si>
    <t>Avijit Bandyopadhyay</t>
  </si>
  <si>
    <t>C97</t>
  </si>
  <si>
    <t>STEEL AUTHORITY OF INDIA LTD.</t>
  </si>
  <si>
    <t>IN M6011620</t>
  </si>
  <si>
    <t>P100000IN M6011620</t>
  </si>
  <si>
    <t>IN6011747</t>
  </si>
  <si>
    <t>IN M6011747</t>
  </si>
  <si>
    <t>P100000IN M6011747</t>
  </si>
  <si>
    <t>IN8075132</t>
  </si>
  <si>
    <t>IN M8075132</t>
  </si>
  <si>
    <t>P100000IN M8075132</t>
  </si>
  <si>
    <t>SC600015</t>
  </si>
  <si>
    <t>25070117373578</t>
  </si>
  <si>
    <t>SWEKSHA ENTERPRISES</t>
  </si>
  <si>
    <t>UC 20216977</t>
  </si>
  <si>
    <t>20000014</t>
  </si>
  <si>
    <t>2300063014</t>
  </si>
  <si>
    <t>7031994</t>
  </si>
  <si>
    <t>TATA STEEL LIMITED</t>
  </si>
  <si>
    <t>IN ES282375</t>
  </si>
  <si>
    <t>L511200IN ES282375</t>
  </si>
  <si>
    <t>7032056</t>
  </si>
  <si>
    <t>IN ES282376</t>
  </si>
  <si>
    <t>L511200IN ES282376</t>
  </si>
  <si>
    <t>7032057</t>
  </si>
  <si>
    <t>IN ES282389</t>
  </si>
  <si>
    <t>L511200IN ES282389</t>
  </si>
  <si>
    <t>7032059</t>
  </si>
  <si>
    <t>IN ES282390</t>
  </si>
  <si>
    <t>L511200IN ES282390</t>
  </si>
  <si>
    <t>2300063001</t>
  </si>
  <si>
    <t>7031985</t>
  </si>
  <si>
    <t>IN ES282405</t>
  </si>
  <si>
    <t>L511200IN ES282405</t>
  </si>
  <si>
    <t>7031988</t>
  </si>
  <si>
    <t>IN ES282406</t>
  </si>
  <si>
    <t>L511200IN ES282406</t>
  </si>
  <si>
    <t>7031460</t>
  </si>
  <si>
    <t>IN ES282519</t>
  </si>
  <si>
    <t>L511200IN ES282519</t>
  </si>
  <si>
    <t>7031461</t>
  </si>
  <si>
    <t>IN ES282520</t>
  </si>
  <si>
    <t>L511200IN ES282520</t>
  </si>
  <si>
    <t>7031500</t>
  </si>
  <si>
    <t>IN ES282521</t>
  </si>
  <si>
    <t>L511200IN ES282521</t>
  </si>
  <si>
    <t>7031501</t>
  </si>
  <si>
    <t>IN ES282522</t>
  </si>
  <si>
    <t>L511200IN ES282522</t>
  </si>
  <si>
    <t>7031990</t>
  </si>
  <si>
    <t>IN ES282526</t>
  </si>
  <si>
    <t>L511200IN ES282526</t>
  </si>
  <si>
    <t>7031992</t>
  </si>
  <si>
    <t>IN ES282527</t>
  </si>
  <si>
    <t>L511200IN ES282527</t>
  </si>
  <si>
    <t>7031504</t>
  </si>
  <si>
    <t>IN ES282648</t>
  </si>
  <si>
    <t>L511200IN ES282648</t>
  </si>
  <si>
    <t>7031507</t>
  </si>
  <si>
    <t>IN ES282649</t>
  </si>
  <si>
    <t>L511200IN ES282649</t>
  </si>
  <si>
    <t>7037485</t>
  </si>
  <si>
    <t>IN ES282673</t>
  </si>
  <si>
    <t>L511200IN ES282673</t>
  </si>
  <si>
    <t>7037484</t>
  </si>
  <si>
    <t>IN ES282674</t>
  </si>
  <si>
    <t>L511200IN ES282674</t>
  </si>
  <si>
    <t>2300063018</t>
  </si>
  <si>
    <t>7032318</t>
  </si>
  <si>
    <t>IN ES282676</t>
  </si>
  <si>
    <t>L511200IN ES282676</t>
  </si>
  <si>
    <t>7032319</t>
  </si>
  <si>
    <t>IN ES282677</t>
  </si>
  <si>
    <t>L511200IN ES282677</t>
  </si>
  <si>
    <t>7031462</t>
  </si>
  <si>
    <t>IN ES282680</t>
  </si>
  <si>
    <t>L511200IN ES282680</t>
  </si>
  <si>
    <t>7031497</t>
  </si>
  <si>
    <t>IN ES282681</t>
  </si>
  <si>
    <t>L511200IN ES282681</t>
  </si>
  <si>
    <t>7040764</t>
  </si>
  <si>
    <t>IN ES282849</t>
  </si>
  <si>
    <t>L511200IN ES282849</t>
  </si>
  <si>
    <t>7040765</t>
  </si>
  <si>
    <t>IN ES282850</t>
  </si>
  <si>
    <t>L511200IN ES282850</t>
  </si>
  <si>
    <t>2300063249</t>
  </si>
  <si>
    <t>7032313</t>
  </si>
  <si>
    <t>L511202</t>
  </si>
  <si>
    <t>IN ES282963</t>
  </si>
  <si>
    <t>L511202IN ES282963</t>
  </si>
  <si>
    <t>IN ES282973</t>
  </si>
  <si>
    <t>L511202IN ES282973</t>
  </si>
  <si>
    <t>IN ES282983</t>
  </si>
  <si>
    <t>L511202IN ES282983</t>
  </si>
  <si>
    <t>IN ES282985</t>
  </si>
  <si>
    <t>L511202IN ES282985</t>
  </si>
  <si>
    <t>IN ES282987</t>
  </si>
  <si>
    <t>L511202IN ES282987</t>
  </si>
  <si>
    <t>IN ES282995</t>
  </si>
  <si>
    <t>L511202IN ES282995</t>
  </si>
  <si>
    <t>IN ES282996</t>
  </si>
  <si>
    <t>L511202IN ES282996</t>
  </si>
  <si>
    <t>IN ES283001</t>
  </si>
  <si>
    <t>L511202IN ES283001</t>
  </si>
  <si>
    <t>IN ES283003</t>
  </si>
  <si>
    <t>L511202IN ES283003</t>
  </si>
  <si>
    <t>IN ES283020</t>
  </si>
  <si>
    <t>L511202IN ES283020</t>
  </si>
  <si>
    <t>IN ES283021</t>
  </si>
  <si>
    <t>L511202IN ES283021</t>
  </si>
  <si>
    <t>IN ES283022</t>
  </si>
  <si>
    <t>L511202IN ES283022</t>
  </si>
  <si>
    <t>IN ES283023</t>
  </si>
  <si>
    <t>L511202IN ES283023</t>
  </si>
  <si>
    <t>IN ES283029</t>
  </si>
  <si>
    <t>L511202IN ES283029</t>
  </si>
  <si>
    <t>IN ES305000</t>
  </si>
  <si>
    <t>L511202IN ES305000</t>
  </si>
  <si>
    <t>IN ES305013</t>
  </si>
  <si>
    <t>L511202IN ES305013</t>
  </si>
  <si>
    <t>IN ES305014</t>
  </si>
  <si>
    <t>L511202IN ES305014</t>
  </si>
  <si>
    <t>IN ES305022</t>
  </si>
  <si>
    <t>L511202IN ES305022</t>
  </si>
  <si>
    <t>IN ES305023</t>
  </si>
  <si>
    <t>L511202IN ES305023</t>
  </si>
  <si>
    <t>IN ES305065</t>
  </si>
  <si>
    <t>L511202IN ES305065</t>
  </si>
  <si>
    <t>IN ES305069</t>
  </si>
  <si>
    <t>L511202IN ES305069</t>
  </si>
  <si>
    <t>IN ES305073</t>
  </si>
  <si>
    <t>L511202IN ES305073</t>
  </si>
  <si>
    <t>4700113353/962</t>
  </si>
  <si>
    <t>7054282</t>
  </si>
  <si>
    <t>JOYDEEP GUHA ROY</t>
  </si>
  <si>
    <t>A66</t>
  </si>
  <si>
    <t>IN ES305394</t>
  </si>
  <si>
    <t>M411226IN ES305394</t>
  </si>
  <si>
    <t>7055767</t>
  </si>
  <si>
    <t>IN ES305453</t>
  </si>
  <si>
    <t>M411226IN ES305453</t>
  </si>
  <si>
    <t>2300069852/109</t>
  </si>
  <si>
    <t>7054206</t>
  </si>
  <si>
    <t>IN ES305556</t>
  </si>
  <si>
    <t>L511200IN ES305556</t>
  </si>
  <si>
    <t>7054205</t>
  </si>
  <si>
    <t>IN ES305557</t>
  </si>
  <si>
    <t>L511200IN ES305557</t>
  </si>
  <si>
    <t>7054207</t>
  </si>
  <si>
    <t>IN ES305577</t>
  </si>
  <si>
    <t>L511200IN ES305577</t>
  </si>
  <si>
    <t>7054209</t>
  </si>
  <si>
    <t>IN ES305578</t>
  </si>
  <si>
    <t>L511200IN ES305578</t>
  </si>
  <si>
    <t>7054210</t>
  </si>
  <si>
    <t>IN ES305590</t>
  </si>
  <si>
    <t>L511200IN ES305590</t>
  </si>
  <si>
    <t>7054208</t>
  </si>
  <si>
    <t>IN ES305591</t>
  </si>
  <si>
    <t>L511200IN ES305591</t>
  </si>
  <si>
    <t>60604380</t>
  </si>
  <si>
    <t>25110669422879</t>
  </si>
  <si>
    <t>TEJA STONE CRUSHER</t>
  </si>
  <si>
    <t>UC 20225845</t>
  </si>
  <si>
    <t>SMRTIPL/KA/TEJA</t>
  </si>
  <si>
    <t>7065973</t>
  </si>
  <si>
    <t>CL2</t>
  </si>
  <si>
    <t>IN ES328227</t>
  </si>
  <si>
    <t>K411377IN ES328227</t>
  </si>
  <si>
    <t>60600636</t>
  </si>
  <si>
    <t>TIPL/200TPHKANHO/160</t>
  </si>
  <si>
    <t>042725600</t>
  </si>
  <si>
    <t>THAKUR INFRAPROJECTS PVT LTD</t>
  </si>
  <si>
    <t>IN 2323677</t>
  </si>
  <si>
    <t>K511311IN 2323677</t>
  </si>
  <si>
    <t>20000033</t>
  </si>
  <si>
    <t>OBR30337498377</t>
  </si>
  <si>
    <t>THCO. INDIA PRIVATE LIMITED</t>
  </si>
  <si>
    <t>UC 20197187</t>
  </si>
  <si>
    <t>60604293</t>
  </si>
  <si>
    <t>SMIOL/AMC/JUL20</t>
  </si>
  <si>
    <t>7053377</t>
  </si>
  <si>
    <t>CJ4</t>
  </si>
  <si>
    <t>THE SANDUR MANGANESE&amp; IRON ORES LTD</t>
  </si>
  <si>
    <t>IN ES328200</t>
  </si>
  <si>
    <t>K411377IN ES328200</t>
  </si>
  <si>
    <t>IN-KA7394248765</t>
  </si>
  <si>
    <t>7057541</t>
  </si>
  <si>
    <t>CK4</t>
  </si>
  <si>
    <t>IN ES328201</t>
  </si>
  <si>
    <t>K411377IN ES328201</t>
  </si>
  <si>
    <t>IN ES328208</t>
  </si>
  <si>
    <t>K411377IN ES328208</t>
  </si>
  <si>
    <t>IN ES328209</t>
  </si>
  <si>
    <t>K411377IN ES328209</t>
  </si>
  <si>
    <t>IN ES328216</t>
  </si>
  <si>
    <t>K411377IN ES328216</t>
  </si>
  <si>
    <t>IN ES328217</t>
  </si>
  <si>
    <t>K411377IN ES328217</t>
  </si>
  <si>
    <t>IN ES328223</t>
  </si>
  <si>
    <t>K411377IN ES328223</t>
  </si>
  <si>
    <t>IN ES328224</t>
  </si>
  <si>
    <t>K411377IN ES328224</t>
  </si>
  <si>
    <t>60604433</t>
  </si>
  <si>
    <t>4010006622</t>
  </si>
  <si>
    <t>043812700</t>
  </si>
  <si>
    <t>THRIVENI EARTHMOVERS &amp; INFRA P LTD</t>
  </si>
  <si>
    <t>IN 2337658</t>
  </si>
  <si>
    <t>K511411IN 2337658</t>
  </si>
  <si>
    <t>26021914973418</t>
  </si>
  <si>
    <t>UC 20233207</t>
  </si>
  <si>
    <t>60604404</t>
  </si>
  <si>
    <t>4040000897</t>
  </si>
  <si>
    <t>042708200</t>
  </si>
  <si>
    <t>THRIVENI EARTHMOVERS AND INFRA PRIV</t>
  </si>
  <si>
    <t>IN 2323066</t>
  </si>
  <si>
    <t>K611511IN 2323066</t>
  </si>
  <si>
    <t>60604405</t>
  </si>
  <si>
    <t>25112907604854</t>
  </si>
  <si>
    <t>TRANSFER ORDER DEFAULT</t>
  </si>
  <si>
    <t>DRP</t>
  </si>
  <si>
    <t>TIRUMALA ROCK MINING</t>
  </si>
  <si>
    <t>UC 20227491</t>
  </si>
  <si>
    <t>EX000011</t>
  </si>
  <si>
    <t>TLK/SAN/SUNTAL/26/01</t>
  </si>
  <si>
    <t>042983100</t>
  </si>
  <si>
    <t>TLK SUPPLIES</t>
  </si>
  <si>
    <t>IN 2315785</t>
  </si>
  <si>
    <t>K511317IN 2315785</t>
  </si>
  <si>
    <t>M611920IN 2315785</t>
  </si>
  <si>
    <t>TLKS/SANDVIK-25/55</t>
  </si>
  <si>
    <t>042692901</t>
  </si>
  <si>
    <t>IN 2337507</t>
  </si>
  <si>
    <t>K611311IN 2337507</t>
  </si>
  <si>
    <t>TLKS/SANDVIK-26/04</t>
  </si>
  <si>
    <t>043402700</t>
  </si>
  <si>
    <t>IN 2337616</t>
  </si>
  <si>
    <t>K611511IN 2337616</t>
  </si>
  <si>
    <t>K611512IN 2337616</t>
  </si>
  <si>
    <t>PO/TLK/SANDVIK/26-06</t>
  </si>
  <si>
    <t>043584300</t>
  </si>
  <si>
    <t>IN 2337617</t>
  </si>
  <si>
    <t>K511311IN 2337617</t>
  </si>
  <si>
    <t>20000020</t>
  </si>
  <si>
    <t>TDS RECO DEC25</t>
  </si>
  <si>
    <t>TRAK HYDRO POWER COMPONENTS PVT LTD</t>
  </si>
  <si>
    <t>JL TDSDEC25</t>
  </si>
  <si>
    <t>60603946</t>
  </si>
  <si>
    <t>5050259396571</t>
  </si>
  <si>
    <t>UC 20213665</t>
  </si>
  <si>
    <t>25072358872791</t>
  </si>
  <si>
    <t>UC 20219096</t>
  </si>
  <si>
    <t>TDS CORRECTION</t>
  </si>
  <si>
    <t>JL TDSCORR</t>
  </si>
  <si>
    <t>25113012998753</t>
  </si>
  <si>
    <t>UC 20227587</t>
  </si>
  <si>
    <t>26010100517221</t>
  </si>
  <si>
    <t>UC 20230259</t>
  </si>
  <si>
    <t>26010100517403</t>
  </si>
  <si>
    <t>UC 20230260</t>
  </si>
  <si>
    <t>26010100517619</t>
  </si>
  <si>
    <t>UC 20230261</t>
  </si>
  <si>
    <t>NIL, OP-015384</t>
  </si>
  <si>
    <t>7067691</t>
  </si>
  <si>
    <t>028</t>
  </si>
  <si>
    <t>IN ES324403</t>
  </si>
  <si>
    <t>E611502IN ES324403</t>
  </si>
  <si>
    <t>E511502IN ES324403</t>
  </si>
  <si>
    <t>7067687</t>
  </si>
  <si>
    <t>IN ES329212</t>
  </si>
  <si>
    <t>L511326IN ES329212</t>
  </si>
  <si>
    <t>26021353826626</t>
  </si>
  <si>
    <t>UC 20233413</t>
  </si>
  <si>
    <t>6021353828245</t>
  </si>
  <si>
    <t>UC 20233414</t>
  </si>
  <si>
    <t>7067659</t>
  </si>
  <si>
    <t>IN ES329271</t>
  </si>
  <si>
    <t>L511326IN ES329271</t>
  </si>
  <si>
    <t>7067655</t>
  </si>
  <si>
    <t>IN ES329272</t>
  </si>
  <si>
    <t>L511325IN ES329272</t>
  </si>
  <si>
    <t>JL TDS25DEC</t>
  </si>
  <si>
    <t>60603954</t>
  </si>
  <si>
    <t>TRAK/08425-26/N</t>
  </si>
  <si>
    <t>7066782</t>
  </si>
  <si>
    <t>IN ES329139</t>
  </si>
  <si>
    <t>K411376IN ES329139</t>
  </si>
  <si>
    <t>TRAK/093/25-26/AADIT</t>
  </si>
  <si>
    <t>042738800</t>
  </si>
  <si>
    <t>Please confirm readiness.</t>
  </si>
  <si>
    <t>IN 2323154</t>
  </si>
  <si>
    <t>K611512IN 2323154</t>
  </si>
  <si>
    <t>TRAK/098/25-26/FORCO</t>
  </si>
  <si>
    <t>042926700</t>
  </si>
  <si>
    <t>IN 2323249</t>
  </si>
  <si>
    <t>K511318IN 2323249</t>
  </si>
  <si>
    <t>TRAK/101/25-26/FORCO</t>
  </si>
  <si>
    <t>043053400</t>
  </si>
  <si>
    <t>Please confirm readiness</t>
  </si>
  <si>
    <t>IN 2323274</t>
  </si>
  <si>
    <t>K511311IN 2323274</t>
  </si>
  <si>
    <t>TRAK/071/25-26/EXCEL</t>
  </si>
  <si>
    <t>041143202</t>
  </si>
  <si>
    <t>IN 2323275</t>
  </si>
  <si>
    <t>M511011IN 2323275</t>
  </si>
  <si>
    <t>M511327IN 2323275</t>
  </si>
  <si>
    <t>TRAK/090/25-26/FORCO</t>
  </si>
  <si>
    <t>042596902</t>
  </si>
  <si>
    <t>IN 2323276</t>
  </si>
  <si>
    <t>K511411IN 2323276</t>
  </si>
  <si>
    <t>TRAK/100/25-26/VISHW</t>
  </si>
  <si>
    <t>043053800</t>
  </si>
  <si>
    <t>Confirm readiness.</t>
  </si>
  <si>
    <t>IN 2323430</t>
  </si>
  <si>
    <t>K511317IN 2323430</t>
  </si>
  <si>
    <t>TRAK/094/25-26/PRAYT</t>
  </si>
  <si>
    <t>042749500</t>
  </si>
  <si>
    <t>IN 2323517</t>
  </si>
  <si>
    <t>M611011IN 2323517</t>
  </si>
  <si>
    <t>TRAK/088/25-26/EXCEL</t>
  </si>
  <si>
    <t>042602300</t>
  </si>
  <si>
    <t>IN 2323518</t>
  </si>
  <si>
    <t>K511311IN 2323518</t>
  </si>
  <si>
    <t>TRAK/096/25-26/ASHCO</t>
  </si>
  <si>
    <t>042914900</t>
  </si>
  <si>
    <t>IN 2323542</t>
  </si>
  <si>
    <t>M611011IN 2323542</t>
  </si>
  <si>
    <t>TRAK/097/25-26/ASHCO</t>
  </si>
  <si>
    <t>042920700</t>
  </si>
  <si>
    <t>IN 2323543</t>
  </si>
  <si>
    <t>K611318IN 2323543</t>
  </si>
  <si>
    <t>K511318IN 2323543</t>
  </si>
  <si>
    <t>K511315IN 2323543</t>
  </si>
  <si>
    <t>TRAK/095/25-26/</t>
  </si>
  <si>
    <t>7068022</t>
  </si>
  <si>
    <t>IN ES329205</t>
  </si>
  <si>
    <t>K411376IN ES329205</t>
  </si>
  <si>
    <t>TRAK/110/25-26/JAMST</t>
  </si>
  <si>
    <t>043514100</t>
  </si>
  <si>
    <t>To be supplied with PO              ,TRAK/109/25-26/JAMUNASTONE  Please  ,confirm readiness,  to arrange      ,collection.</t>
  </si>
  <si>
    <t>IN 2323713</t>
  </si>
  <si>
    <t>K611317IN 2323713</t>
  </si>
  <si>
    <t>K611512IN 2323713</t>
  </si>
  <si>
    <t>TRAK/109/25-26/JAMST</t>
  </si>
  <si>
    <t>043513700</t>
  </si>
  <si>
    <t>To be supplied with PO              ,TRAK/110/25-26/JAMUNASTONE  Please  ,confirm readiness,  to arrange      ,collection.</t>
  </si>
  <si>
    <t>IN 2323714</t>
  </si>
  <si>
    <t>K611317IN 2323714</t>
  </si>
  <si>
    <t>TRAK/111/25-26/THRI</t>
  </si>
  <si>
    <t>043528300</t>
  </si>
  <si>
    <t>IN 2323715</t>
  </si>
  <si>
    <t>K511411IN 2323715</t>
  </si>
  <si>
    <t>K511311IN 2323715</t>
  </si>
  <si>
    <t>TRAK/112/25-26/ARPI</t>
  </si>
  <si>
    <t>043549600</t>
  </si>
  <si>
    <t>IN 2323751</t>
  </si>
  <si>
    <t>K511311IN 2323751</t>
  </si>
  <si>
    <t>TRAK/107/25-26/RSB</t>
  </si>
  <si>
    <t>043378000</t>
  </si>
  <si>
    <t>To be delivered along with PO :     ,TRAK/106/25-26/RSB dt. 24.01.2026   ,Please confirm readiness.</t>
  </si>
  <si>
    <t>IN 2323754</t>
  </si>
  <si>
    <t>K611311IN 2323754</t>
  </si>
  <si>
    <t>TRAK/106/25-26/RSB</t>
  </si>
  <si>
    <t>043377800</t>
  </si>
  <si>
    <t>To be delivered along with PO :     ,TRAK/107/25-26/RSB dt.  24.01.2026  ,Please confirm readiness.</t>
  </si>
  <si>
    <t>IN 2323755</t>
  </si>
  <si>
    <t>K611511IN 2323755</t>
  </si>
  <si>
    <t>043549601</t>
  </si>
  <si>
    <t>IN 2323758</t>
  </si>
  <si>
    <t>K611311IN 2323758</t>
  </si>
  <si>
    <t>K511311IN 2323758</t>
  </si>
  <si>
    <t>TRAK/116/25-26/RUSHI</t>
  </si>
  <si>
    <t>043662900</t>
  </si>
  <si>
    <t>IN 2323839</t>
  </si>
  <si>
    <t>K511317IN 2323839</t>
  </si>
  <si>
    <t>TRAK/114/25-26/RUSHI</t>
  </si>
  <si>
    <t>043591600</t>
  </si>
  <si>
    <t>To be supplied with Order #         ,TRAK/113/25-26/RUSHI</t>
  </si>
  <si>
    <t>IN 2323843</t>
  </si>
  <si>
    <t>K611512IN 2323843</t>
  </si>
  <si>
    <t>K611317IN 2323843</t>
  </si>
  <si>
    <t>TRAK/113/25-26/RUSHI</t>
  </si>
  <si>
    <t>043591500</t>
  </si>
  <si>
    <t>To be supplied with Order #         ,TRAK/114/25-26/RUSHI</t>
  </si>
  <si>
    <t>IN 2323844</t>
  </si>
  <si>
    <t>K511317IN 2323844</t>
  </si>
  <si>
    <t>K511311IN 2323844</t>
  </si>
  <si>
    <t>K611317IN 2323844</t>
  </si>
  <si>
    <t>TRAK/118/25-26/ARPI</t>
  </si>
  <si>
    <t>043776500</t>
  </si>
  <si>
    <t>BREAK DOWN ORDER</t>
  </si>
  <si>
    <t>IN 2323979</t>
  </si>
  <si>
    <t>K511311IN 2323979</t>
  </si>
  <si>
    <t>K611311IN 2323979</t>
  </si>
  <si>
    <t>043053401</t>
  </si>
  <si>
    <t>IN 2323980</t>
  </si>
  <si>
    <t>K511317IN 2323980</t>
  </si>
  <si>
    <t>JL DEC25TDS</t>
  </si>
  <si>
    <t>60602575</t>
  </si>
  <si>
    <t>TET/25-26/SAIL/036</t>
  </si>
  <si>
    <t>040978600</t>
  </si>
  <si>
    <t>Urgent order</t>
  </si>
  <si>
    <t>TRANSDYNAMICS ENGINEERING AND</t>
  </si>
  <si>
    <t>IN 2337538</t>
  </si>
  <si>
    <t>K511311IN 2337538</t>
  </si>
  <si>
    <t>TET/25-26/SAIL/033</t>
  </si>
  <si>
    <t>040769902</t>
  </si>
  <si>
    <t>Urgent material</t>
  </si>
  <si>
    <t>IN 2337541</t>
  </si>
  <si>
    <t>K511411IN 2337541</t>
  </si>
  <si>
    <t>K511311IN 2337541</t>
  </si>
  <si>
    <t>040769905</t>
  </si>
  <si>
    <t>IN 2323691</t>
  </si>
  <si>
    <t>K511311IN 2323691</t>
  </si>
  <si>
    <t>TET/24-25/visa/037</t>
  </si>
  <si>
    <t>042294402</t>
  </si>
  <si>
    <t>plant breakdown urgent order</t>
  </si>
  <si>
    <t>IN 2337640</t>
  </si>
  <si>
    <t>K611311IN 2337640</t>
  </si>
  <si>
    <t>K511311IN 2337640</t>
  </si>
  <si>
    <t>60602095</t>
  </si>
  <si>
    <t>PMV-201125SAN168/630</t>
  </si>
  <si>
    <t>042266500</t>
  </si>
  <si>
    <t>TRINITY SAND &amp; MINERALS PVT LTD</t>
  </si>
  <si>
    <t>IN 2322851</t>
  </si>
  <si>
    <t>M611327IN 2322851</t>
  </si>
  <si>
    <t>M511327IN 2322851</t>
  </si>
  <si>
    <t>PMV-311025SAN167/628</t>
  </si>
  <si>
    <t>040991600</t>
  </si>
  <si>
    <t>IN 2322852</t>
  </si>
  <si>
    <t>K511411IN 2322852</t>
  </si>
  <si>
    <t>PMV-081025SAN165/625</t>
  </si>
  <si>
    <t>041577601</t>
  </si>
  <si>
    <t>IN 2322853</t>
  </si>
  <si>
    <t>K511411IN 2322853</t>
  </si>
  <si>
    <t>PMV-191224SAN143/563</t>
  </si>
  <si>
    <t>038498201</t>
  </si>
  <si>
    <t>IN 2322854</t>
  </si>
  <si>
    <t>K511411IN 2322854</t>
  </si>
  <si>
    <t>PMV-121225SAN16</t>
  </si>
  <si>
    <t>7066993</t>
  </si>
  <si>
    <t>IN ES329135</t>
  </si>
  <si>
    <t>K411376IN ES329135</t>
  </si>
  <si>
    <t>PMV181225-SAN17</t>
  </si>
  <si>
    <t>7067148</t>
  </si>
  <si>
    <t>IN ES329180</t>
  </si>
  <si>
    <t>K411376IN ES329180</t>
  </si>
  <si>
    <t>PMV-060126SAN174/638</t>
  </si>
  <si>
    <t>042976300</t>
  </si>
  <si>
    <t>IN 2323447</t>
  </si>
  <si>
    <t>K511318IN 2323447</t>
  </si>
  <si>
    <t>K611311IN 2323447</t>
  </si>
  <si>
    <t>038498202</t>
  </si>
  <si>
    <t>IN 2323681</t>
  </si>
  <si>
    <t>K511411IN 2323681</t>
  </si>
  <si>
    <t>PMV-020625SAN156/596</t>
  </si>
  <si>
    <t>039332000</t>
  </si>
  <si>
    <t>IN 2323823</t>
  </si>
  <si>
    <t>K511411IN 2323823</t>
  </si>
  <si>
    <t>K511311IN 2323823</t>
  </si>
  <si>
    <t>PMV160925SAN/162/619</t>
  </si>
  <si>
    <t>040993800</t>
  </si>
  <si>
    <t>IN 2323964</t>
  </si>
  <si>
    <t>K511315IN 2323964</t>
  </si>
  <si>
    <t>PMV160925-SAN161/618</t>
  </si>
  <si>
    <t>040991401</t>
  </si>
  <si>
    <t>IN 2323965</t>
  </si>
  <si>
    <t>K511317IN 2323965</t>
  </si>
  <si>
    <t>K611317IN 2323965</t>
  </si>
  <si>
    <t>042266501</t>
  </si>
  <si>
    <t>IN 2324052</t>
  </si>
  <si>
    <t>K611318IN 2324052</t>
  </si>
  <si>
    <t>PMV-201225SAN173/636</t>
  </si>
  <si>
    <t>042945000</t>
  </si>
  <si>
    <t>IN 2324053</t>
  </si>
  <si>
    <t>K511411IN 2324053</t>
  </si>
  <si>
    <t>60604435</t>
  </si>
  <si>
    <t>26021670443691</t>
  </si>
  <si>
    <t>TRIVENI INDUSTRIES</t>
  </si>
  <si>
    <t>UC 20233311</t>
  </si>
  <si>
    <t>60604368</t>
  </si>
  <si>
    <t>SMRTIPL/MH/TSL-</t>
  </si>
  <si>
    <t>7067158</t>
  </si>
  <si>
    <t>CL8</t>
  </si>
  <si>
    <t>TULSI SANDS LLP</t>
  </si>
  <si>
    <t>IN ES329190</t>
  </si>
  <si>
    <t>K411377IN ES329190</t>
  </si>
  <si>
    <t>SMRTIPL/MH/TSL/</t>
  </si>
  <si>
    <t>7063131</t>
  </si>
  <si>
    <t>CK8</t>
  </si>
  <si>
    <t>IN ES329258</t>
  </si>
  <si>
    <t>K411377IN ES329258</t>
  </si>
  <si>
    <t>IN ES329259</t>
  </si>
  <si>
    <t>K411377IN ES329259</t>
  </si>
  <si>
    <t>60604386</t>
  </si>
  <si>
    <t>26020700514979</t>
  </si>
  <si>
    <t>TUSHAR MINES &amp; MINERALS</t>
  </si>
  <si>
    <t>UC 20232453</t>
  </si>
  <si>
    <t>SMRTIPL/RJ/TMM/</t>
  </si>
  <si>
    <t>7064897</t>
  </si>
  <si>
    <t>IN ES335178</t>
  </si>
  <si>
    <t>K411377IN ES335178</t>
  </si>
  <si>
    <t>60604381</t>
  </si>
  <si>
    <t>PO No. 2025/07/18</t>
  </si>
  <si>
    <t>040377401</t>
  </si>
  <si>
    <t>LUT No. AD200725005023V</t>
  </si>
  <si>
    <t>TWINDERJIT MINING AND CONSTRUCTION</t>
  </si>
  <si>
    <t>IN 2321735</t>
  </si>
  <si>
    <t>K611512IN 2321735</t>
  </si>
  <si>
    <t>K611318IN 2321735</t>
  </si>
  <si>
    <t>K611317IN 2321735</t>
  </si>
  <si>
    <t>K611511IN 2321735</t>
  </si>
  <si>
    <t>K511317IN 2321735</t>
  </si>
  <si>
    <t>K511411IN 2321735</t>
  </si>
  <si>
    <t>K511311IN 2321735</t>
  </si>
  <si>
    <t>K611311IN 2321735</t>
  </si>
  <si>
    <t>040377402</t>
  </si>
  <si>
    <t>IN 2321736</t>
  </si>
  <si>
    <t>K511317IN 2321736</t>
  </si>
  <si>
    <t>G515770IN 2321736</t>
  </si>
  <si>
    <t>2025/07/21</t>
  </si>
  <si>
    <t>040753700</t>
  </si>
  <si>
    <t>IN 2321750</t>
  </si>
  <si>
    <t>K511311IN 2321750</t>
  </si>
  <si>
    <t>60603774</t>
  </si>
  <si>
    <t>SMRTIPL/TN/UBM/</t>
  </si>
  <si>
    <t>7013270</t>
  </si>
  <si>
    <t>T1</t>
  </si>
  <si>
    <t>Akhil Raj</t>
  </si>
  <si>
    <t>A84</t>
  </si>
  <si>
    <t>CT1</t>
  </si>
  <si>
    <t>UMA BLUE METALS</t>
  </si>
  <si>
    <t>IN ES339013</t>
  </si>
  <si>
    <t>K411377IN ES339013</t>
  </si>
  <si>
    <t>IN ES339016</t>
  </si>
  <si>
    <t>K411377IN ES339016</t>
  </si>
  <si>
    <t>IN ES339018</t>
  </si>
  <si>
    <t>K411377IN ES339018</t>
  </si>
  <si>
    <t>60602280</t>
  </si>
  <si>
    <t>UE/2425/M117</t>
  </si>
  <si>
    <t>042896900</t>
  </si>
  <si>
    <t>BH</t>
  </si>
  <si>
    <t>UNIVERSAL ENTERPRISES</t>
  </si>
  <si>
    <t>IN 2323236</t>
  </si>
  <si>
    <t>K611318IN 2323236</t>
  </si>
  <si>
    <t>60602400</t>
  </si>
  <si>
    <t>5052104926197</t>
  </si>
  <si>
    <t>VASTU ENGINEERING</t>
  </si>
  <si>
    <t>UC 20213854</t>
  </si>
  <si>
    <t>2205104087</t>
  </si>
  <si>
    <t>UC 20214598</t>
  </si>
  <si>
    <t>52305174816</t>
  </si>
  <si>
    <t>UC 20214601</t>
  </si>
  <si>
    <t>60602713</t>
  </si>
  <si>
    <t>26012000575274</t>
  </si>
  <si>
    <t>UC 20231097</t>
  </si>
  <si>
    <t>60604089</t>
  </si>
  <si>
    <t>SMRTIPL/AP/VEE</t>
  </si>
  <si>
    <t>7035859</t>
  </si>
  <si>
    <t>CE9</t>
  </si>
  <si>
    <t>VEE J INFRA TECH PRIVATE LIMITED</t>
  </si>
  <si>
    <t>IN ES297574</t>
  </si>
  <si>
    <t>K411377IN ES297574</t>
  </si>
  <si>
    <t>IN ES321066</t>
  </si>
  <si>
    <t>K411377IN ES321066</t>
  </si>
  <si>
    <t>IN ES321076</t>
  </si>
  <si>
    <t>K411377IN ES321076</t>
  </si>
  <si>
    <t>IN ES321090</t>
  </si>
  <si>
    <t>K411377IN ES321090</t>
  </si>
  <si>
    <t>20000032</t>
  </si>
  <si>
    <t>VA/SMRT/2023-24</t>
  </si>
  <si>
    <t>7052937</t>
  </si>
  <si>
    <t>VIJAYSHREE AGENCIES</t>
  </si>
  <si>
    <t>IN ES328879</t>
  </si>
  <si>
    <t>L511200IN ES328879</t>
  </si>
  <si>
    <t>60601538</t>
  </si>
  <si>
    <t>VA/SMRT/2025/SO-67</t>
  </si>
  <si>
    <t>042045502</t>
  </si>
  <si>
    <t>IN 2322973</t>
  </si>
  <si>
    <t>K511411IN 2322973</t>
  </si>
  <si>
    <t>K511311IN 2322973</t>
  </si>
  <si>
    <t>042045503</t>
  </si>
  <si>
    <t>IN 2323234</t>
  </si>
  <si>
    <t>K611311IN 2323234</t>
  </si>
  <si>
    <t>K511311IN 2323234</t>
  </si>
  <si>
    <t>042045504</t>
  </si>
  <si>
    <t>IN 2323347</t>
  </si>
  <si>
    <t>K511311IN 2323347</t>
  </si>
  <si>
    <t>VA/SRP/2026/SO-02</t>
  </si>
  <si>
    <t>043214000</t>
  </si>
  <si>
    <t>IN 2323478</t>
  </si>
  <si>
    <t>K511311IN 2323478</t>
  </si>
  <si>
    <t>K611311IN 2323478</t>
  </si>
  <si>
    <t>K611512IN 2323478</t>
  </si>
  <si>
    <t>K511317IN 2323478</t>
  </si>
  <si>
    <t>K611411</t>
  </si>
  <si>
    <t>K611411IN 2323478</t>
  </si>
  <si>
    <t>K511411IN 2323478</t>
  </si>
  <si>
    <t>K611317IN 2323478</t>
  </si>
  <si>
    <t>VA/SMRT/2025/SO-68</t>
  </si>
  <si>
    <t>042178804</t>
  </si>
  <si>
    <t>IN 2323479</t>
  </si>
  <si>
    <t>K511311IN 2323479</t>
  </si>
  <si>
    <t>K511317IN 2323479</t>
  </si>
  <si>
    <t>VA/SMRT/2025/SO-74</t>
  </si>
  <si>
    <t>041845100</t>
  </si>
  <si>
    <t>IN 2323480</t>
  </si>
  <si>
    <t>M511327IN 2323480</t>
  </si>
  <si>
    <t>VA/SMRT/2025/SO-69</t>
  </si>
  <si>
    <t>042184303</t>
  </si>
  <si>
    <t>IN 2323481</t>
  </si>
  <si>
    <t>K611511IN 2323481</t>
  </si>
  <si>
    <t>K611311IN 2323481</t>
  </si>
  <si>
    <t>K511311IN 2323481</t>
  </si>
  <si>
    <t>042178805</t>
  </si>
  <si>
    <t>IN 2323665</t>
  </si>
  <si>
    <t>K511311IN 2323665</t>
  </si>
  <si>
    <t>K611311IN 2323665</t>
  </si>
  <si>
    <t>042045505</t>
  </si>
  <si>
    <t>IN 2323666</t>
  </si>
  <si>
    <t>K511311IN 2323666</t>
  </si>
  <si>
    <t>K611311IN 2323666</t>
  </si>
  <si>
    <t>042184304</t>
  </si>
  <si>
    <t>IN 2323667</t>
  </si>
  <si>
    <t>K511311IN 2323667</t>
  </si>
  <si>
    <t>K611511IN 2323667</t>
  </si>
  <si>
    <t>043214001</t>
  </si>
  <si>
    <t>IN 2323668</t>
  </si>
  <si>
    <t>K611315IN 2323668</t>
  </si>
  <si>
    <t>K511311IN 2323668</t>
  </si>
  <si>
    <t>042178806</t>
  </si>
  <si>
    <t>IN 2323752</t>
  </si>
  <si>
    <t>K511317IN 2323752</t>
  </si>
  <si>
    <t>K511311IN 2323752</t>
  </si>
  <si>
    <t>043214002</t>
  </si>
  <si>
    <t>IN 2323753</t>
  </si>
  <si>
    <t>K511317IN 2323753</t>
  </si>
  <si>
    <t>K511315IN 2323753</t>
  </si>
  <si>
    <t>K611512IN 2323753</t>
  </si>
  <si>
    <t>042178807</t>
  </si>
  <si>
    <t>IN 2323824</t>
  </si>
  <si>
    <t>K511317IN 2323824</t>
  </si>
  <si>
    <t>K511311IN 2323824</t>
  </si>
  <si>
    <t>042184305</t>
  </si>
  <si>
    <t>IN 2323825</t>
  </si>
  <si>
    <t>K511311IN 2323825</t>
  </si>
  <si>
    <t>043214003</t>
  </si>
  <si>
    <t>IN 2323826</t>
  </si>
  <si>
    <t>K511311IN 2323826</t>
  </si>
  <si>
    <t>042178808</t>
  </si>
  <si>
    <t>IN 2323834</t>
  </si>
  <si>
    <t>K511317IN 2323834</t>
  </si>
  <si>
    <t>043214004</t>
  </si>
  <si>
    <t>IN 2323923</t>
  </si>
  <si>
    <t>K511317IN 2323923</t>
  </si>
  <si>
    <t>K511311IN 2323923</t>
  </si>
  <si>
    <t>042178809</t>
  </si>
  <si>
    <t>IN 2323924</t>
  </si>
  <si>
    <t>K511317IN 2323924</t>
  </si>
  <si>
    <t>K511311IN 2323924</t>
  </si>
  <si>
    <t>043214005</t>
  </si>
  <si>
    <t>IN 2324059</t>
  </si>
  <si>
    <t>K511311IN 2324059</t>
  </si>
  <si>
    <t>K511317IN 2324059</t>
  </si>
  <si>
    <t>042178810</t>
  </si>
  <si>
    <t>IN 2324060</t>
  </si>
  <si>
    <t>K611311IN 2324060</t>
  </si>
  <si>
    <t>VA/SRP/2026/SO-05</t>
  </si>
  <si>
    <t>043857000</t>
  </si>
  <si>
    <t>IN 2324061</t>
  </si>
  <si>
    <t>M511910IN 2324061</t>
  </si>
  <si>
    <t>60603738</t>
  </si>
  <si>
    <t>YMI/WO/STONE/1/</t>
  </si>
  <si>
    <t>7014326</t>
  </si>
  <si>
    <t>03</t>
  </si>
  <si>
    <t>C03</t>
  </si>
  <si>
    <t>YAMAI STONE CRUSHER</t>
  </si>
  <si>
    <t>IN ES329261</t>
  </si>
  <si>
    <t>K411377IN ES329261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</si>
</sst>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1" applyNumberFormat="1" applyFont="1"/>
    <xf numFmtId="164" fontId="2" fillId="0" borderId="0" xfId="1" applyNumberFormat="1" applyFont="1"/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848A-44DB-4EA8-97D9-CDAC5D4DC8B9}">
  <sheetPr>
    <tabColor rgb="FFFFFF00"/>
  </sheetPr>
  <dimension ref="A1:AU1634"/>
  <sheetViews>
    <sheetView tabSelected="1" topLeftCell="AA1" zoomScale="80" zoomScaleNormal="80" workbookViewId="0">
      <pane ySplit="6" topLeftCell="A1611" activePane="bottomLeft" state="frozen"/>
      <selection pane="bottomLeft" activeCell="O6" sqref="O6:AU1634"/>
    </sheetView>
  </sheetViews>
  <sheetFormatPr defaultRowHeight="14.5" x14ac:dyDescent="0.35"/>
  <cols>
    <col min="1" max="1" width="6.08984375" hidden="1" customWidth="1"/>
    <col min="2" max="2" width="14.7265625" hidden="1" customWidth="1"/>
    <col min="3" max="3" width="8.54296875" hidden="1" customWidth="1"/>
    <col min="4" max="4" width="15.08984375" hidden="1" customWidth="1"/>
    <col min="5" max="5" width="9.54296875" hidden="1" customWidth="1"/>
    <col min="6" max="6" width="9.7265625" hidden="1" customWidth="1"/>
    <col min="7" max="7" width="23.81640625" hidden="1" customWidth="1"/>
    <col min="8" max="8" width="11.36328125" hidden="1" customWidth="1"/>
    <col min="9" max="9" width="17.7265625" hidden="1" customWidth="1"/>
    <col min="10" max="10" width="11.453125" hidden="1" customWidth="1"/>
    <col min="11" max="11" width="14.90625" hidden="1" customWidth="1"/>
    <col min="12" max="12" width="255.6328125" hidden="1" customWidth="1"/>
    <col min="13" max="13" width="19" hidden="1" customWidth="1"/>
    <col min="14" max="14" width="14.7265625" hidden="1" customWidth="1"/>
    <col min="15" max="15" width="15.7265625" customWidth="1"/>
    <col min="16" max="16" width="9.453125" hidden="1" customWidth="1"/>
    <col min="17" max="17" width="5.1796875" hidden="1" customWidth="1"/>
    <col min="18" max="18" width="6.453125" customWidth="1"/>
    <col min="19" max="19" width="11.54296875" hidden="1" customWidth="1"/>
    <col min="20" max="20" width="19" hidden="1" customWidth="1"/>
    <col min="21" max="21" width="4" hidden="1" customWidth="1"/>
    <col min="22" max="22" width="33.90625" customWidth="1"/>
    <col min="23" max="23" width="9.1796875" bestFit="1" customWidth="1"/>
    <col min="24" max="24" width="11.26953125" customWidth="1"/>
    <col min="25" max="26" width="10.54296875" style="1" bestFit="1" customWidth="1"/>
    <col min="27" max="28" width="16" style="2" bestFit="1" customWidth="1"/>
    <col min="29" max="30" width="14.26953125" style="2" bestFit="1" customWidth="1"/>
    <col min="31" max="31" width="19.54296875" hidden="1" customWidth="1"/>
    <col min="32" max="32" width="26.08984375" hidden="1" customWidth="1"/>
    <col min="33" max="33" width="12.453125" hidden="1" customWidth="1"/>
    <col min="34" max="34" width="10.1796875" bestFit="1" customWidth="1"/>
    <col min="35" max="35" width="6.90625" bestFit="1" customWidth="1"/>
    <col min="36" max="36" width="21.26953125" hidden="1" customWidth="1"/>
    <col min="37" max="37" width="28.81640625" bestFit="1" customWidth="1"/>
    <col min="38" max="38" width="53.08984375" hidden="1" customWidth="1"/>
    <col min="39" max="39" width="11.36328125" bestFit="1" customWidth="1"/>
    <col min="40" max="40" width="9.54296875" bestFit="1" customWidth="1"/>
    <col min="41" max="41" width="15.54296875" bestFit="1" customWidth="1"/>
    <col min="42" max="42" width="9.453125" bestFit="1" customWidth="1"/>
    <col min="43" max="43" width="9.08984375" bestFit="1" customWidth="1"/>
    <col min="44" max="44" width="18.08984375" bestFit="1" customWidth="1"/>
    <col min="45" max="45" width="9.7265625" bestFit="1" customWidth="1"/>
    <col min="46" max="46" width="7.81640625" bestFit="1" customWidth="1"/>
    <col min="47" max="47" width="8.36328125" bestFit="1" customWidth="1"/>
  </cols>
  <sheetData>
    <row r="1" spans="1:47" x14ac:dyDescent="0.35">
      <c r="AF1" t="s">
        <v>0</v>
      </c>
    </row>
    <row r="2" spans="1:47" x14ac:dyDescent="0.35">
      <c r="AF2" t="s">
        <v>1</v>
      </c>
    </row>
    <row r="3" spans="1:47" x14ac:dyDescent="0.35">
      <c r="AF3" t="s">
        <v>2</v>
      </c>
    </row>
    <row r="4" spans="1:47" x14ac:dyDescent="0.35">
      <c r="AF4" t="s">
        <v>3</v>
      </c>
    </row>
    <row r="5" spans="1:47" x14ac:dyDescent="0.35">
      <c r="N5" t="s">
        <v>4</v>
      </c>
      <c r="W5" t="s">
        <v>4</v>
      </c>
      <c r="AD5" s="3">
        <f>SUBTOTAL(9,AD7:AD1634)</f>
        <v>751299591.48999977</v>
      </c>
      <c r="AF5" t="s">
        <v>5</v>
      </c>
      <c r="AG5" s="4">
        <v>46079</v>
      </c>
    </row>
    <row r="6" spans="1:47" s="5" customFormat="1" x14ac:dyDescent="0.3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26</v>
      </c>
      <c r="V6" s="5" t="s">
        <v>27</v>
      </c>
      <c r="W6" s="5" t="s">
        <v>28</v>
      </c>
      <c r="X6" s="5" t="s">
        <v>29</v>
      </c>
      <c r="Y6" s="6" t="s">
        <v>30</v>
      </c>
      <c r="Z6" s="6" t="s">
        <v>31</v>
      </c>
      <c r="AA6" s="3" t="s">
        <v>32</v>
      </c>
      <c r="AB6" s="3" t="s">
        <v>33</v>
      </c>
      <c r="AC6" s="3" t="s">
        <v>34</v>
      </c>
      <c r="AD6" s="3" t="s">
        <v>35</v>
      </c>
      <c r="AE6" s="5" t="s">
        <v>36</v>
      </c>
      <c r="AF6" s="5" t="s">
        <v>37</v>
      </c>
      <c r="AG6" s="5" t="s">
        <v>38</v>
      </c>
      <c r="AH6" s="5" t="s">
        <v>39</v>
      </c>
      <c r="AI6" s="5" t="s">
        <v>40</v>
      </c>
      <c r="AJ6" s="5" t="s">
        <v>41</v>
      </c>
      <c r="AK6" s="5" t="s">
        <v>42</v>
      </c>
      <c r="AL6" s="5" t="s">
        <v>43</v>
      </c>
      <c r="AM6" s="7" t="s">
        <v>8</v>
      </c>
      <c r="AN6" s="7" t="s">
        <v>44</v>
      </c>
      <c r="AO6" s="8" t="s">
        <v>45</v>
      </c>
      <c r="AP6" s="7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5" t="s">
        <v>51</v>
      </c>
    </row>
    <row r="7" spans="1:47" x14ac:dyDescent="0.3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56</v>
      </c>
      <c r="M7" t="s">
        <v>56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>
        <v>500000</v>
      </c>
      <c r="T7">
        <v>-756293.67</v>
      </c>
      <c r="U7" t="s">
        <v>68</v>
      </c>
      <c r="V7" t="s">
        <v>69</v>
      </c>
      <c r="W7" s="9">
        <v>60604097</v>
      </c>
      <c r="X7" t="s">
        <v>70</v>
      </c>
      <c r="Y7" s="1">
        <v>46039</v>
      </c>
      <c r="Z7" s="1">
        <v>46069</v>
      </c>
      <c r="AA7" s="2">
        <v>536696.63</v>
      </c>
      <c r="AB7" s="2">
        <v>454827.65</v>
      </c>
      <c r="AC7" s="2">
        <v>81868.98</v>
      </c>
      <c r="AD7" s="2">
        <v>536696.63</v>
      </c>
      <c r="AE7" t="s">
        <v>71</v>
      </c>
      <c r="AF7" t="s">
        <v>72</v>
      </c>
      <c r="AG7">
        <v>9</v>
      </c>
      <c r="AH7" t="s">
        <v>73</v>
      </c>
      <c r="AI7" t="s">
        <v>74</v>
      </c>
      <c r="AJ7" t="s">
        <v>75</v>
      </c>
      <c r="AK7" t="s">
        <v>76</v>
      </c>
      <c r="AL7" t="s">
        <v>77</v>
      </c>
      <c r="AM7" t="s">
        <v>78</v>
      </c>
      <c r="AN7" t="s">
        <v>79</v>
      </c>
      <c r="AO7" t="s">
        <v>80</v>
      </c>
      <c r="AP7" t="e">
        <v>#N/A</v>
      </c>
      <c r="AQ7" t="s">
        <v>81</v>
      </c>
      <c r="AR7" t="str">
        <f>W7&amp;"."&amp;AQ7</f>
        <v>60604097.STATAM</v>
      </c>
      <c r="AS7">
        <f>SUMIFS(AD:AD,AQ:AQ,AQ7,W:W,W7)</f>
        <v>536696.63</v>
      </c>
      <c r="AT7" t="s">
        <v>82</v>
      </c>
    </row>
    <row r="8" spans="1:47" x14ac:dyDescent="0.3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83</v>
      </c>
      <c r="G8" t="s">
        <v>56</v>
      </c>
      <c r="H8" t="s">
        <v>56</v>
      </c>
      <c r="I8" t="s">
        <v>84</v>
      </c>
      <c r="J8" t="s">
        <v>61</v>
      </c>
      <c r="K8" t="s">
        <v>62</v>
      </c>
      <c r="L8" t="s">
        <v>56</v>
      </c>
      <c r="M8" t="s">
        <v>56</v>
      </c>
      <c r="N8" t="s">
        <v>56</v>
      </c>
      <c r="O8" t="s">
        <v>85</v>
      </c>
      <c r="P8" t="s">
        <v>86</v>
      </c>
      <c r="Q8" t="s">
        <v>87</v>
      </c>
      <c r="R8" t="s">
        <v>88</v>
      </c>
      <c r="T8">
        <v>27000</v>
      </c>
      <c r="U8" t="s">
        <v>68</v>
      </c>
      <c r="V8" t="s">
        <v>89</v>
      </c>
      <c r="W8" s="9">
        <v>60604355</v>
      </c>
      <c r="X8" t="s">
        <v>90</v>
      </c>
      <c r="Y8" s="1">
        <v>45909</v>
      </c>
      <c r="Z8" s="1">
        <v>45909</v>
      </c>
      <c r="AA8" s="2">
        <v>-1547000</v>
      </c>
      <c r="AB8" s="2">
        <v>-1547000</v>
      </c>
      <c r="AC8" s="2">
        <v>0</v>
      </c>
      <c r="AD8" s="2">
        <v>-27000</v>
      </c>
      <c r="AE8" t="s">
        <v>90</v>
      </c>
      <c r="AF8" t="s">
        <v>72</v>
      </c>
      <c r="AG8">
        <v>169</v>
      </c>
      <c r="AH8" t="s">
        <v>91</v>
      </c>
      <c r="AI8" t="s">
        <v>74</v>
      </c>
      <c r="AJ8" t="s">
        <v>75</v>
      </c>
      <c r="AK8" t="s">
        <v>76</v>
      </c>
      <c r="AL8" t="s">
        <v>77</v>
      </c>
      <c r="AM8" t="s">
        <v>78</v>
      </c>
      <c r="AN8" t="s">
        <v>92</v>
      </c>
      <c r="AO8" t="s">
        <v>80</v>
      </c>
      <c r="AP8" t="e">
        <v>#N/A</v>
      </c>
      <c r="AQ8" t="s">
        <v>81</v>
      </c>
      <c r="AR8" t="str">
        <f t="shared" ref="AR8:AR71" si="0">W8&amp;"."&amp;AQ8</f>
        <v>60604355.STATAM</v>
      </c>
      <c r="AS8">
        <f t="shared" ref="AS8:AS71" si="1">SUMIFS(AD:AD,AQ:AQ,AQ8,W:W,W8)</f>
        <v>-27000</v>
      </c>
      <c r="AT8" t="s">
        <v>93</v>
      </c>
    </row>
    <row r="9" spans="1:47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94</v>
      </c>
      <c r="G9" t="s">
        <v>56</v>
      </c>
      <c r="H9" t="s">
        <v>56</v>
      </c>
      <c r="I9" t="s">
        <v>95</v>
      </c>
      <c r="J9" t="s">
        <v>61</v>
      </c>
      <c r="K9" t="s">
        <v>62</v>
      </c>
      <c r="L9" t="s">
        <v>56</v>
      </c>
      <c r="M9" t="s">
        <v>56</v>
      </c>
      <c r="N9" t="s">
        <v>56</v>
      </c>
      <c r="O9" t="s">
        <v>96</v>
      </c>
      <c r="P9" t="s">
        <v>97</v>
      </c>
      <c r="Q9" t="s">
        <v>87</v>
      </c>
      <c r="R9" t="s">
        <v>98</v>
      </c>
      <c r="S9">
        <v>180000000</v>
      </c>
      <c r="T9">
        <v>-16254744.43</v>
      </c>
      <c r="U9" t="s">
        <v>68</v>
      </c>
      <c r="V9" t="s">
        <v>99</v>
      </c>
      <c r="W9" s="9">
        <v>60604323</v>
      </c>
      <c r="X9" t="s">
        <v>100</v>
      </c>
      <c r="Y9" s="1">
        <v>45737</v>
      </c>
      <c r="Z9" s="1">
        <v>45737</v>
      </c>
      <c r="AA9" s="2">
        <v>-59745200</v>
      </c>
      <c r="AB9" s="2">
        <v>-59745200</v>
      </c>
      <c r="AC9" s="2">
        <v>0</v>
      </c>
      <c r="AD9" s="2">
        <v>-18674624.780000001</v>
      </c>
      <c r="AE9" t="s">
        <v>100</v>
      </c>
      <c r="AF9" t="s">
        <v>72</v>
      </c>
      <c r="AG9">
        <v>341</v>
      </c>
      <c r="AH9" t="s">
        <v>101</v>
      </c>
      <c r="AI9" t="s">
        <v>74</v>
      </c>
      <c r="AJ9" t="s">
        <v>75</v>
      </c>
      <c r="AK9" t="s">
        <v>102</v>
      </c>
      <c r="AL9" t="s">
        <v>77</v>
      </c>
      <c r="AM9" t="s">
        <v>103</v>
      </c>
      <c r="AN9" t="s">
        <v>104</v>
      </c>
      <c r="AO9" t="s">
        <v>80</v>
      </c>
      <c r="AP9" t="e">
        <v>#N/A</v>
      </c>
      <c r="AQ9" t="s">
        <v>105</v>
      </c>
      <c r="AR9" t="str">
        <f t="shared" si="0"/>
        <v>60604323.STATEQ</v>
      </c>
      <c r="AS9">
        <f t="shared" si="1"/>
        <v>73860928.700000003</v>
      </c>
      <c r="AT9" t="s">
        <v>82</v>
      </c>
    </row>
    <row r="10" spans="1:47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94</v>
      </c>
      <c r="G10" t="s">
        <v>56</v>
      </c>
      <c r="H10" t="s">
        <v>56</v>
      </c>
      <c r="I10" t="s">
        <v>106</v>
      </c>
      <c r="J10" t="s">
        <v>61</v>
      </c>
      <c r="K10" t="s">
        <v>62</v>
      </c>
      <c r="L10" t="s">
        <v>56</v>
      </c>
      <c r="M10" t="s">
        <v>56</v>
      </c>
      <c r="N10" t="s">
        <v>56</v>
      </c>
      <c r="O10" t="s">
        <v>96</v>
      </c>
      <c r="P10" t="s">
        <v>97</v>
      </c>
      <c r="Q10" t="s">
        <v>87</v>
      </c>
      <c r="R10" t="s">
        <v>98</v>
      </c>
      <c r="S10">
        <v>180000000</v>
      </c>
      <c r="T10">
        <v>-16254744.43</v>
      </c>
      <c r="U10" t="s">
        <v>68</v>
      </c>
      <c r="V10" t="s">
        <v>99</v>
      </c>
      <c r="W10" s="9">
        <v>60604323</v>
      </c>
      <c r="X10" t="s">
        <v>107</v>
      </c>
      <c r="Y10" s="1">
        <v>45737</v>
      </c>
      <c r="Z10" s="1">
        <v>45737</v>
      </c>
      <c r="AA10" s="2">
        <v>-6930000</v>
      </c>
      <c r="AB10" s="2">
        <v>-6930000</v>
      </c>
      <c r="AC10" s="2">
        <v>0</v>
      </c>
      <c r="AD10" s="2">
        <v>-6930000</v>
      </c>
      <c r="AE10" t="s">
        <v>107</v>
      </c>
      <c r="AF10" t="s">
        <v>72</v>
      </c>
      <c r="AG10">
        <v>341</v>
      </c>
      <c r="AH10" t="s">
        <v>101</v>
      </c>
      <c r="AI10" t="s">
        <v>74</v>
      </c>
      <c r="AJ10" t="s">
        <v>75</v>
      </c>
      <c r="AK10" t="s">
        <v>102</v>
      </c>
      <c r="AL10" t="s">
        <v>77</v>
      </c>
      <c r="AM10" t="s">
        <v>103</v>
      </c>
      <c r="AN10" t="s">
        <v>104</v>
      </c>
      <c r="AO10" t="s">
        <v>80</v>
      </c>
      <c r="AP10" t="e">
        <v>#N/A</v>
      </c>
      <c r="AQ10" t="s">
        <v>105</v>
      </c>
      <c r="AR10" t="str">
        <f t="shared" si="0"/>
        <v>60604323.STATEQ</v>
      </c>
      <c r="AS10">
        <f t="shared" si="1"/>
        <v>73860928.700000003</v>
      </c>
      <c r="AT10" t="s">
        <v>82</v>
      </c>
    </row>
    <row r="11" spans="1:47" x14ac:dyDescent="0.3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94</v>
      </c>
      <c r="G11" t="s">
        <v>56</v>
      </c>
      <c r="H11" t="s">
        <v>56</v>
      </c>
      <c r="I11" t="s">
        <v>108</v>
      </c>
      <c r="J11" t="s">
        <v>61</v>
      </c>
      <c r="K11" t="s">
        <v>62</v>
      </c>
      <c r="L11" t="s">
        <v>56</v>
      </c>
      <c r="M11" t="s">
        <v>56</v>
      </c>
      <c r="N11" t="s">
        <v>56</v>
      </c>
      <c r="O11" t="s">
        <v>96</v>
      </c>
      <c r="P11" t="s">
        <v>97</v>
      </c>
      <c r="Q11" t="s">
        <v>87</v>
      </c>
      <c r="R11" t="s">
        <v>98</v>
      </c>
      <c r="S11">
        <v>180000000</v>
      </c>
      <c r="T11">
        <v>-16254744.43</v>
      </c>
      <c r="U11" t="s">
        <v>68</v>
      </c>
      <c r="V11" t="s">
        <v>99</v>
      </c>
      <c r="W11" s="9">
        <v>60604323</v>
      </c>
      <c r="X11" t="s">
        <v>109</v>
      </c>
      <c r="Y11" s="1">
        <v>45959</v>
      </c>
      <c r="Z11" s="1">
        <v>45959</v>
      </c>
      <c r="AA11" s="2">
        <v>-59745200</v>
      </c>
      <c r="AB11" s="2">
        <v>-59745200</v>
      </c>
      <c r="AC11" s="2">
        <v>0</v>
      </c>
      <c r="AD11" s="2">
        <v>-59745200</v>
      </c>
      <c r="AE11" t="s">
        <v>109</v>
      </c>
      <c r="AF11" t="s">
        <v>72</v>
      </c>
      <c r="AG11">
        <v>119</v>
      </c>
      <c r="AH11" t="s">
        <v>91</v>
      </c>
      <c r="AI11" t="s">
        <v>74</v>
      </c>
      <c r="AJ11" t="s">
        <v>75</v>
      </c>
      <c r="AK11" t="s">
        <v>102</v>
      </c>
      <c r="AL11" t="s">
        <v>77</v>
      </c>
      <c r="AM11" t="s">
        <v>103</v>
      </c>
      <c r="AN11" t="s">
        <v>104</v>
      </c>
      <c r="AO11" t="s">
        <v>80</v>
      </c>
      <c r="AP11" t="e">
        <v>#N/A</v>
      </c>
      <c r="AQ11" t="s">
        <v>105</v>
      </c>
      <c r="AR11" t="str">
        <f t="shared" si="0"/>
        <v>60604323.STATEQ</v>
      </c>
      <c r="AS11">
        <f t="shared" si="1"/>
        <v>73860928.700000003</v>
      </c>
      <c r="AT11" t="s">
        <v>82</v>
      </c>
    </row>
    <row r="12" spans="1:47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94</v>
      </c>
      <c r="G12" t="s">
        <v>110</v>
      </c>
      <c r="H12" t="s">
        <v>111</v>
      </c>
      <c r="I12" t="s">
        <v>112</v>
      </c>
      <c r="J12" t="s">
        <v>56</v>
      </c>
      <c r="K12" t="s">
        <v>62</v>
      </c>
      <c r="L12" t="s">
        <v>56</v>
      </c>
      <c r="M12" t="s">
        <v>56</v>
      </c>
      <c r="N12" t="s">
        <v>113</v>
      </c>
      <c r="O12" t="s">
        <v>96</v>
      </c>
      <c r="P12" t="s">
        <v>97</v>
      </c>
      <c r="Q12" t="s">
        <v>114</v>
      </c>
      <c r="R12" t="s">
        <v>98</v>
      </c>
      <c r="S12">
        <v>180000000</v>
      </c>
      <c r="T12">
        <v>-16254744.43</v>
      </c>
      <c r="U12" t="s">
        <v>68</v>
      </c>
      <c r="V12" t="s">
        <v>99</v>
      </c>
      <c r="W12" s="9">
        <v>60604323</v>
      </c>
      <c r="X12" t="s">
        <v>115</v>
      </c>
      <c r="Y12" s="1">
        <v>46031</v>
      </c>
      <c r="Z12" s="1">
        <v>46391</v>
      </c>
      <c r="AA12" s="2">
        <v>28320000</v>
      </c>
      <c r="AB12" s="2">
        <v>24000000</v>
      </c>
      <c r="AC12" s="2">
        <v>4320000</v>
      </c>
      <c r="AD12" s="2">
        <v>23520000</v>
      </c>
      <c r="AE12" t="s">
        <v>116</v>
      </c>
      <c r="AF12" t="s">
        <v>72</v>
      </c>
      <c r="AG12">
        <v>-313</v>
      </c>
      <c r="AH12" t="s">
        <v>117</v>
      </c>
      <c r="AI12" t="s">
        <v>74</v>
      </c>
      <c r="AJ12" t="s">
        <v>75</v>
      </c>
      <c r="AK12" t="s">
        <v>102</v>
      </c>
      <c r="AL12" t="s">
        <v>118</v>
      </c>
      <c r="AM12" t="s">
        <v>103</v>
      </c>
      <c r="AN12" t="s">
        <v>104</v>
      </c>
      <c r="AO12" t="s">
        <v>119</v>
      </c>
      <c r="AP12" t="e">
        <v>#N/A</v>
      </c>
      <c r="AQ12" t="s">
        <v>105</v>
      </c>
      <c r="AR12" t="str">
        <f t="shared" si="0"/>
        <v>60604323.STATEQ</v>
      </c>
      <c r="AS12">
        <f t="shared" si="1"/>
        <v>73860928.700000003</v>
      </c>
      <c r="AT12" t="s">
        <v>82</v>
      </c>
    </row>
    <row r="13" spans="1:47" x14ac:dyDescent="0.3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94</v>
      </c>
      <c r="G13" t="s">
        <v>110</v>
      </c>
      <c r="H13" t="s">
        <v>111</v>
      </c>
      <c r="I13" t="s">
        <v>120</v>
      </c>
      <c r="J13" t="s">
        <v>56</v>
      </c>
      <c r="K13" t="s">
        <v>62</v>
      </c>
      <c r="L13" t="s">
        <v>56</v>
      </c>
      <c r="M13" t="s">
        <v>56</v>
      </c>
      <c r="N13" t="s">
        <v>113</v>
      </c>
      <c r="O13" t="s">
        <v>96</v>
      </c>
      <c r="P13" t="s">
        <v>97</v>
      </c>
      <c r="Q13" t="s">
        <v>114</v>
      </c>
      <c r="R13" t="s">
        <v>98</v>
      </c>
      <c r="S13">
        <v>180000000</v>
      </c>
      <c r="T13">
        <v>-16254744.43</v>
      </c>
      <c r="U13" t="s">
        <v>68</v>
      </c>
      <c r="V13" t="s">
        <v>99</v>
      </c>
      <c r="W13" s="9">
        <v>60604323</v>
      </c>
      <c r="X13" t="s">
        <v>121</v>
      </c>
      <c r="Y13" s="1">
        <v>46031</v>
      </c>
      <c r="Z13" s="1">
        <v>46391</v>
      </c>
      <c r="AA13" s="2">
        <v>28320000</v>
      </c>
      <c r="AB13" s="2">
        <v>24000000</v>
      </c>
      <c r="AC13" s="2">
        <v>4320000</v>
      </c>
      <c r="AD13" s="2">
        <v>23520000</v>
      </c>
      <c r="AE13" t="s">
        <v>122</v>
      </c>
      <c r="AF13" t="s">
        <v>72</v>
      </c>
      <c r="AG13">
        <v>-313</v>
      </c>
      <c r="AH13" t="s">
        <v>117</v>
      </c>
      <c r="AI13" t="s">
        <v>74</v>
      </c>
      <c r="AJ13" t="s">
        <v>75</v>
      </c>
      <c r="AK13" t="s">
        <v>102</v>
      </c>
      <c r="AL13" t="s">
        <v>118</v>
      </c>
      <c r="AM13" t="s">
        <v>103</v>
      </c>
      <c r="AN13" t="s">
        <v>104</v>
      </c>
      <c r="AO13" t="s">
        <v>119</v>
      </c>
      <c r="AP13" t="e">
        <v>#N/A</v>
      </c>
      <c r="AQ13" t="s">
        <v>105</v>
      </c>
      <c r="AR13" t="str">
        <f t="shared" si="0"/>
        <v>60604323.STATEQ</v>
      </c>
      <c r="AS13">
        <f t="shared" si="1"/>
        <v>73860928.700000003</v>
      </c>
      <c r="AT13" t="s">
        <v>82</v>
      </c>
    </row>
    <row r="14" spans="1:47" x14ac:dyDescent="0.35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94</v>
      </c>
      <c r="G14" t="s">
        <v>110</v>
      </c>
      <c r="H14" t="s">
        <v>111</v>
      </c>
      <c r="I14" t="s">
        <v>123</v>
      </c>
      <c r="J14" t="s">
        <v>56</v>
      </c>
      <c r="K14" t="s">
        <v>62</v>
      </c>
      <c r="L14" t="s">
        <v>56</v>
      </c>
      <c r="M14" t="s">
        <v>56</v>
      </c>
      <c r="N14" t="s">
        <v>124</v>
      </c>
      <c r="O14" t="s">
        <v>96</v>
      </c>
      <c r="P14" t="s">
        <v>97</v>
      </c>
      <c r="Q14" t="s">
        <v>114</v>
      </c>
      <c r="R14" t="s">
        <v>98</v>
      </c>
      <c r="S14">
        <v>180000000</v>
      </c>
      <c r="T14">
        <v>-16254744.43</v>
      </c>
      <c r="U14" t="s">
        <v>68</v>
      </c>
      <c r="V14" t="s">
        <v>99</v>
      </c>
      <c r="W14" s="9">
        <v>60604323</v>
      </c>
      <c r="X14" t="s">
        <v>125</v>
      </c>
      <c r="Y14" s="1">
        <v>46034</v>
      </c>
      <c r="Z14" s="1">
        <v>46394</v>
      </c>
      <c r="AA14" s="2">
        <v>12390000</v>
      </c>
      <c r="AB14" s="2">
        <v>10500000</v>
      </c>
      <c r="AC14" s="2">
        <v>1890000</v>
      </c>
      <c r="AD14" s="2">
        <v>10290000</v>
      </c>
      <c r="AE14" t="s">
        <v>126</v>
      </c>
      <c r="AF14" t="s">
        <v>72</v>
      </c>
      <c r="AG14">
        <v>-316</v>
      </c>
      <c r="AH14" t="s">
        <v>117</v>
      </c>
      <c r="AI14" t="s">
        <v>74</v>
      </c>
      <c r="AJ14" t="s">
        <v>127</v>
      </c>
      <c r="AK14" t="s">
        <v>128</v>
      </c>
      <c r="AL14" t="s">
        <v>118</v>
      </c>
      <c r="AM14" t="s">
        <v>103</v>
      </c>
      <c r="AN14" t="s">
        <v>104</v>
      </c>
      <c r="AO14" t="s">
        <v>119</v>
      </c>
      <c r="AP14" t="e">
        <v>#N/A</v>
      </c>
      <c r="AQ14" t="s">
        <v>129</v>
      </c>
      <c r="AR14" t="str">
        <f t="shared" si="0"/>
        <v>60604323.SPMINEQ</v>
      </c>
      <c r="AS14">
        <f t="shared" si="1"/>
        <v>103300521.72999999</v>
      </c>
      <c r="AT14" t="s">
        <v>82</v>
      </c>
    </row>
    <row r="15" spans="1:47" x14ac:dyDescent="0.3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94</v>
      </c>
      <c r="G15" t="s">
        <v>110</v>
      </c>
      <c r="H15" t="s">
        <v>111</v>
      </c>
      <c r="I15" t="s">
        <v>130</v>
      </c>
      <c r="J15" t="s">
        <v>56</v>
      </c>
      <c r="K15" t="s">
        <v>62</v>
      </c>
      <c r="L15" t="s">
        <v>56</v>
      </c>
      <c r="M15" t="s">
        <v>56</v>
      </c>
      <c r="N15" t="s">
        <v>124</v>
      </c>
      <c r="O15" t="s">
        <v>96</v>
      </c>
      <c r="P15" t="s">
        <v>97</v>
      </c>
      <c r="Q15" t="s">
        <v>114</v>
      </c>
      <c r="R15" t="s">
        <v>98</v>
      </c>
      <c r="S15">
        <v>180000000</v>
      </c>
      <c r="T15">
        <v>-16254744.43</v>
      </c>
      <c r="U15" t="s">
        <v>68</v>
      </c>
      <c r="V15" t="s">
        <v>99</v>
      </c>
      <c r="W15" s="9">
        <v>60604323</v>
      </c>
      <c r="X15" t="s">
        <v>131</v>
      </c>
      <c r="Y15" s="1">
        <v>46034</v>
      </c>
      <c r="Z15" s="1">
        <v>46394</v>
      </c>
      <c r="AA15" s="2">
        <v>12390000</v>
      </c>
      <c r="AB15" s="2">
        <v>10500000</v>
      </c>
      <c r="AC15" s="2">
        <v>1890000</v>
      </c>
      <c r="AD15" s="2">
        <v>10290000</v>
      </c>
      <c r="AE15" t="s">
        <v>132</v>
      </c>
      <c r="AF15" t="s">
        <v>72</v>
      </c>
      <c r="AG15">
        <v>-316</v>
      </c>
      <c r="AH15" t="s">
        <v>117</v>
      </c>
      <c r="AI15" t="s">
        <v>74</v>
      </c>
      <c r="AJ15" t="s">
        <v>127</v>
      </c>
      <c r="AK15" t="s">
        <v>128</v>
      </c>
      <c r="AL15" t="s">
        <v>118</v>
      </c>
      <c r="AM15" t="s">
        <v>103</v>
      </c>
      <c r="AN15" t="s">
        <v>104</v>
      </c>
      <c r="AO15" t="s">
        <v>119</v>
      </c>
      <c r="AP15" t="e">
        <v>#N/A</v>
      </c>
      <c r="AQ15" t="s">
        <v>129</v>
      </c>
      <c r="AR15" t="str">
        <f t="shared" si="0"/>
        <v>60604323.SPMINEQ</v>
      </c>
      <c r="AS15">
        <f t="shared" si="1"/>
        <v>103300521.72999999</v>
      </c>
      <c r="AT15" t="s">
        <v>82</v>
      </c>
    </row>
    <row r="16" spans="1:47" x14ac:dyDescent="0.3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94</v>
      </c>
      <c r="G16" t="s">
        <v>110</v>
      </c>
      <c r="H16" t="s">
        <v>111</v>
      </c>
      <c r="I16" t="s">
        <v>133</v>
      </c>
      <c r="J16" t="s">
        <v>56</v>
      </c>
      <c r="K16" t="s">
        <v>62</v>
      </c>
      <c r="L16" t="s">
        <v>56</v>
      </c>
      <c r="M16" t="s">
        <v>56</v>
      </c>
      <c r="N16" t="s">
        <v>113</v>
      </c>
      <c r="O16" t="s">
        <v>96</v>
      </c>
      <c r="P16" t="s">
        <v>97</v>
      </c>
      <c r="Q16" t="s">
        <v>114</v>
      </c>
      <c r="R16" t="s">
        <v>98</v>
      </c>
      <c r="S16">
        <v>180000000</v>
      </c>
      <c r="T16">
        <v>-16254744.43</v>
      </c>
      <c r="U16" t="s">
        <v>68</v>
      </c>
      <c r="V16" t="s">
        <v>99</v>
      </c>
      <c r="W16" s="9">
        <v>60604323</v>
      </c>
      <c r="X16" t="s">
        <v>134</v>
      </c>
      <c r="Y16" s="1">
        <v>46042</v>
      </c>
      <c r="Z16" s="1">
        <v>46402</v>
      </c>
      <c r="AA16" s="2">
        <v>13865000</v>
      </c>
      <c r="AB16" s="2">
        <v>11750000</v>
      </c>
      <c r="AC16" s="2">
        <v>2115000</v>
      </c>
      <c r="AD16" s="2">
        <v>11515000</v>
      </c>
      <c r="AE16" t="s">
        <v>135</v>
      </c>
      <c r="AF16" t="s">
        <v>72</v>
      </c>
      <c r="AG16">
        <v>-324</v>
      </c>
      <c r="AH16" t="s">
        <v>117</v>
      </c>
      <c r="AI16" t="s">
        <v>74</v>
      </c>
      <c r="AJ16" t="s">
        <v>75</v>
      </c>
      <c r="AK16" t="s">
        <v>102</v>
      </c>
      <c r="AL16" t="s">
        <v>118</v>
      </c>
      <c r="AM16" t="s">
        <v>103</v>
      </c>
      <c r="AN16" t="s">
        <v>104</v>
      </c>
      <c r="AO16" t="s">
        <v>119</v>
      </c>
      <c r="AP16" t="e">
        <v>#N/A</v>
      </c>
      <c r="AQ16" t="s">
        <v>105</v>
      </c>
      <c r="AR16" t="str">
        <f t="shared" si="0"/>
        <v>60604323.STATEQ</v>
      </c>
      <c r="AS16">
        <f t="shared" si="1"/>
        <v>73860928.700000003</v>
      </c>
      <c r="AT16" t="s">
        <v>82</v>
      </c>
    </row>
    <row r="17" spans="1:46" x14ac:dyDescent="0.35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94</v>
      </c>
      <c r="G17" t="s">
        <v>110</v>
      </c>
      <c r="H17" t="s">
        <v>111</v>
      </c>
      <c r="I17" t="s">
        <v>136</v>
      </c>
      <c r="J17" t="s">
        <v>56</v>
      </c>
      <c r="K17" t="s">
        <v>62</v>
      </c>
      <c r="L17" t="s">
        <v>56</v>
      </c>
      <c r="M17" t="s">
        <v>56</v>
      </c>
      <c r="N17" t="s">
        <v>113</v>
      </c>
      <c r="O17" t="s">
        <v>96</v>
      </c>
      <c r="P17" t="s">
        <v>97</v>
      </c>
      <c r="Q17" t="s">
        <v>114</v>
      </c>
      <c r="R17" t="s">
        <v>98</v>
      </c>
      <c r="S17">
        <v>180000000</v>
      </c>
      <c r="T17">
        <v>-16254744.43</v>
      </c>
      <c r="U17" t="s">
        <v>68</v>
      </c>
      <c r="V17" t="s">
        <v>99</v>
      </c>
      <c r="W17" s="9">
        <v>60604323</v>
      </c>
      <c r="X17" t="s">
        <v>137</v>
      </c>
      <c r="Y17" s="1">
        <v>46042</v>
      </c>
      <c r="Z17" s="1">
        <v>46402</v>
      </c>
      <c r="AA17" s="2">
        <v>13865000</v>
      </c>
      <c r="AB17" s="2">
        <v>11750000</v>
      </c>
      <c r="AC17" s="2">
        <v>2115000</v>
      </c>
      <c r="AD17" s="2">
        <v>11515000</v>
      </c>
      <c r="AE17" t="s">
        <v>138</v>
      </c>
      <c r="AF17" t="s">
        <v>72</v>
      </c>
      <c r="AG17">
        <v>-324</v>
      </c>
      <c r="AH17" t="s">
        <v>117</v>
      </c>
      <c r="AI17" t="s">
        <v>74</v>
      </c>
      <c r="AJ17" t="s">
        <v>75</v>
      </c>
      <c r="AK17" t="s">
        <v>102</v>
      </c>
      <c r="AL17" t="s">
        <v>118</v>
      </c>
      <c r="AM17" t="s">
        <v>103</v>
      </c>
      <c r="AN17" t="s">
        <v>104</v>
      </c>
      <c r="AO17" t="s">
        <v>119</v>
      </c>
      <c r="AP17" t="e">
        <v>#N/A</v>
      </c>
      <c r="AQ17" t="s">
        <v>105</v>
      </c>
      <c r="AR17" t="str">
        <f t="shared" si="0"/>
        <v>60604323.STATEQ</v>
      </c>
      <c r="AS17">
        <f t="shared" si="1"/>
        <v>73860928.700000003</v>
      </c>
      <c r="AT17" t="s">
        <v>82</v>
      </c>
    </row>
    <row r="18" spans="1:46" x14ac:dyDescent="0.3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94</v>
      </c>
      <c r="G18" t="s">
        <v>110</v>
      </c>
      <c r="H18" t="s">
        <v>111</v>
      </c>
      <c r="I18" t="s">
        <v>139</v>
      </c>
      <c r="J18" t="s">
        <v>56</v>
      </c>
      <c r="K18" t="s">
        <v>62</v>
      </c>
      <c r="L18" t="s">
        <v>56</v>
      </c>
      <c r="M18" t="s">
        <v>56</v>
      </c>
      <c r="N18" t="s">
        <v>140</v>
      </c>
      <c r="O18" t="s">
        <v>96</v>
      </c>
      <c r="P18" t="s">
        <v>97</v>
      </c>
      <c r="Q18" t="s">
        <v>114</v>
      </c>
      <c r="R18" t="s">
        <v>98</v>
      </c>
      <c r="S18">
        <v>180000000</v>
      </c>
      <c r="T18">
        <v>-16254744.43</v>
      </c>
      <c r="U18" t="s">
        <v>68</v>
      </c>
      <c r="V18" t="s">
        <v>99</v>
      </c>
      <c r="W18" s="9">
        <v>60604323</v>
      </c>
      <c r="X18" t="s">
        <v>141</v>
      </c>
      <c r="Y18" s="1">
        <v>46043</v>
      </c>
      <c r="Z18" s="1">
        <v>46403</v>
      </c>
      <c r="AA18" s="2">
        <v>17700000</v>
      </c>
      <c r="AB18" s="2">
        <v>15000000</v>
      </c>
      <c r="AC18" s="2">
        <v>2700000</v>
      </c>
      <c r="AD18" s="2">
        <v>14700000</v>
      </c>
      <c r="AE18" t="s">
        <v>142</v>
      </c>
      <c r="AF18" t="s">
        <v>72</v>
      </c>
      <c r="AG18">
        <v>-325</v>
      </c>
      <c r="AH18" t="s">
        <v>117</v>
      </c>
      <c r="AI18" t="s">
        <v>74</v>
      </c>
      <c r="AJ18" t="s">
        <v>75</v>
      </c>
      <c r="AK18" t="s">
        <v>102</v>
      </c>
      <c r="AL18" t="s">
        <v>118</v>
      </c>
      <c r="AM18" t="s">
        <v>103</v>
      </c>
      <c r="AN18" t="s">
        <v>104</v>
      </c>
      <c r="AO18" t="s">
        <v>119</v>
      </c>
      <c r="AP18" t="e">
        <v>#N/A</v>
      </c>
      <c r="AQ18" t="s">
        <v>105</v>
      </c>
      <c r="AR18" t="str">
        <f t="shared" si="0"/>
        <v>60604323.STATEQ</v>
      </c>
      <c r="AS18">
        <f t="shared" si="1"/>
        <v>73860928.700000003</v>
      </c>
      <c r="AT18" t="s">
        <v>82</v>
      </c>
    </row>
    <row r="19" spans="1:46" x14ac:dyDescent="0.35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94</v>
      </c>
      <c r="G19" t="s">
        <v>110</v>
      </c>
      <c r="H19" t="s">
        <v>111</v>
      </c>
      <c r="I19" t="s">
        <v>143</v>
      </c>
      <c r="J19" t="s">
        <v>56</v>
      </c>
      <c r="K19" t="s">
        <v>62</v>
      </c>
      <c r="L19" t="s">
        <v>56</v>
      </c>
      <c r="M19" t="s">
        <v>56</v>
      </c>
      <c r="N19" t="s">
        <v>140</v>
      </c>
      <c r="O19" t="s">
        <v>96</v>
      </c>
      <c r="P19" t="s">
        <v>97</v>
      </c>
      <c r="Q19" t="s">
        <v>114</v>
      </c>
      <c r="R19" t="s">
        <v>98</v>
      </c>
      <c r="S19">
        <v>180000000</v>
      </c>
      <c r="T19">
        <v>-16254744.43</v>
      </c>
      <c r="U19" t="s">
        <v>68</v>
      </c>
      <c r="V19" t="s">
        <v>99</v>
      </c>
      <c r="W19" s="9">
        <v>60604323</v>
      </c>
      <c r="X19" t="s">
        <v>144</v>
      </c>
      <c r="Y19" s="1">
        <v>46043</v>
      </c>
      <c r="Z19" s="1">
        <v>46403</v>
      </c>
      <c r="AA19" s="2">
        <v>17700000</v>
      </c>
      <c r="AB19" s="2">
        <v>15000000</v>
      </c>
      <c r="AC19" s="2">
        <v>2700000</v>
      </c>
      <c r="AD19" s="2">
        <v>14700000</v>
      </c>
      <c r="AE19" t="s">
        <v>145</v>
      </c>
      <c r="AF19" t="s">
        <v>72</v>
      </c>
      <c r="AG19">
        <v>-325</v>
      </c>
      <c r="AH19" t="s">
        <v>117</v>
      </c>
      <c r="AI19" t="s">
        <v>74</v>
      </c>
      <c r="AJ19" t="s">
        <v>75</v>
      </c>
      <c r="AK19" t="s">
        <v>102</v>
      </c>
      <c r="AL19" t="s">
        <v>118</v>
      </c>
      <c r="AM19" t="s">
        <v>103</v>
      </c>
      <c r="AN19" t="s">
        <v>104</v>
      </c>
      <c r="AO19" t="s">
        <v>119</v>
      </c>
      <c r="AP19" t="e">
        <v>#N/A</v>
      </c>
      <c r="AQ19" t="s">
        <v>105</v>
      </c>
      <c r="AR19" t="str">
        <f t="shared" si="0"/>
        <v>60604323.STATEQ</v>
      </c>
      <c r="AS19">
        <f t="shared" si="1"/>
        <v>73860928.700000003</v>
      </c>
      <c r="AT19" t="s">
        <v>82</v>
      </c>
    </row>
    <row r="20" spans="1:46" x14ac:dyDescent="0.35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94</v>
      </c>
      <c r="G20" t="s">
        <v>110</v>
      </c>
      <c r="H20" t="s">
        <v>111</v>
      </c>
      <c r="I20" t="s">
        <v>146</v>
      </c>
      <c r="J20" t="s">
        <v>56</v>
      </c>
      <c r="K20" t="s">
        <v>62</v>
      </c>
      <c r="L20" t="s">
        <v>56</v>
      </c>
      <c r="M20" t="s">
        <v>56</v>
      </c>
      <c r="N20" t="s">
        <v>147</v>
      </c>
      <c r="O20" t="s">
        <v>96</v>
      </c>
      <c r="P20" t="s">
        <v>97</v>
      </c>
      <c r="Q20" t="s">
        <v>114</v>
      </c>
      <c r="R20" t="s">
        <v>98</v>
      </c>
      <c r="S20">
        <v>180000000</v>
      </c>
      <c r="T20">
        <v>-16254744.43</v>
      </c>
      <c r="U20" t="s">
        <v>68</v>
      </c>
      <c r="V20" t="s">
        <v>99</v>
      </c>
      <c r="W20" s="9">
        <v>60604323</v>
      </c>
      <c r="X20" t="s">
        <v>148</v>
      </c>
      <c r="Y20" s="1">
        <v>46043</v>
      </c>
      <c r="Z20" s="1">
        <v>46403</v>
      </c>
      <c r="AA20" s="2">
        <v>23588205.899999999</v>
      </c>
      <c r="AB20" s="2">
        <v>19990005</v>
      </c>
      <c r="AC20" s="2">
        <v>3598200.9</v>
      </c>
      <c r="AD20" s="2">
        <v>19590204.899999999</v>
      </c>
      <c r="AE20" t="s">
        <v>149</v>
      </c>
      <c r="AF20" t="s">
        <v>72</v>
      </c>
      <c r="AG20">
        <v>-325</v>
      </c>
      <c r="AH20" t="s">
        <v>117</v>
      </c>
      <c r="AI20" t="s">
        <v>74</v>
      </c>
      <c r="AJ20" t="s">
        <v>127</v>
      </c>
      <c r="AK20" t="s">
        <v>128</v>
      </c>
      <c r="AL20" t="s">
        <v>118</v>
      </c>
      <c r="AM20" t="s">
        <v>103</v>
      </c>
      <c r="AN20" t="s">
        <v>104</v>
      </c>
      <c r="AO20" t="s">
        <v>119</v>
      </c>
      <c r="AP20" t="e">
        <v>#N/A</v>
      </c>
      <c r="AQ20" t="s">
        <v>129</v>
      </c>
      <c r="AR20" t="str">
        <f t="shared" si="0"/>
        <v>60604323.SPMINEQ</v>
      </c>
      <c r="AS20">
        <f t="shared" si="1"/>
        <v>103300521.72999999</v>
      </c>
      <c r="AT20" t="s">
        <v>82</v>
      </c>
    </row>
    <row r="21" spans="1:46" x14ac:dyDescent="0.35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94</v>
      </c>
      <c r="G21" t="s">
        <v>110</v>
      </c>
      <c r="H21" t="s">
        <v>111</v>
      </c>
      <c r="I21" t="s">
        <v>146</v>
      </c>
      <c r="J21" t="s">
        <v>56</v>
      </c>
      <c r="K21" t="s">
        <v>62</v>
      </c>
      <c r="L21" t="s">
        <v>56</v>
      </c>
      <c r="M21" t="s">
        <v>56</v>
      </c>
      <c r="N21" t="s">
        <v>56</v>
      </c>
      <c r="O21" t="s">
        <v>96</v>
      </c>
      <c r="P21" t="s">
        <v>97</v>
      </c>
      <c r="Q21" t="s">
        <v>114</v>
      </c>
      <c r="R21" t="s">
        <v>98</v>
      </c>
      <c r="S21">
        <v>180000000</v>
      </c>
      <c r="T21">
        <v>-16254744.43</v>
      </c>
      <c r="U21" t="s">
        <v>68</v>
      </c>
      <c r="V21" t="s">
        <v>99</v>
      </c>
      <c r="W21" s="9">
        <v>60604323</v>
      </c>
      <c r="X21" t="s">
        <v>148</v>
      </c>
      <c r="Y21" s="1">
        <v>46043</v>
      </c>
      <c r="Z21" s="1">
        <v>46403</v>
      </c>
      <c r="AA21" s="2">
        <v>11794.1</v>
      </c>
      <c r="AB21" s="2">
        <v>9995</v>
      </c>
      <c r="AC21" s="2">
        <v>1799.1</v>
      </c>
      <c r="AD21" s="2">
        <v>9795.1</v>
      </c>
      <c r="AE21" t="s">
        <v>148</v>
      </c>
      <c r="AF21" t="s">
        <v>72</v>
      </c>
      <c r="AG21">
        <v>-325</v>
      </c>
      <c r="AH21" t="s">
        <v>117</v>
      </c>
      <c r="AI21" t="s">
        <v>74</v>
      </c>
      <c r="AJ21" t="s">
        <v>75</v>
      </c>
      <c r="AK21" t="s">
        <v>102</v>
      </c>
      <c r="AL21" t="s">
        <v>118</v>
      </c>
      <c r="AM21" t="s">
        <v>103</v>
      </c>
      <c r="AN21" t="s">
        <v>104</v>
      </c>
      <c r="AO21" t="s">
        <v>119</v>
      </c>
      <c r="AP21" t="e">
        <v>#N/A</v>
      </c>
      <c r="AQ21" t="s">
        <v>105</v>
      </c>
      <c r="AR21" t="str">
        <f t="shared" si="0"/>
        <v>60604323.STATEQ</v>
      </c>
      <c r="AS21">
        <f t="shared" si="1"/>
        <v>73860928.700000003</v>
      </c>
      <c r="AT21" t="s">
        <v>82</v>
      </c>
    </row>
    <row r="22" spans="1:46" x14ac:dyDescent="0.35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94</v>
      </c>
      <c r="G22" t="s">
        <v>110</v>
      </c>
      <c r="H22" t="s">
        <v>111</v>
      </c>
      <c r="I22" t="s">
        <v>150</v>
      </c>
      <c r="J22" t="s">
        <v>56</v>
      </c>
      <c r="K22" t="s">
        <v>62</v>
      </c>
      <c r="L22" t="s">
        <v>56</v>
      </c>
      <c r="M22" t="s">
        <v>56</v>
      </c>
      <c r="N22" t="s">
        <v>147</v>
      </c>
      <c r="O22" t="s">
        <v>96</v>
      </c>
      <c r="P22" t="s">
        <v>97</v>
      </c>
      <c r="Q22" t="s">
        <v>114</v>
      </c>
      <c r="R22" t="s">
        <v>98</v>
      </c>
      <c r="S22">
        <v>180000000</v>
      </c>
      <c r="T22">
        <v>-16254744.43</v>
      </c>
      <c r="U22" t="s">
        <v>68</v>
      </c>
      <c r="V22" t="s">
        <v>99</v>
      </c>
      <c r="W22" s="9">
        <v>60604323</v>
      </c>
      <c r="X22" t="s">
        <v>151</v>
      </c>
      <c r="Y22" s="1">
        <v>46043</v>
      </c>
      <c r="Z22" s="1">
        <v>46403</v>
      </c>
      <c r="AA22" s="2">
        <v>23600000</v>
      </c>
      <c r="AB22" s="2">
        <v>20000000</v>
      </c>
      <c r="AC22" s="2">
        <v>3600000</v>
      </c>
      <c r="AD22" s="2">
        <v>19600000</v>
      </c>
      <c r="AE22" t="s">
        <v>152</v>
      </c>
      <c r="AF22" t="s">
        <v>72</v>
      </c>
      <c r="AG22">
        <v>-325</v>
      </c>
      <c r="AH22" t="s">
        <v>117</v>
      </c>
      <c r="AI22" t="s">
        <v>74</v>
      </c>
      <c r="AJ22" t="s">
        <v>127</v>
      </c>
      <c r="AK22" t="s">
        <v>128</v>
      </c>
      <c r="AL22" t="s">
        <v>118</v>
      </c>
      <c r="AM22" t="s">
        <v>103</v>
      </c>
      <c r="AN22" t="s">
        <v>104</v>
      </c>
      <c r="AO22" t="s">
        <v>119</v>
      </c>
      <c r="AP22" t="e">
        <v>#N/A</v>
      </c>
      <c r="AQ22" t="s">
        <v>129</v>
      </c>
      <c r="AR22" t="str">
        <f t="shared" si="0"/>
        <v>60604323.SPMINEQ</v>
      </c>
      <c r="AS22">
        <f t="shared" si="1"/>
        <v>103300521.72999999</v>
      </c>
      <c r="AT22" t="s">
        <v>82</v>
      </c>
    </row>
    <row r="23" spans="1:46" x14ac:dyDescent="0.35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94</v>
      </c>
      <c r="G23" t="s">
        <v>110</v>
      </c>
      <c r="H23" t="s">
        <v>153</v>
      </c>
      <c r="I23" t="s">
        <v>154</v>
      </c>
      <c r="J23" t="s">
        <v>56</v>
      </c>
      <c r="K23" t="s">
        <v>62</v>
      </c>
      <c r="L23" t="s">
        <v>56</v>
      </c>
      <c r="M23" t="s">
        <v>56</v>
      </c>
      <c r="N23" t="s">
        <v>155</v>
      </c>
      <c r="O23" t="s">
        <v>96</v>
      </c>
      <c r="P23" t="s">
        <v>97</v>
      </c>
      <c r="Q23" t="s">
        <v>114</v>
      </c>
      <c r="R23" t="s">
        <v>98</v>
      </c>
      <c r="S23">
        <v>180000000</v>
      </c>
      <c r="T23">
        <v>-16254744.43</v>
      </c>
      <c r="U23" t="s">
        <v>68</v>
      </c>
      <c r="V23" t="s">
        <v>99</v>
      </c>
      <c r="W23" s="9">
        <v>60604323</v>
      </c>
      <c r="X23" t="s">
        <v>156</v>
      </c>
      <c r="Y23" s="1">
        <v>46052</v>
      </c>
      <c r="Z23" s="1">
        <v>46412</v>
      </c>
      <c r="AA23" s="2">
        <v>32137300</v>
      </c>
      <c r="AB23" s="2">
        <v>27235000</v>
      </c>
      <c r="AC23" s="2">
        <v>4902300</v>
      </c>
      <c r="AD23" s="2">
        <v>26690300</v>
      </c>
      <c r="AE23" t="s">
        <v>157</v>
      </c>
      <c r="AF23" t="s">
        <v>72</v>
      </c>
      <c r="AG23">
        <v>-334</v>
      </c>
      <c r="AH23" t="s">
        <v>117</v>
      </c>
      <c r="AI23" t="s">
        <v>74</v>
      </c>
      <c r="AJ23" t="s">
        <v>75</v>
      </c>
      <c r="AK23" t="s">
        <v>102</v>
      </c>
      <c r="AL23" t="s">
        <v>118</v>
      </c>
      <c r="AM23" t="s">
        <v>103</v>
      </c>
      <c r="AN23" t="s">
        <v>104</v>
      </c>
      <c r="AO23" t="s">
        <v>119</v>
      </c>
      <c r="AP23" t="e">
        <v>#N/A</v>
      </c>
      <c r="AQ23" t="s">
        <v>105</v>
      </c>
      <c r="AR23" t="str">
        <f t="shared" si="0"/>
        <v>60604323.STATEQ</v>
      </c>
      <c r="AS23">
        <f t="shared" si="1"/>
        <v>73860928.700000003</v>
      </c>
      <c r="AT23" t="s">
        <v>82</v>
      </c>
    </row>
    <row r="24" spans="1:46" x14ac:dyDescent="0.35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94</v>
      </c>
      <c r="G24" t="s">
        <v>110</v>
      </c>
      <c r="H24" t="s">
        <v>153</v>
      </c>
      <c r="I24" t="s">
        <v>158</v>
      </c>
      <c r="J24" t="s">
        <v>56</v>
      </c>
      <c r="K24" t="s">
        <v>62</v>
      </c>
      <c r="L24" t="s">
        <v>56</v>
      </c>
      <c r="M24" t="s">
        <v>56</v>
      </c>
      <c r="N24" t="s">
        <v>155</v>
      </c>
      <c r="O24" t="s">
        <v>96</v>
      </c>
      <c r="P24" t="s">
        <v>97</v>
      </c>
      <c r="Q24" t="s">
        <v>114</v>
      </c>
      <c r="R24" t="s">
        <v>98</v>
      </c>
      <c r="S24">
        <v>180000000</v>
      </c>
      <c r="T24">
        <v>-16254744.43</v>
      </c>
      <c r="U24" t="s">
        <v>68</v>
      </c>
      <c r="V24" t="s">
        <v>99</v>
      </c>
      <c r="W24" s="9">
        <v>60604323</v>
      </c>
      <c r="X24" t="s">
        <v>159</v>
      </c>
      <c r="Y24" s="1">
        <v>46052</v>
      </c>
      <c r="Z24" s="1">
        <v>46412</v>
      </c>
      <c r="AA24" s="2">
        <v>2451966.9</v>
      </c>
      <c r="AB24" s="2">
        <v>2077938.05</v>
      </c>
      <c r="AC24" s="2">
        <v>374028.85</v>
      </c>
      <c r="AD24" s="2">
        <v>2036379.29</v>
      </c>
      <c r="AE24" t="s">
        <v>160</v>
      </c>
      <c r="AF24" t="s">
        <v>72</v>
      </c>
      <c r="AG24">
        <v>-334</v>
      </c>
      <c r="AH24" t="s">
        <v>117</v>
      </c>
      <c r="AI24" t="s">
        <v>74</v>
      </c>
      <c r="AJ24" t="s">
        <v>75</v>
      </c>
      <c r="AK24" t="s">
        <v>102</v>
      </c>
      <c r="AL24" t="s">
        <v>118</v>
      </c>
      <c r="AM24" t="s">
        <v>103</v>
      </c>
      <c r="AN24" t="s">
        <v>104</v>
      </c>
      <c r="AO24" t="s">
        <v>119</v>
      </c>
      <c r="AP24" t="e">
        <v>#N/A</v>
      </c>
      <c r="AQ24" t="s">
        <v>105</v>
      </c>
      <c r="AR24" t="str">
        <f t="shared" si="0"/>
        <v>60604323.STATEQ</v>
      </c>
      <c r="AS24">
        <f t="shared" si="1"/>
        <v>73860928.700000003</v>
      </c>
      <c r="AT24" t="s">
        <v>82</v>
      </c>
    </row>
    <row r="25" spans="1:46" x14ac:dyDescent="0.35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94</v>
      </c>
      <c r="G25" t="s">
        <v>110</v>
      </c>
      <c r="H25" t="s">
        <v>153</v>
      </c>
      <c r="I25" t="s">
        <v>158</v>
      </c>
      <c r="J25" t="s">
        <v>56</v>
      </c>
      <c r="K25" t="s">
        <v>62</v>
      </c>
      <c r="L25" t="s">
        <v>56</v>
      </c>
      <c r="M25" t="s">
        <v>56</v>
      </c>
      <c r="N25" t="s">
        <v>155</v>
      </c>
      <c r="O25" t="s">
        <v>96</v>
      </c>
      <c r="P25" t="s">
        <v>97</v>
      </c>
      <c r="Q25" t="s">
        <v>114</v>
      </c>
      <c r="R25" t="s">
        <v>98</v>
      </c>
      <c r="S25">
        <v>180000000</v>
      </c>
      <c r="T25">
        <v>-16254744.43</v>
      </c>
      <c r="U25" t="s">
        <v>68</v>
      </c>
      <c r="V25" t="s">
        <v>99</v>
      </c>
      <c r="W25" s="9">
        <v>60604323</v>
      </c>
      <c r="X25" t="s">
        <v>161</v>
      </c>
      <c r="Y25" s="1">
        <v>46052</v>
      </c>
      <c r="Z25" s="1">
        <v>46412</v>
      </c>
      <c r="AA25" s="2">
        <v>2451966.9</v>
      </c>
      <c r="AB25" s="2">
        <v>2077938.05</v>
      </c>
      <c r="AC25" s="2">
        <v>374028.85</v>
      </c>
      <c r="AD25" s="2">
        <v>2036379.29</v>
      </c>
      <c r="AE25" t="s">
        <v>162</v>
      </c>
      <c r="AF25" t="s">
        <v>72</v>
      </c>
      <c r="AG25">
        <v>-334</v>
      </c>
      <c r="AH25" t="s">
        <v>117</v>
      </c>
      <c r="AI25" t="s">
        <v>74</v>
      </c>
      <c r="AJ25" t="s">
        <v>75</v>
      </c>
      <c r="AK25" t="s">
        <v>102</v>
      </c>
      <c r="AL25" t="s">
        <v>118</v>
      </c>
      <c r="AM25" t="s">
        <v>103</v>
      </c>
      <c r="AN25" t="s">
        <v>104</v>
      </c>
      <c r="AO25" t="s">
        <v>119</v>
      </c>
      <c r="AP25" t="e">
        <v>#N/A</v>
      </c>
      <c r="AQ25" t="s">
        <v>105</v>
      </c>
      <c r="AR25" t="str">
        <f t="shared" si="0"/>
        <v>60604323.STATEQ</v>
      </c>
      <c r="AS25">
        <f t="shared" si="1"/>
        <v>73860928.700000003</v>
      </c>
      <c r="AT25" t="s">
        <v>82</v>
      </c>
    </row>
    <row r="26" spans="1:46" x14ac:dyDescent="0.35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94</v>
      </c>
      <c r="G26" t="s">
        <v>110</v>
      </c>
      <c r="H26" t="s">
        <v>153</v>
      </c>
      <c r="I26" t="s">
        <v>154</v>
      </c>
      <c r="J26" t="s">
        <v>56</v>
      </c>
      <c r="K26" t="s">
        <v>62</v>
      </c>
      <c r="L26" t="s">
        <v>56</v>
      </c>
      <c r="M26" t="s">
        <v>56</v>
      </c>
      <c r="N26" t="s">
        <v>155</v>
      </c>
      <c r="O26" t="s">
        <v>96</v>
      </c>
      <c r="P26" t="s">
        <v>97</v>
      </c>
      <c r="Q26" t="s">
        <v>114</v>
      </c>
      <c r="R26" t="s">
        <v>98</v>
      </c>
      <c r="S26">
        <v>180000000</v>
      </c>
      <c r="T26">
        <v>-16254744.43</v>
      </c>
      <c r="U26" t="s">
        <v>68</v>
      </c>
      <c r="V26" t="s">
        <v>99</v>
      </c>
      <c r="W26" s="9">
        <v>60604323</v>
      </c>
      <c r="X26" t="s">
        <v>163</v>
      </c>
      <c r="Y26" s="1">
        <v>46052</v>
      </c>
      <c r="Z26" s="1">
        <v>46412</v>
      </c>
      <c r="AA26" s="2">
        <v>580560</v>
      </c>
      <c r="AB26" s="2">
        <v>492000</v>
      </c>
      <c r="AC26" s="2">
        <v>88560</v>
      </c>
      <c r="AD26" s="2">
        <v>482160</v>
      </c>
      <c r="AE26" t="s">
        <v>164</v>
      </c>
      <c r="AF26" t="s">
        <v>72</v>
      </c>
      <c r="AG26">
        <v>-334</v>
      </c>
      <c r="AH26" t="s">
        <v>117</v>
      </c>
      <c r="AI26" t="s">
        <v>74</v>
      </c>
      <c r="AJ26" t="s">
        <v>75</v>
      </c>
      <c r="AK26" t="s">
        <v>102</v>
      </c>
      <c r="AL26" t="s">
        <v>118</v>
      </c>
      <c r="AM26" t="s">
        <v>103</v>
      </c>
      <c r="AN26" t="s">
        <v>104</v>
      </c>
      <c r="AO26" t="s">
        <v>119</v>
      </c>
      <c r="AP26" t="e">
        <v>#N/A</v>
      </c>
      <c r="AQ26" t="s">
        <v>105</v>
      </c>
      <c r="AR26" t="str">
        <f t="shared" si="0"/>
        <v>60604323.STATEQ</v>
      </c>
      <c r="AS26">
        <f t="shared" si="1"/>
        <v>73860928.700000003</v>
      </c>
      <c r="AT26" t="s">
        <v>82</v>
      </c>
    </row>
    <row r="27" spans="1:46" x14ac:dyDescent="0.35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94</v>
      </c>
      <c r="G27" t="s">
        <v>110</v>
      </c>
      <c r="H27" t="s">
        <v>153</v>
      </c>
      <c r="I27" t="s">
        <v>158</v>
      </c>
      <c r="J27" t="s">
        <v>56</v>
      </c>
      <c r="K27" t="s">
        <v>62</v>
      </c>
      <c r="L27" t="s">
        <v>56</v>
      </c>
      <c r="M27" t="s">
        <v>56</v>
      </c>
      <c r="N27" t="s">
        <v>155</v>
      </c>
      <c r="O27" t="s">
        <v>96</v>
      </c>
      <c r="P27" t="s">
        <v>97</v>
      </c>
      <c r="Q27" t="s">
        <v>114</v>
      </c>
      <c r="R27" t="s">
        <v>98</v>
      </c>
      <c r="S27">
        <v>180000000</v>
      </c>
      <c r="T27">
        <v>-16254744.43</v>
      </c>
      <c r="U27" t="s">
        <v>68</v>
      </c>
      <c r="V27" t="s">
        <v>99</v>
      </c>
      <c r="W27" s="9">
        <v>60604323</v>
      </c>
      <c r="X27" t="s">
        <v>165</v>
      </c>
      <c r="Y27" s="1">
        <v>46052</v>
      </c>
      <c r="Z27" s="1">
        <v>46412</v>
      </c>
      <c r="AA27" s="2">
        <v>3106704</v>
      </c>
      <c r="AB27" s="2">
        <v>2632800</v>
      </c>
      <c r="AC27" s="2">
        <v>473904</v>
      </c>
      <c r="AD27" s="2">
        <v>2580144</v>
      </c>
      <c r="AE27" t="s">
        <v>166</v>
      </c>
      <c r="AF27" t="s">
        <v>72</v>
      </c>
      <c r="AG27">
        <v>-334</v>
      </c>
      <c r="AH27" t="s">
        <v>117</v>
      </c>
      <c r="AI27" t="s">
        <v>74</v>
      </c>
      <c r="AJ27" t="s">
        <v>75</v>
      </c>
      <c r="AK27" t="s">
        <v>102</v>
      </c>
      <c r="AL27" t="s">
        <v>118</v>
      </c>
      <c r="AM27" t="s">
        <v>103</v>
      </c>
      <c r="AN27" t="s">
        <v>104</v>
      </c>
      <c r="AO27" t="s">
        <v>119</v>
      </c>
      <c r="AP27" t="e">
        <v>#N/A</v>
      </c>
      <c r="AQ27" t="s">
        <v>105</v>
      </c>
      <c r="AR27" t="str">
        <f t="shared" si="0"/>
        <v>60604323.STATEQ</v>
      </c>
      <c r="AS27">
        <f t="shared" si="1"/>
        <v>73860928.700000003</v>
      </c>
      <c r="AT27" t="s">
        <v>82</v>
      </c>
    </row>
    <row r="28" spans="1:46" x14ac:dyDescent="0.35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94</v>
      </c>
      <c r="G28" t="s">
        <v>110</v>
      </c>
      <c r="H28" t="s">
        <v>153</v>
      </c>
      <c r="I28" t="s">
        <v>158</v>
      </c>
      <c r="J28" t="s">
        <v>56</v>
      </c>
      <c r="K28" t="s">
        <v>62</v>
      </c>
      <c r="L28" t="s">
        <v>56</v>
      </c>
      <c r="M28" t="s">
        <v>56</v>
      </c>
      <c r="N28" t="s">
        <v>155</v>
      </c>
      <c r="O28" t="s">
        <v>96</v>
      </c>
      <c r="P28" t="s">
        <v>97</v>
      </c>
      <c r="Q28" t="s">
        <v>114</v>
      </c>
      <c r="R28" t="s">
        <v>98</v>
      </c>
      <c r="S28">
        <v>180000000</v>
      </c>
      <c r="T28">
        <v>-16254744.43</v>
      </c>
      <c r="U28" t="s">
        <v>68</v>
      </c>
      <c r="V28" t="s">
        <v>99</v>
      </c>
      <c r="W28" s="9">
        <v>60604323</v>
      </c>
      <c r="X28" t="s">
        <v>167</v>
      </c>
      <c r="Y28" s="1">
        <v>46052</v>
      </c>
      <c r="Z28" s="1">
        <v>46412</v>
      </c>
      <c r="AA28" s="2">
        <v>2847812</v>
      </c>
      <c r="AB28" s="2">
        <v>2413400</v>
      </c>
      <c r="AC28" s="2">
        <v>434412</v>
      </c>
      <c r="AD28" s="2">
        <v>2365132</v>
      </c>
      <c r="AE28" t="s">
        <v>168</v>
      </c>
      <c r="AF28" t="s">
        <v>72</v>
      </c>
      <c r="AG28">
        <v>-334</v>
      </c>
      <c r="AH28" t="s">
        <v>117</v>
      </c>
      <c r="AI28" t="s">
        <v>74</v>
      </c>
      <c r="AJ28" t="s">
        <v>75</v>
      </c>
      <c r="AK28" t="s">
        <v>102</v>
      </c>
      <c r="AL28" t="s">
        <v>118</v>
      </c>
      <c r="AM28" t="s">
        <v>103</v>
      </c>
      <c r="AN28" t="s">
        <v>104</v>
      </c>
      <c r="AO28" t="s">
        <v>119</v>
      </c>
      <c r="AP28" t="e">
        <v>#N/A</v>
      </c>
      <c r="AQ28" t="s">
        <v>105</v>
      </c>
      <c r="AR28" t="str">
        <f t="shared" si="0"/>
        <v>60604323.STATEQ</v>
      </c>
      <c r="AS28">
        <f t="shared" si="1"/>
        <v>73860928.700000003</v>
      </c>
      <c r="AT28" t="s">
        <v>82</v>
      </c>
    </row>
    <row r="29" spans="1:46" x14ac:dyDescent="0.35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94</v>
      </c>
      <c r="G29" t="s">
        <v>110</v>
      </c>
      <c r="H29" t="s">
        <v>153</v>
      </c>
      <c r="I29" t="s">
        <v>158</v>
      </c>
      <c r="J29" t="s">
        <v>56</v>
      </c>
      <c r="K29" t="s">
        <v>62</v>
      </c>
      <c r="L29" t="s">
        <v>56</v>
      </c>
      <c r="M29" t="s">
        <v>56</v>
      </c>
      <c r="N29" t="s">
        <v>155</v>
      </c>
      <c r="O29" t="s">
        <v>96</v>
      </c>
      <c r="P29" t="s">
        <v>97</v>
      </c>
      <c r="Q29" t="s">
        <v>114</v>
      </c>
      <c r="R29" t="s">
        <v>98</v>
      </c>
      <c r="S29">
        <v>180000000</v>
      </c>
      <c r="T29">
        <v>-16254744.43</v>
      </c>
      <c r="U29" t="s">
        <v>68</v>
      </c>
      <c r="V29" t="s">
        <v>99</v>
      </c>
      <c r="W29" s="9">
        <v>60604323</v>
      </c>
      <c r="X29" t="s">
        <v>169</v>
      </c>
      <c r="Y29" s="1">
        <v>46052</v>
      </c>
      <c r="Z29" s="1">
        <v>46412</v>
      </c>
      <c r="AA29" s="2">
        <v>2330028</v>
      </c>
      <c r="AB29" s="2">
        <v>1974600</v>
      </c>
      <c r="AC29" s="2">
        <v>355428</v>
      </c>
      <c r="AD29" s="2">
        <v>1935108</v>
      </c>
      <c r="AE29" t="s">
        <v>170</v>
      </c>
      <c r="AF29" t="s">
        <v>72</v>
      </c>
      <c r="AG29">
        <v>-334</v>
      </c>
      <c r="AH29" t="s">
        <v>117</v>
      </c>
      <c r="AI29" t="s">
        <v>74</v>
      </c>
      <c r="AJ29" t="s">
        <v>75</v>
      </c>
      <c r="AK29" t="s">
        <v>102</v>
      </c>
      <c r="AL29" t="s">
        <v>118</v>
      </c>
      <c r="AM29" t="s">
        <v>103</v>
      </c>
      <c r="AN29" t="s">
        <v>104</v>
      </c>
      <c r="AO29" t="s">
        <v>119</v>
      </c>
      <c r="AP29" t="e">
        <v>#N/A</v>
      </c>
      <c r="AQ29" t="s">
        <v>105</v>
      </c>
      <c r="AR29" t="str">
        <f t="shared" si="0"/>
        <v>60604323.STATEQ</v>
      </c>
      <c r="AS29">
        <f t="shared" si="1"/>
        <v>73860928.700000003</v>
      </c>
      <c r="AT29" t="s">
        <v>82</v>
      </c>
    </row>
    <row r="30" spans="1:46" x14ac:dyDescent="0.35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94</v>
      </c>
      <c r="G30" t="s">
        <v>110</v>
      </c>
      <c r="H30" t="s">
        <v>153</v>
      </c>
      <c r="I30" t="s">
        <v>158</v>
      </c>
      <c r="J30" t="s">
        <v>56</v>
      </c>
      <c r="K30" t="s">
        <v>62</v>
      </c>
      <c r="L30" t="s">
        <v>56</v>
      </c>
      <c r="M30" t="s">
        <v>56</v>
      </c>
      <c r="N30" t="s">
        <v>155</v>
      </c>
      <c r="O30" t="s">
        <v>96</v>
      </c>
      <c r="P30" t="s">
        <v>97</v>
      </c>
      <c r="Q30" t="s">
        <v>114</v>
      </c>
      <c r="R30" t="s">
        <v>98</v>
      </c>
      <c r="S30">
        <v>180000000</v>
      </c>
      <c r="T30">
        <v>-16254744.43</v>
      </c>
      <c r="U30" t="s">
        <v>68</v>
      </c>
      <c r="V30" t="s">
        <v>99</v>
      </c>
      <c r="W30" s="9">
        <v>60604323</v>
      </c>
      <c r="X30" t="s">
        <v>171</v>
      </c>
      <c r="Y30" s="1">
        <v>46052</v>
      </c>
      <c r="Z30" s="1">
        <v>46412</v>
      </c>
      <c r="AA30" s="2">
        <v>4660056</v>
      </c>
      <c r="AB30" s="2">
        <v>3949200</v>
      </c>
      <c r="AC30" s="2">
        <v>710856</v>
      </c>
      <c r="AD30" s="2">
        <v>3870216</v>
      </c>
      <c r="AE30" t="s">
        <v>172</v>
      </c>
      <c r="AF30" t="s">
        <v>72</v>
      </c>
      <c r="AG30">
        <v>-334</v>
      </c>
      <c r="AH30" t="s">
        <v>117</v>
      </c>
      <c r="AI30" t="s">
        <v>74</v>
      </c>
      <c r="AJ30" t="s">
        <v>75</v>
      </c>
      <c r="AK30" t="s">
        <v>102</v>
      </c>
      <c r="AL30" t="s">
        <v>118</v>
      </c>
      <c r="AM30" t="s">
        <v>103</v>
      </c>
      <c r="AN30" t="s">
        <v>104</v>
      </c>
      <c r="AO30" t="s">
        <v>119</v>
      </c>
      <c r="AP30" t="e">
        <v>#N/A</v>
      </c>
      <c r="AQ30" t="s">
        <v>105</v>
      </c>
      <c r="AR30" t="str">
        <f t="shared" si="0"/>
        <v>60604323.STATEQ</v>
      </c>
      <c r="AS30">
        <f t="shared" si="1"/>
        <v>73860928.700000003</v>
      </c>
      <c r="AT30" t="s">
        <v>82</v>
      </c>
    </row>
    <row r="31" spans="1:46" x14ac:dyDescent="0.3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94</v>
      </c>
      <c r="G31" t="s">
        <v>110</v>
      </c>
      <c r="H31" t="s">
        <v>111</v>
      </c>
      <c r="I31" t="s">
        <v>173</v>
      </c>
      <c r="J31" t="s">
        <v>56</v>
      </c>
      <c r="K31" t="s">
        <v>62</v>
      </c>
      <c r="L31" t="s">
        <v>56</v>
      </c>
      <c r="M31" t="s">
        <v>56</v>
      </c>
      <c r="N31" t="s">
        <v>174</v>
      </c>
      <c r="O31" t="s">
        <v>96</v>
      </c>
      <c r="P31" t="s">
        <v>97</v>
      </c>
      <c r="Q31" t="s">
        <v>114</v>
      </c>
      <c r="R31" t="s">
        <v>98</v>
      </c>
      <c r="S31">
        <v>180000000</v>
      </c>
      <c r="T31">
        <v>-16254744.43</v>
      </c>
      <c r="U31" t="s">
        <v>68</v>
      </c>
      <c r="V31" t="s">
        <v>99</v>
      </c>
      <c r="W31" s="9">
        <v>60604323</v>
      </c>
      <c r="X31" t="s">
        <v>175</v>
      </c>
      <c r="Y31" s="1">
        <v>46058</v>
      </c>
      <c r="Z31" s="1">
        <v>46418</v>
      </c>
      <c r="AA31" s="2">
        <v>1180000</v>
      </c>
      <c r="AB31" s="2">
        <v>1000000</v>
      </c>
      <c r="AC31" s="2">
        <v>180000</v>
      </c>
      <c r="AD31" s="2">
        <v>1180000</v>
      </c>
      <c r="AE31" t="s">
        <v>176</v>
      </c>
      <c r="AF31" t="s">
        <v>72</v>
      </c>
      <c r="AG31">
        <v>-340</v>
      </c>
      <c r="AH31" t="s">
        <v>117</v>
      </c>
      <c r="AI31" t="s">
        <v>74</v>
      </c>
      <c r="AJ31" t="s">
        <v>127</v>
      </c>
      <c r="AK31" t="s">
        <v>128</v>
      </c>
      <c r="AL31" t="s">
        <v>118</v>
      </c>
      <c r="AM31" t="s">
        <v>103</v>
      </c>
      <c r="AN31" t="s">
        <v>104</v>
      </c>
      <c r="AO31" t="s">
        <v>119</v>
      </c>
      <c r="AP31" t="e">
        <v>#N/A</v>
      </c>
      <c r="AQ31" t="s">
        <v>129</v>
      </c>
      <c r="AR31" t="str">
        <f t="shared" si="0"/>
        <v>60604323.SPMINEQ</v>
      </c>
      <c r="AS31">
        <f t="shared" si="1"/>
        <v>103300521.72999999</v>
      </c>
      <c r="AT31" t="s">
        <v>82</v>
      </c>
    </row>
    <row r="32" spans="1:46" x14ac:dyDescent="0.35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94</v>
      </c>
      <c r="G32" t="s">
        <v>110</v>
      </c>
      <c r="H32" t="s">
        <v>111</v>
      </c>
      <c r="I32" t="s">
        <v>177</v>
      </c>
      <c r="J32" t="s">
        <v>56</v>
      </c>
      <c r="K32" t="s">
        <v>62</v>
      </c>
      <c r="L32" t="s">
        <v>56</v>
      </c>
      <c r="M32" t="s">
        <v>56</v>
      </c>
      <c r="N32" t="s">
        <v>174</v>
      </c>
      <c r="O32" t="s">
        <v>96</v>
      </c>
      <c r="P32" t="s">
        <v>97</v>
      </c>
      <c r="Q32" t="s">
        <v>114</v>
      </c>
      <c r="R32" t="s">
        <v>98</v>
      </c>
      <c r="S32">
        <v>180000000</v>
      </c>
      <c r="T32">
        <v>-16254744.43</v>
      </c>
      <c r="U32" t="s">
        <v>68</v>
      </c>
      <c r="V32" t="s">
        <v>99</v>
      </c>
      <c r="W32" s="9">
        <v>60604323</v>
      </c>
      <c r="X32" t="s">
        <v>178</v>
      </c>
      <c r="Y32" s="1">
        <v>46058</v>
      </c>
      <c r="Z32" s="1">
        <v>46418</v>
      </c>
      <c r="AA32" s="2">
        <v>1168316.83</v>
      </c>
      <c r="AB32" s="2">
        <v>990099.01</v>
      </c>
      <c r="AC32" s="2">
        <v>178217.82</v>
      </c>
      <c r="AD32" s="2">
        <v>1168316.83</v>
      </c>
      <c r="AE32" t="s">
        <v>179</v>
      </c>
      <c r="AF32" t="s">
        <v>72</v>
      </c>
      <c r="AG32">
        <v>-340</v>
      </c>
      <c r="AH32" t="s">
        <v>117</v>
      </c>
      <c r="AI32" t="s">
        <v>74</v>
      </c>
      <c r="AJ32" t="s">
        <v>127</v>
      </c>
      <c r="AK32" t="s">
        <v>128</v>
      </c>
      <c r="AL32" t="s">
        <v>118</v>
      </c>
      <c r="AM32" t="s">
        <v>103</v>
      </c>
      <c r="AN32" t="s">
        <v>104</v>
      </c>
      <c r="AO32" t="s">
        <v>119</v>
      </c>
      <c r="AP32" t="e">
        <v>#N/A</v>
      </c>
      <c r="AQ32" t="s">
        <v>129</v>
      </c>
      <c r="AR32" t="str">
        <f t="shared" si="0"/>
        <v>60604323.SPMINEQ</v>
      </c>
      <c r="AS32">
        <f t="shared" si="1"/>
        <v>103300521.72999999</v>
      </c>
      <c r="AT32" t="s">
        <v>82</v>
      </c>
    </row>
    <row r="33" spans="1:46" x14ac:dyDescent="0.35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94</v>
      </c>
      <c r="G33" t="s">
        <v>110</v>
      </c>
      <c r="H33" t="s">
        <v>111</v>
      </c>
      <c r="I33" t="s">
        <v>177</v>
      </c>
      <c r="J33" t="s">
        <v>56</v>
      </c>
      <c r="K33" t="s">
        <v>62</v>
      </c>
      <c r="L33" t="s">
        <v>56</v>
      </c>
      <c r="M33" t="s">
        <v>56</v>
      </c>
      <c r="N33" t="s">
        <v>56</v>
      </c>
      <c r="O33" t="s">
        <v>96</v>
      </c>
      <c r="P33" t="s">
        <v>97</v>
      </c>
      <c r="Q33" t="s">
        <v>114</v>
      </c>
      <c r="R33" t="s">
        <v>98</v>
      </c>
      <c r="S33">
        <v>180000000</v>
      </c>
      <c r="T33">
        <v>-16254744.43</v>
      </c>
      <c r="U33" t="s">
        <v>68</v>
      </c>
      <c r="V33" t="s">
        <v>99</v>
      </c>
      <c r="W33" s="9">
        <v>60604323</v>
      </c>
      <c r="X33" t="s">
        <v>178</v>
      </c>
      <c r="Y33" s="1">
        <v>46058</v>
      </c>
      <c r="Z33" s="1">
        <v>46418</v>
      </c>
      <c r="AA33" s="2">
        <v>11683.17</v>
      </c>
      <c r="AB33" s="2">
        <v>9900.99</v>
      </c>
      <c r="AC33" s="2">
        <v>1782.18</v>
      </c>
      <c r="AD33" s="2">
        <v>11683.17</v>
      </c>
      <c r="AE33" t="s">
        <v>178</v>
      </c>
      <c r="AF33" t="s">
        <v>72</v>
      </c>
      <c r="AG33">
        <v>-340</v>
      </c>
      <c r="AH33" t="s">
        <v>117</v>
      </c>
      <c r="AI33" t="s">
        <v>74</v>
      </c>
      <c r="AJ33" t="s">
        <v>75</v>
      </c>
      <c r="AK33" t="s">
        <v>102</v>
      </c>
      <c r="AL33" t="s">
        <v>118</v>
      </c>
      <c r="AM33" t="s">
        <v>103</v>
      </c>
      <c r="AN33" t="s">
        <v>104</v>
      </c>
      <c r="AO33" t="s">
        <v>119</v>
      </c>
      <c r="AP33" t="e">
        <v>#N/A</v>
      </c>
      <c r="AQ33" t="s">
        <v>105</v>
      </c>
      <c r="AR33" t="str">
        <f t="shared" si="0"/>
        <v>60604323.STATEQ</v>
      </c>
      <c r="AS33">
        <f t="shared" si="1"/>
        <v>73860928.700000003</v>
      </c>
      <c r="AT33" t="s">
        <v>82</v>
      </c>
    </row>
    <row r="34" spans="1:46" x14ac:dyDescent="0.35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94</v>
      </c>
      <c r="G34" t="s">
        <v>110</v>
      </c>
      <c r="H34" t="s">
        <v>153</v>
      </c>
      <c r="I34" t="s">
        <v>158</v>
      </c>
      <c r="J34" t="s">
        <v>56</v>
      </c>
      <c r="K34" t="s">
        <v>62</v>
      </c>
      <c r="L34" t="s">
        <v>56</v>
      </c>
      <c r="M34" t="s">
        <v>56</v>
      </c>
      <c r="N34" t="s">
        <v>155</v>
      </c>
      <c r="O34" t="s">
        <v>96</v>
      </c>
      <c r="P34" t="s">
        <v>97</v>
      </c>
      <c r="Q34" t="s">
        <v>114</v>
      </c>
      <c r="R34" t="s">
        <v>98</v>
      </c>
      <c r="S34">
        <v>180000000</v>
      </c>
      <c r="T34">
        <v>-16254744.43</v>
      </c>
      <c r="U34" t="s">
        <v>68</v>
      </c>
      <c r="V34" t="s">
        <v>99</v>
      </c>
      <c r="W34" s="9">
        <v>60604323</v>
      </c>
      <c r="X34" t="s">
        <v>180</v>
      </c>
      <c r="Y34" s="1">
        <v>46060</v>
      </c>
      <c r="Z34" s="1">
        <v>46420</v>
      </c>
      <c r="AA34" s="2">
        <v>1574714.13</v>
      </c>
      <c r="AB34" s="2">
        <v>1334503.5</v>
      </c>
      <c r="AC34" s="2">
        <v>240210.63</v>
      </c>
      <c r="AD34" s="2">
        <v>1574714.13</v>
      </c>
      <c r="AE34" t="s">
        <v>181</v>
      </c>
      <c r="AF34" t="s">
        <v>72</v>
      </c>
      <c r="AG34">
        <v>-342</v>
      </c>
      <c r="AH34" t="s">
        <v>117</v>
      </c>
      <c r="AI34" t="s">
        <v>74</v>
      </c>
      <c r="AJ34" t="s">
        <v>75</v>
      </c>
      <c r="AK34" t="s">
        <v>102</v>
      </c>
      <c r="AL34" t="s">
        <v>118</v>
      </c>
      <c r="AM34" t="s">
        <v>103</v>
      </c>
      <c r="AN34" t="s">
        <v>104</v>
      </c>
      <c r="AO34" t="s">
        <v>119</v>
      </c>
      <c r="AP34" t="e">
        <v>#N/A</v>
      </c>
      <c r="AQ34" t="s">
        <v>105</v>
      </c>
      <c r="AR34" t="str">
        <f t="shared" si="0"/>
        <v>60604323.STATEQ</v>
      </c>
      <c r="AS34">
        <f t="shared" si="1"/>
        <v>73860928.700000003</v>
      </c>
      <c r="AT34" t="s">
        <v>82</v>
      </c>
    </row>
    <row r="35" spans="1:46" x14ac:dyDescent="0.35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94</v>
      </c>
      <c r="G35" t="s">
        <v>110</v>
      </c>
      <c r="H35" t="s">
        <v>153</v>
      </c>
      <c r="I35" t="s">
        <v>158</v>
      </c>
      <c r="J35" t="s">
        <v>56</v>
      </c>
      <c r="K35" t="s">
        <v>62</v>
      </c>
      <c r="L35" t="s">
        <v>56</v>
      </c>
      <c r="M35" t="s">
        <v>56</v>
      </c>
      <c r="N35" t="s">
        <v>155</v>
      </c>
      <c r="O35" t="s">
        <v>96</v>
      </c>
      <c r="P35" t="s">
        <v>97</v>
      </c>
      <c r="Q35" t="s">
        <v>114</v>
      </c>
      <c r="R35" t="s">
        <v>98</v>
      </c>
      <c r="S35">
        <v>180000000</v>
      </c>
      <c r="T35">
        <v>-16254744.43</v>
      </c>
      <c r="U35" t="s">
        <v>68</v>
      </c>
      <c r="V35" t="s">
        <v>99</v>
      </c>
      <c r="W35" s="9">
        <v>60604323</v>
      </c>
      <c r="X35" t="s">
        <v>182</v>
      </c>
      <c r="Y35" s="1">
        <v>46063</v>
      </c>
      <c r="Z35" s="1">
        <v>46423</v>
      </c>
      <c r="AA35" s="2">
        <v>3802095.7</v>
      </c>
      <c r="AB35" s="2">
        <v>3222115</v>
      </c>
      <c r="AC35" s="2">
        <v>579980.69999999995</v>
      </c>
      <c r="AD35" s="2">
        <v>3802095.7</v>
      </c>
      <c r="AE35" t="s">
        <v>183</v>
      </c>
      <c r="AF35" t="s">
        <v>72</v>
      </c>
      <c r="AG35">
        <v>-345</v>
      </c>
      <c r="AH35" t="s">
        <v>117</v>
      </c>
      <c r="AI35" t="s">
        <v>74</v>
      </c>
      <c r="AJ35" t="s">
        <v>75</v>
      </c>
      <c r="AK35" t="s">
        <v>102</v>
      </c>
      <c r="AL35" t="s">
        <v>118</v>
      </c>
      <c r="AM35" t="s">
        <v>103</v>
      </c>
      <c r="AN35" t="s">
        <v>104</v>
      </c>
      <c r="AO35" t="s">
        <v>119</v>
      </c>
      <c r="AP35" t="e">
        <v>#N/A</v>
      </c>
      <c r="AQ35" t="s">
        <v>105</v>
      </c>
      <c r="AR35" t="str">
        <f t="shared" si="0"/>
        <v>60604323.STATEQ</v>
      </c>
      <c r="AS35">
        <f t="shared" si="1"/>
        <v>73860928.700000003</v>
      </c>
      <c r="AT35" t="s">
        <v>82</v>
      </c>
    </row>
    <row r="36" spans="1:46" x14ac:dyDescent="0.35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94</v>
      </c>
      <c r="G36" t="s">
        <v>110</v>
      </c>
      <c r="H36" t="s">
        <v>111</v>
      </c>
      <c r="I36" t="s">
        <v>184</v>
      </c>
      <c r="J36" t="s">
        <v>56</v>
      </c>
      <c r="K36" t="s">
        <v>62</v>
      </c>
      <c r="L36" t="s">
        <v>56</v>
      </c>
      <c r="M36" t="s">
        <v>56</v>
      </c>
      <c r="N36" t="s">
        <v>124</v>
      </c>
      <c r="O36" t="s">
        <v>96</v>
      </c>
      <c r="P36" t="s">
        <v>97</v>
      </c>
      <c r="Q36" t="s">
        <v>114</v>
      </c>
      <c r="R36" t="s">
        <v>98</v>
      </c>
      <c r="S36">
        <v>180000000</v>
      </c>
      <c r="T36">
        <v>-16254744.43</v>
      </c>
      <c r="U36" t="s">
        <v>68</v>
      </c>
      <c r="V36" t="s">
        <v>99</v>
      </c>
      <c r="W36" s="9">
        <v>60604323</v>
      </c>
      <c r="X36" t="s">
        <v>185</v>
      </c>
      <c r="Y36" s="1">
        <v>46063</v>
      </c>
      <c r="Z36" s="1">
        <v>46423</v>
      </c>
      <c r="AA36" s="2">
        <v>6254000</v>
      </c>
      <c r="AB36" s="2">
        <v>5300000</v>
      </c>
      <c r="AC36" s="2">
        <v>954000</v>
      </c>
      <c r="AD36" s="2">
        <v>6254000</v>
      </c>
      <c r="AE36" t="s">
        <v>186</v>
      </c>
      <c r="AF36" t="s">
        <v>72</v>
      </c>
      <c r="AG36">
        <v>-345</v>
      </c>
      <c r="AH36" t="s">
        <v>117</v>
      </c>
      <c r="AI36" t="s">
        <v>74</v>
      </c>
      <c r="AJ36" t="s">
        <v>127</v>
      </c>
      <c r="AK36" t="s">
        <v>128</v>
      </c>
      <c r="AL36" t="s">
        <v>118</v>
      </c>
      <c r="AM36" t="s">
        <v>103</v>
      </c>
      <c r="AN36" t="s">
        <v>104</v>
      </c>
      <c r="AO36" t="s">
        <v>119</v>
      </c>
      <c r="AP36" t="e">
        <v>#N/A</v>
      </c>
      <c r="AQ36" t="s">
        <v>129</v>
      </c>
      <c r="AR36" t="str">
        <f t="shared" si="0"/>
        <v>60604323.SPMINEQ</v>
      </c>
      <c r="AS36">
        <f t="shared" si="1"/>
        <v>103300521.72999999</v>
      </c>
      <c r="AT36" t="s">
        <v>82</v>
      </c>
    </row>
    <row r="37" spans="1:46" x14ac:dyDescent="0.35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94</v>
      </c>
      <c r="G37" t="s">
        <v>110</v>
      </c>
      <c r="H37" t="s">
        <v>111</v>
      </c>
      <c r="I37" t="s">
        <v>187</v>
      </c>
      <c r="J37" t="s">
        <v>56</v>
      </c>
      <c r="K37" t="s">
        <v>62</v>
      </c>
      <c r="L37" t="s">
        <v>56</v>
      </c>
      <c r="M37" t="s">
        <v>56</v>
      </c>
      <c r="N37" t="s">
        <v>124</v>
      </c>
      <c r="O37" t="s">
        <v>96</v>
      </c>
      <c r="P37" t="s">
        <v>97</v>
      </c>
      <c r="Q37" t="s">
        <v>114</v>
      </c>
      <c r="R37" t="s">
        <v>98</v>
      </c>
      <c r="S37">
        <v>180000000</v>
      </c>
      <c r="T37">
        <v>-16254744.43</v>
      </c>
      <c r="U37" t="s">
        <v>68</v>
      </c>
      <c r="V37" t="s">
        <v>99</v>
      </c>
      <c r="W37" s="9">
        <v>60604323</v>
      </c>
      <c r="X37" t="s">
        <v>188</v>
      </c>
      <c r="Y37" s="1">
        <v>46063</v>
      </c>
      <c r="Z37" s="1">
        <v>46423</v>
      </c>
      <c r="AA37" s="2">
        <v>6254000</v>
      </c>
      <c r="AB37" s="2">
        <v>5300000</v>
      </c>
      <c r="AC37" s="2">
        <v>954000</v>
      </c>
      <c r="AD37" s="2">
        <v>6254000</v>
      </c>
      <c r="AE37" t="s">
        <v>189</v>
      </c>
      <c r="AF37" t="s">
        <v>72</v>
      </c>
      <c r="AG37">
        <v>-345</v>
      </c>
      <c r="AH37" t="s">
        <v>117</v>
      </c>
      <c r="AI37" t="s">
        <v>74</v>
      </c>
      <c r="AJ37" t="s">
        <v>127</v>
      </c>
      <c r="AK37" t="s">
        <v>128</v>
      </c>
      <c r="AL37" t="s">
        <v>118</v>
      </c>
      <c r="AM37" t="s">
        <v>103</v>
      </c>
      <c r="AN37" t="s">
        <v>104</v>
      </c>
      <c r="AO37" t="s">
        <v>119</v>
      </c>
      <c r="AP37" t="e">
        <v>#N/A</v>
      </c>
      <c r="AQ37" t="s">
        <v>129</v>
      </c>
      <c r="AR37" t="str">
        <f t="shared" si="0"/>
        <v>60604323.SPMINEQ</v>
      </c>
      <c r="AS37">
        <f t="shared" si="1"/>
        <v>103300521.72999999</v>
      </c>
      <c r="AT37" t="s">
        <v>82</v>
      </c>
    </row>
    <row r="38" spans="1:46" x14ac:dyDescent="0.35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94</v>
      </c>
      <c r="G38" t="s">
        <v>110</v>
      </c>
      <c r="H38" t="s">
        <v>111</v>
      </c>
      <c r="I38" t="s">
        <v>190</v>
      </c>
      <c r="J38" t="s">
        <v>56</v>
      </c>
      <c r="K38" t="s">
        <v>62</v>
      </c>
      <c r="L38" t="s">
        <v>56</v>
      </c>
      <c r="M38" t="s">
        <v>56</v>
      </c>
      <c r="N38" t="s">
        <v>124</v>
      </c>
      <c r="O38" t="s">
        <v>96</v>
      </c>
      <c r="P38" t="s">
        <v>97</v>
      </c>
      <c r="Q38" t="s">
        <v>114</v>
      </c>
      <c r="R38" t="s">
        <v>98</v>
      </c>
      <c r="S38">
        <v>180000000</v>
      </c>
      <c r="T38">
        <v>-16254744.43</v>
      </c>
      <c r="U38" t="s">
        <v>68</v>
      </c>
      <c r="V38" t="s">
        <v>99</v>
      </c>
      <c r="W38" s="9">
        <v>60604323</v>
      </c>
      <c r="X38" t="s">
        <v>191</v>
      </c>
      <c r="Y38" s="1">
        <v>46063</v>
      </c>
      <c r="Z38" s="1">
        <v>46423</v>
      </c>
      <c r="AA38" s="2">
        <v>4768490.93</v>
      </c>
      <c r="AB38" s="2">
        <v>4041094.01</v>
      </c>
      <c r="AC38" s="2">
        <v>727396.92</v>
      </c>
      <c r="AD38" s="2">
        <v>4768490.93</v>
      </c>
      <c r="AE38" t="s">
        <v>192</v>
      </c>
      <c r="AF38" t="s">
        <v>72</v>
      </c>
      <c r="AG38">
        <v>-345</v>
      </c>
      <c r="AH38" t="s">
        <v>117</v>
      </c>
      <c r="AI38" t="s">
        <v>74</v>
      </c>
      <c r="AJ38" t="s">
        <v>127</v>
      </c>
      <c r="AK38" t="s">
        <v>128</v>
      </c>
      <c r="AL38" t="s">
        <v>118</v>
      </c>
      <c r="AM38" t="s">
        <v>103</v>
      </c>
      <c r="AN38" t="s">
        <v>104</v>
      </c>
      <c r="AO38" t="s">
        <v>119</v>
      </c>
      <c r="AP38" t="e">
        <v>#N/A</v>
      </c>
      <c r="AQ38" t="s">
        <v>129</v>
      </c>
      <c r="AR38" t="str">
        <f t="shared" si="0"/>
        <v>60604323.SPMINEQ</v>
      </c>
      <c r="AS38">
        <f t="shared" si="1"/>
        <v>103300521.72999999</v>
      </c>
      <c r="AT38" t="s">
        <v>82</v>
      </c>
    </row>
    <row r="39" spans="1:46" x14ac:dyDescent="0.35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94</v>
      </c>
      <c r="G39" t="s">
        <v>110</v>
      </c>
      <c r="H39" t="s">
        <v>111</v>
      </c>
      <c r="I39" t="s">
        <v>190</v>
      </c>
      <c r="J39" t="s">
        <v>56</v>
      </c>
      <c r="K39" t="s">
        <v>62</v>
      </c>
      <c r="L39" t="s">
        <v>56</v>
      </c>
      <c r="M39" t="s">
        <v>56</v>
      </c>
      <c r="N39" t="s">
        <v>174</v>
      </c>
      <c r="O39" t="s">
        <v>96</v>
      </c>
      <c r="P39" t="s">
        <v>97</v>
      </c>
      <c r="Q39" t="s">
        <v>114</v>
      </c>
      <c r="R39" t="s">
        <v>98</v>
      </c>
      <c r="S39">
        <v>180000000</v>
      </c>
      <c r="T39">
        <v>-16254744.43</v>
      </c>
      <c r="U39" t="s">
        <v>68</v>
      </c>
      <c r="V39" t="s">
        <v>99</v>
      </c>
      <c r="W39" s="9">
        <v>60604323</v>
      </c>
      <c r="X39" t="s">
        <v>191</v>
      </c>
      <c r="Y39" s="1">
        <v>46063</v>
      </c>
      <c r="Z39" s="1">
        <v>46423</v>
      </c>
      <c r="AA39" s="2">
        <v>9568509.0700000003</v>
      </c>
      <c r="AB39" s="2">
        <v>8108905.9900000002</v>
      </c>
      <c r="AC39" s="2">
        <v>1459603.08</v>
      </c>
      <c r="AD39" s="2">
        <v>9568509.0700000003</v>
      </c>
      <c r="AE39" t="s">
        <v>193</v>
      </c>
      <c r="AF39" t="s">
        <v>72</v>
      </c>
      <c r="AG39">
        <v>-345</v>
      </c>
      <c r="AH39" t="s">
        <v>117</v>
      </c>
      <c r="AI39" t="s">
        <v>74</v>
      </c>
      <c r="AJ39" t="s">
        <v>127</v>
      </c>
      <c r="AK39" t="s">
        <v>128</v>
      </c>
      <c r="AL39" t="s">
        <v>118</v>
      </c>
      <c r="AM39" t="s">
        <v>103</v>
      </c>
      <c r="AN39" t="s">
        <v>104</v>
      </c>
      <c r="AO39" t="s">
        <v>119</v>
      </c>
      <c r="AP39" t="e">
        <v>#N/A</v>
      </c>
      <c r="AQ39" t="s">
        <v>129</v>
      </c>
      <c r="AR39" t="str">
        <f t="shared" si="0"/>
        <v>60604323.SPMINEQ</v>
      </c>
      <c r="AS39">
        <f t="shared" si="1"/>
        <v>103300521.72999999</v>
      </c>
      <c r="AT39" t="s">
        <v>82</v>
      </c>
    </row>
    <row r="40" spans="1:46" x14ac:dyDescent="0.35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94</v>
      </c>
      <c r="G40" t="s">
        <v>110</v>
      </c>
      <c r="H40" t="s">
        <v>111</v>
      </c>
      <c r="I40" t="s">
        <v>194</v>
      </c>
      <c r="J40" t="s">
        <v>56</v>
      </c>
      <c r="K40" t="s">
        <v>62</v>
      </c>
      <c r="L40" t="s">
        <v>56</v>
      </c>
      <c r="M40" t="s">
        <v>56</v>
      </c>
      <c r="N40" t="s">
        <v>174</v>
      </c>
      <c r="O40" t="s">
        <v>96</v>
      </c>
      <c r="P40" t="s">
        <v>97</v>
      </c>
      <c r="Q40" t="s">
        <v>114</v>
      </c>
      <c r="R40" t="s">
        <v>98</v>
      </c>
      <c r="S40">
        <v>180000000</v>
      </c>
      <c r="T40">
        <v>-16254744.43</v>
      </c>
      <c r="U40" t="s">
        <v>68</v>
      </c>
      <c r="V40" t="s">
        <v>99</v>
      </c>
      <c r="W40" s="9">
        <v>60604323</v>
      </c>
      <c r="X40" t="s">
        <v>195</v>
      </c>
      <c r="Y40" s="1">
        <v>46063</v>
      </c>
      <c r="Z40" s="1">
        <v>46423</v>
      </c>
      <c r="AA40" s="2">
        <v>9564573.5899999999</v>
      </c>
      <c r="AB40" s="2">
        <v>8105570.8399999999</v>
      </c>
      <c r="AC40" s="2">
        <v>1459002.75</v>
      </c>
      <c r="AD40" s="2">
        <v>9564573.5899999999</v>
      </c>
      <c r="AE40" t="s">
        <v>196</v>
      </c>
      <c r="AF40" t="s">
        <v>72</v>
      </c>
      <c r="AG40">
        <v>-345</v>
      </c>
      <c r="AH40" t="s">
        <v>117</v>
      </c>
      <c r="AI40" t="s">
        <v>74</v>
      </c>
      <c r="AJ40" t="s">
        <v>127</v>
      </c>
      <c r="AK40" t="s">
        <v>128</v>
      </c>
      <c r="AL40" t="s">
        <v>118</v>
      </c>
      <c r="AM40" t="s">
        <v>103</v>
      </c>
      <c r="AN40" t="s">
        <v>104</v>
      </c>
      <c r="AO40" t="s">
        <v>119</v>
      </c>
      <c r="AP40" t="e">
        <v>#N/A</v>
      </c>
      <c r="AQ40" t="s">
        <v>129</v>
      </c>
      <c r="AR40" t="str">
        <f t="shared" si="0"/>
        <v>60604323.SPMINEQ</v>
      </c>
      <c r="AS40">
        <f t="shared" si="1"/>
        <v>103300521.72999999</v>
      </c>
      <c r="AT40" t="s">
        <v>82</v>
      </c>
    </row>
    <row r="41" spans="1:46" x14ac:dyDescent="0.35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94</v>
      </c>
      <c r="G41" t="s">
        <v>110</v>
      </c>
      <c r="H41" t="s">
        <v>111</v>
      </c>
      <c r="I41" t="s">
        <v>194</v>
      </c>
      <c r="J41" t="s">
        <v>56</v>
      </c>
      <c r="K41" t="s">
        <v>62</v>
      </c>
      <c r="L41" t="s">
        <v>56</v>
      </c>
      <c r="M41" t="s">
        <v>56</v>
      </c>
      <c r="N41" t="s">
        <v>124</v>
      </c>
      <c r="O41" t="s">
        <v>96</v>
      </c>
      <c r="P41" t="s">
        <v>97</v>
      </c>
      <c r="Q41" t="s">
        <v>114</v>
      </c>
      <c r="R41" t="s">
        <v>98</v>
      </c>
      <c r="S41">
        <v>180000000</v>
      </c>
      <c r="T41">
        <v>-16254744.43</v>
      </c>
      <c r="U41" t="s">
        <v>68</v>
      </c>
      <c r="V41" t="s">
        <v>99</v>
      </c>
      <c r="W41" s="9">
        <v>60604323</v>
      </c>
      <c r="X41" t="s">
        <v>195</v>
      </c>
      <c r="Y41" s="1">
        <v>46063</v>
      </c>
      <c r="Z41" s="1">
        <v>46423</v>
      </c>
      <c r="AA41" s="2">
        <v>4772426.41</v>
      </c>
      <c r="AB41" s="2">
        <v>4044429.16</v>
      </c>
      <c r="AC41" s="2">
        <v>727997.25</v>
      </c>
      <c r="AD41" s="2">
        <v>4772426.41</v>
      </c>
      <c r="AE41" t="s">
        <v>197</v>
      </c>
      <c r="AF41" t="s">
        <v>72</v>
      </c>
      <c r="AG41">
        <v>-345</v>
      </c>
      <c r="AH41" t="s">
        <v>117</v>
      </c>
      <c r="AI41" t="s">
        <v>74</v>
      </c>
      <c r="AJ41" t="s">
        <v>127</v>
      </c>
      <c r="AK41" t="s">
        <v>128</v>
      </c>
      <c r="AL41" t="s">
        <v>118</v>
      </c>
      <c r="AM41" t="s">
        <v>103</v>
      </c>
      <c r="AN41" t="s">
        <v>104</v>
      </c>
      <c r="AO41" t="s">
        <v>119</v>
      </c>
      <c r="AP41" t="e">
        <v>#N/A</v>
      </c>
      <c r="AQ41" t="s">
        <v>129</v>
      </c>
      <c r="AR41" t="str">
        <f t="shared" si="0"/>
        <v>60604323.SPMINEQ</v>
      </c>
      <c r="AS41">
        <f t="shared" si="1"/>
        <v>103300521.72999999</v>
      </c>
      <c r="AT41" t="s">
        <v>82</v>
      </c>
    </row>
    <row r="42" spans="1:46" x14ac:dyDescent="0.35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94</v>
      </c>
      <c r="G42" t="s">
        <v>110</v>
      </c>
      <c r="H42" t="s">
        <v>153</v>
      </c>
      <c r="I42" t="s">
        <v>158</v>
      </c>
      <c r="J42" t="s">
        <v>56</v>
      </c>
      <c r="K42" t="s">
        <v>62</v>
      </c>
      <c r="L42" t="s">
        <v>56</v>
      </c>
      <c r="M42" t="s">
        <v>56</v>
      </c>
      <c r="N42" t="s">
        <v>155</v>
      </c>
      <c r="O42" t="s">
        <v>96</v>
      </c>
      <c r="P42" t="s">
        <v>97</v>
      </c>
      <c r="Q42" t="s">
        <v>114</v>
      </c>
      <c r="R42" t="s">
        <v>98</v>
      </c>
      <c r="S42">
        <v>180000000</v>
      </c>
      <c r="T42">
        <v>-16254744.43</v>
      </c>
      <c r="U42" t="s">
        <v>68</v>
      </c>
      <c r="V42" t="s">
        <v>99</v>
      </c>
      <c r="W42" s="9">
        <v>60604323</v>
      </c>
      <c r="X42" t="s">
        <v>198</v>
      </c>
      <c r="Y42" s="1">
        <v>46068</v>
      </c>
      <c r="Z42" s="1">
        <v>46428</v>
      </c>
      <c r="AA42" s="2">
        <v>2133912</v>
      </c>
      <c r="AB42" s="2">
        <v>1808400</v>
      </c>
      <c r="AC42" s="2">
        <v>325512</v>
      </c>
      <c r="AD42" s="2">
        <v>2133912</v>
      </c>
      <c r="AE42" t="s">
        <v>199</v>
      </c>
      <c r="AF42" t="s">
        <v>72</v>
      </c>
      <c r="AG42">
        <v>-350</v>
      </c>
      <c r="AH42" t="s">
        <v>117</v>
      </c>
      <c r="AI42" t="s">
        <v>74</v>
      </c>
      <c r="AJ42" t="s">
        <v>75</v>
      </c>
      <c r="AK42" t="s">
        <v>102</v>
      </c>
      <c r="AL42" t="s">
        <v>118</v>
      </c>
      <c r="AM42" t="s">
        <v>103</v>
      </c>
      <c r="AN42" t="s">
        <v>104</v>
      </c>
      <c r="AO42" t="s">
        <v>119</v>
      </c>
      <c r="AP42" t="e">
        <v>#N/A</v>
      </c>
      <c r="AQ42" t="s">
        <v>105</v>
      </c>
      <c r="AR42" t="str">
        <f t="shared" si="0"/>
        <v>60604323.STATEQ</v>
      </c>
      <c r="AS42">
        <f t="shared" si="1"/>
        <v>73860928.700000003</v>
      </c>
      <c r="AT42" t="s">
        <v>82</v>
      </c>
    </row>
    <row r="43" spans="1:46" x14ac:dyDescent="0.35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94</v>
      </c>
      <c r="G43" t="s">
        <v>110</v>
      </c>
      <c r="H43" t="s">
        <v>153</v>
      </c>
      <c r="I43" t="s">
        <v>158</v>
      </c>
      <c r="J43" t="s">
        <v>56</v>
      </c>
      <c r="K43" t="s">
        <v>62</v>
      </c>
      <c r="L43" t="s">
        <v>56</v>
      </c>
      <c r="M43" t="s">
        <v>56</v>
      </c>
      <c r="N43" t="s">
        <v>155</v>
      </c>
      <c r="O43" t="s">
        <v>96</v>
      </c>
      <c r="P43" t="s">
        <v>97</v>
      </c>
      <c r="Q43" t="s">
        <v>114</v>
      </c>
      <c r="R43" t="s">
        <v>98</v>
      </c>
      <c r="S43">
        <v>180000000</v>
      </c>
      <c r="T43">
        <v>-16254744.43</v>
      </c>
      <c r="U43" t="s">
        <v>68</v>
      </c>
      <c r="V43" t="s">
        <v>99</v>
      </c>
      <c r="W43" s="9">
        <v>60604323</v>
      </c>
      <c r="X43" t="s">
        <v>200</v>
      </c>
      <c r="Y43" s="1">
        <v>46068</v>
      </c>
      <c r="Z43" s="1">
        <v>46428</v>
      </c>
      <c r="AA43" s="2">
        <v>2546676</v>
      </c>
      <c r="AB43" s="2">
        <v>2158200</v>
      </c>
      <c r="AC43" s="2">
        <v>388476</v>
      </c>
      <c r="AD43" s="2">
        <v>2546676</v>
      </c>
      <c r="AE43" t="s">
        <v>201</v>
      </c>
      <c r="AF43" t="s">
        <v>72</v>
      </c>
      <c r="AG43">
        <v>-350</v>
      </c>
      <c r="AH43" t="s">
        <v>117</v>
      </c>
      <c r="AI43" t="s">
        <v>74</v>
      </c>
      <c r="AJ43" t="s">
        <v>75</v>
      </c>
      <c r="AK43" t="s">
        <v>102</v>
      </c>
      <c r="AL43" t="s">
        <v>118</v>
      </c>
      <c r="AM43" t="s">
        <v>103</v>
      </c>
      <c r="AN43" t="s">
        <v>104</v>
      </c>
      <c r="AO43" t="s">
        <v>119</v>
      </c>
      <c r="AP43" t="e">
        <v>#N/A</v>
      </c>
      <c r="AQ43" t="s">
        <v>105</v>
      </c>
      <c r="AR43" t="str">
        <f t="shared" si="0"/>
        <v>60604323.STATEQ</v>
      </c>
      <c r="AS43">
        <f t="shared" si="1"/>
        <v>73860928.700000003</v>
      </c>
      <c r="AT43" t="s">
        <v>82</v>
      </c>
    </row>
    <row r="44" spans="1:46" x14ac:dyDescent="0.35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94</v>
      </c>
      <c r="G44" t="s">
        <v>110</v>
      </c>
      <c r="H44" t="s">
        <v>153</v>
      </c>
      <c r="I44" t="s">
        <v>158</v>
      </c>
      <c r="J44" t="s">
        <v>56</v>
      </c>
      <c r="K44" t="s">
        <v>62</v>
      </c>
      <c r="L44" t="s">
        <v>56</v>
      </c>
      <c r="M44" t="s">
        <v>56</v>
      </c>
      <c r="N44" t="s">
        <v>155</v>
      </c>
      <c r="O44" t="s">
        <v>96</v>
      </c>
      <c r="P44" t="s">
        <v>97</v>
      </c>
      <c r="Q44" t="s">
        <v>114</v>
      </c>
      <c r="R44" t="s">
        <v>98</v>
      </c>
      <c r="S44">
        <v>180000000</v>
      </c>
      <c r="T44">
        <v>-16254744.43</v>
      </c>
      <c r="U44" t="s">
        <v>68</v>
      </c>
      <c r="V44" t="s">
        <v>99</v>
      </c>
      <c r="W44" s="9">
        <v>60604323</v>
      </c>
      <c r="X44" t="s">
        <v>202</v>
      </c>
      <c r="Y44" s="1">
        <v>46070</v>
      </c>
      <c r="Z44" s="1">
        <v>46430</v>
      </c>
      <c r="AA44" s="2">
        <v>956626</v>
      </c>
      <c r="AB44" s="2">
        <v>810700</v>
      </c>
      <c r="AC44" s="2">
        <v>145926</v>
      </c>
      <c r="AD44" s="2">
        <v>956626</v>
      </c>
      <c r="AE44" t="s">
        <v>203</v>
      </c>
      <c r="AF44" t="s">
        <v>72</v>
      </c>
      <c r="AG44">
        <v>-352</v>
      </c>
      <c r="AH44" t="s">
        <v>117</v>
      </c>
      <c r="AI44" t="s">
        <v>74</v>
      </c>
      <c r="AJ44" t="s">
        <v>75</v>
      </c>
      <c r="AK44" t="s">
        <v>102</v>
      </c>
      <c r="AL44" t="s">
        <v>118</v>
      </c>
      <c r="AM44" t="s">
        <v>103</v>
      </c>
      <c r="AN44" t="s">
        <v>104</v>
      </c>
      <c r="AO44" t="s">
        <v>119</v>
      </c>
      <c r="AP44" t="e">
        <v>#N/A</v>
      </c>
      <c r="AQ44" t="s">
        <v>105</v>
      </c>
      <c r="AR44" t="str">
        <f t="shared" si="0"/>
        <v>60604323.STATEQ</v>
      </c>
      <c r="AS44">
        <f t="shared" si="1"/>
        <v>73860928.700000003</v>
      </c>
      <c r="AT44" t="s">
        <v>82</v>
      </c>
    </row>
    <row r="45" spans="1:46" x14ac:dyDescent="0.35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94</v>
      </c>
      <c r="G45" t="s">
        <v>110</v>
      </c>
      <c r="H45" t="s">
        <v>153</v>
      </c>
      <c r="I45" t="s">
        <v>158</v>
      </c>
      <c r="J45" t="s">
        <v>56</v>
      </c>
      <c r="K45" t="s">
        <v>62</v>
      </c>
      <c r="L45" t="s">
        <v>56</v>
      </c>
      <c r="M45" t="s">
        <v>56</v>
      </c>
      <c r="N45" t="s">
        <v>155</v>
      </c>
      <c r="O45" t="s">
        <v>96</v>
      </c>
      <c r="P45" t="s">
        <v>97</v>
      </c>
      <c r="Q45" t="s">
        <v>114</v>
      </c>
      <c r="R45" t="s">
        <v>98</v>
      </c>
      <c r="S45">
        <v>180000000</v>
      </c>
      <c r="T45">
        <v>-16254744.43</v>
      </c>
      <c r="U45" t="s">
        <v>68</v>
      </c>
      <c r="V45" t="s">
        <v>99</v>
      </c>
      <c r="W45" s="9">
        <v>60604323</v>
      </c>
      <c r="X45" t="s">
        <v>204</v>
      </c>
      <c r="Y45" s="1">
        <v>46070</v>
      </c>
      <c r="Z45" s="1">
        <v>46430</v>
      </c>
      <c r="AA45" s="2">
        <v>363440</v>
      </c>
      <c r="AB45" s="2">
        <v>308000</v>
      </c>
      <c r="AC45" s="2">
        <v>55440</v>
      </c>
      <c r="AD45" s="2">
        <v>363440</v>
      </c>
      <c r="AE45" t="s">
        <v>205</v>
      </c>
      <c r="AF45" t="s">
        <v>72</v>
      </c>
      <c r="AG45">
        <v>-352</v>
      </c>
      <c r="AH45" t="s">
        <v>117</v>
      </c>
      <c r="AI45" t="s">
        <v>74</v>
      </c>
      <c r="AJ45" t="s">
        <v>75</v>
      </c>
      <c r="AK45" t="s">
        <v>102</v>
      </c>
      <c r="AL45" t="s">
        <v>118</v>
      </c>
      <c r="AM45" t="s">
        <v>103</v>
      </c>
      <c r="AN45" t="s">
        <v>104</v>
      </c>
      <c r="AO45" t="s">
        <v>119</v>
      </c>
      <c r="AP45" t="e">
        <v>#N/A</v>
      </c>
      <c r="AQ45" t="s">
        <v>105</v>
      </c>
      <c r="AR45" t="str">
        <f t="shared" si="0"/>
        <v>60604323.STATEQ</v>
      </c>
      <c r="AS45">
        <f t="shared" si="1"/>
        <v>73860928.700000003</v>
      </c>
      <c r="AT45" t="s">
        <v>82</v>
      </c>
    </row>
    <row r="46" spans="1:46" x14ac:dyDescent="0.35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94</v>
      </c>
      <c r="G46" t="s">
        <v>110</v>
      </c>
      <c r="H46" t="s">
        <v>153</v>
      </c>
      <c r="I46" t="s">
        <v>158</v>
      </c>
      <c r="J46" t="s">
        <v>56</v>
      </c>
      <c r="K46" t="s">
        <v>62</v>
      </c>
      <c r="L46" t="s">
        <v>56</v>
      </c>
      <c r="M46" t="s">
        <v>56</v>
      </c>
      <c r="N46" t="s">
        <v>155</v>
      </c>
      <c r="O46" t="s">
        <v>96</v>
      </c>
      <c r="P46" t="s">
        <v>97</v>
      </c>
      <c r="Q46" t="s">
        <v>114</v>
      </c>
      <c r="R46" t="s">
        <v>98</v>
      </c>
      <c r="S46">
        <v>180000000</v>
      </c>
      <c r="T46">
        <v>-16254744.43</v>
      </c>
      <c r="U46" t="s">
        <v>68</v>
      </c>
      <c r="V46" t="s">
        <v>99</v>
      </c>
      <c r="W46" s="9">
        <v>60604323</v>
      </c>
      <c r="X46" t="s">
        <v>206</v>
      </c>
      <c r="Y46" s="1">
        <v>46070</v>
      </c>
      <c r="Z46" s="1">
        <v>46430</v>
      </c>
      <c r="AA46" s="2">
        <v>1222480</v>
      </c>
      <c r="AB46" s="2">
        <v>1036000</v>
      </c>
      <c r="AC46" s="2">
        <v>186480</v>
      </c>
      <c r="AD46" s="2">
        <v>1222480</v>
      </c>
      <c r="AE46" t="s">
        <v>207</v>
      </c>
      <c r="AF46" t="s">
        <v>72</v>
      </c>
      <c r="AG46">
        <v>-352</v>
      </c>
      <c r="AH46" t="s">
        <v>117</v>
      </c>
      <c r="AI46" t="s">
        <v>74</v>
      </c>
      <c r="AJ46" t="s">
        <v>75</v>
      </c>
      <c r="AK46" t="s">
        <v>102</v>
      </c>
      <c r="AL46" t="s">
        <v>118</v>
      </c>
      <c r="AM46" t="s">
        <v>103</v>
      </c>
      <c r="AN46" t="s">
        <v>104</v>
      </c>
      <c r="AO46" t="s">
        <v>119</v>
      </c>
      <c r="AP46" t="e">
        <v>#N/A</v>
      </c>
      <c r="AQ46" t="s">
        <v>105</v>
      </c>
      <c r="AR46" t="str">
        <f t="shared" si="0"/>
        <v>60604323.STATEQ</v>
      </c>
      <c r="AS46">
        <f t="shared" si="1"/>
        <v>73860928.700000003</v>
      </c>
      <c r="AT46" t="s">
        <v>82</v>
      </c>
    </row>
    <row r="47" spans="1:46" x14ac:dyDescent="0.35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94</v>
      </c>
      <c r="G47" t="s">
        <v>110</v>
      </c>
      <c r="H47" t="s">
        <v>153</v>
      </c>
      <c r="I47" t="s">
        <v>154</v>
      </c>
      <c r="J47" t="s">
        <v>56</v>
      </c>
      <c r="K47" t="s">
        <v>62</v>
      </c>
      <c r="L47" t="s">
        <v>56</v>
      </c>
      <c r="M47" t="s">
        <v>56</v>
      </c>
      <c r="N47" t="s">
        <v>155</v>
      </c>
      <c r="O47" t="s">
        <v>96</v>
      </c>
      <c r="P47" t="s">
        <v>97</v>
      </c>
      <c r="Q47" t="s">
        <v>114</v>
      </c>
      <c r="R47" t="s">
        <v>98</v>
      </c>
      <c r="S47">
        <v>180000000</v>
      </c>
      <c r="T47">
        <v>-16254744.43</v>
      </c>
      <c r="U47" t="s">
        <v>68</v>
      </c>
      <c r="V47" t="s">
        <v>99</v>
      </c>
      <c r="W47" s="9">
        <v>60604323</v>
      </c>
      <c r="X47" t="s">
        <v>208</v>
      </c>
      <c r="Y47" s="1">
        <v>46073</v>
      </c>
      <c r="Z47" s="1">
        <v>46433</v>
      </c>
      <c r="AA47" s="2">
        <v>290280</v>
      </c>
      <c r="AB47" s="2">
        <v>246000</v>
      </c>
      <c r="AC47" s="2">
        <v>44280</v>
      </c>
      <c r="AD47" s="2">
        <v>290280</v>
      </c>
      <c r="AE47" t="s">
        <v>209</v>
      </c>
      <c r="AF47" t="s">
        <v>72</v>
      </c>
      <c r="AG47">
        <v>-355</v>
      </c>
      <c r="AH47" t="s">
        <v>117</v>
      </c>
      <c r="AI47" t="s">
        <v>74</v>
      </c>
      <c r="AJ47" t="s">
        <v>75</v>
      </c>
      <c r="AK47" t="s">
        <v>102</v>
      </c>
      <c r="AL47" t="s">
        <v>118</v>
      </c>
      <c r="AM47" t="s">
        <v>103</v>
      </c>
      <c r="AN47" t="s">
        <v>104</v>
      </c>
      <c r="AO47" t="s">
        <v>119</v>
      </c>
      <c r="AP47" t="e">
        <v>#N/A</v>
      </c>
      <c r="AQ47" t="s">
        <v>105</v>
      </c>
      <c r="AR47" t="str">
        <f t="shared" si="0"/>
        <v>60604323.STATEQ</v>
      </c>
      <c r="AS47">
        <f t="shared" si="1"/>
        <v>73860928.700000003</v>
      </c>
      <c r="AT47" t="s">
        <v>82</v>
      </c>
    </row>
    <row r="48" spans="1:46" x14ac:dyDescent="0.35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94</v>
      </c>
      <c r="G48" t="s">
        <v>110</v>
      </c>
      <c r="H48" t="s">
        <v>153</v>
      </c>
      <c r="I48" t="s">
        <v>158</v>
      </c>
      <c r="J48" t="s">
        <v>56</v>
      </c>
      <c r="K48" t="s">
        <v>62</v>
      </c>
      <c r="L48" t="s">
        <v>56</v>
      </c>
      <c r="M48" t="s">
        <v>56</v>
      </c>
      <c r="N48" t="s">
        <v>155</v>
      </c>
      <c r="O48" t="s">
        <v>96</v>
      </c>
      <c r="P48" t="s">
        <v>97</v>
      </c>
      <c r="Q48" t="s">
        <v>114</v>
      </c>
      <c r="R48" t="s">
        <v>98</v>
      </c>
      <c r="S48">
        <v>180000000</v>
      </c>
      <c r="T48">
        <v>-16254744.43</v>
      </c>
      <c r="U48" t="s">
        <v>68</v>
      </c>
      <c r="V48" t="s">
        <v>99</v>
      </c>
      <c r="W48" s="9">
        <v>60604323</v>
      </c>
      <c r="X48" t="s">
        <v>210</v>
      </c>
      <c r="Y48" s="1">
        <v>46073</v>
      </c>
      <c r="Z48" s="1">
        <v>46433</v>
      </c>
      <c r="AA48" s="2">
        <v>1354592.8</v>
      </c>
      <c r="AB48" s="2">
        <v>1147960</v>
      </c>
      <c r="AC48" s="2">
        <v>206632.8</v>
      </c>
      <c r="AD48" s="2">
        <v>1354592.8</v>
      </c>
      <c r="AE48" t="s">
        <v>211</v>
      </c>
      <c r="AF48" t="s">
        <v>72</v>
      </c>
      <c r="AG48">
        <v>-355</v>
      </c>
      <c r="AH48" t="s">
        <v>117</v>
      </c>
      <c r="AI48" t="s">
        <v>74</v>
      </c>
      <c r="AJ48" t="s">
        <v>75</v>
      </c>
      <c r="AK48" t="s">
        <v>102</v>
      </c>
      <c r="AL48" t="s">
        <v>118</v>
      </c>
      <c r="AM48" t="s">
        <v>103</v>
      </c>
      <c r="AN48" t="s">
        <v>104</v>
      </c>
      <c r="AO48" t="s">
        <v>119</v>
      </c>
      <c r="AP48" t="e">
        <v>#N/A</v>
      </c>
      <c r="AQ48" t="s">
        <v>105</v>
      </c>
      <c r="AR48" t="str">
        <f t="shared" si="0"/>
        <v>60604323.STATEQ</v>
      </c>
      <c r="AS48">
        <f t="shared" si="1"/>
        <v>73860928.700000003</v>
      </c>
      <c r="AT48" t="s">
        <v>82</v>
      </c>
    </row>
    <row r="49" spans="1:46" x14ac:dyDescent="0.35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94</v>
      </c>
      <c r="G49" t="s">
        <v>110</v>
      </c>
      <c r="H49" t="s">
        <v>153</v>
      </c>
      <c r="I49" t="s">
        <v>158</v>
      </c>
      <c r="J49" t="s">
        <v>56</v>
      </c>
      <c r="K49" t="s">
        <v>62</v>
      </c>
      <c r="L49" t="s">
        <v>56</v>
      </c>
      <c r="M49" t="s">
        <v>56</v>
      </c>
      <c r="N49" t="s">
        <v>155</v>
      </c>
      <c r="O49" t="s">
        <v>96</v>
      </c>
      <c r="P49" t="s">
        <v>97</v>
      </c>
      <c r="Q49" t="s">
        <v>114</v>
      </c>
      <c r="R49" t="s">
        <v>98</v>
      </c>
      <c r="S49">
        <v>180000000</v>
      </c>
      <c r="T49">
        <v>-16254744.43</v>
      </c>
      <c r="U49" t="s">
        <v>68</v>
      </c>
      <c r="V49" t="s">
        <v>99</v>
      </c>
      <c r="W49" s="9">
        <v>60604323</v>
      </c>
      <c r="X49" t="s">
        <v>212</v>
      </c>
      <c r="Y49" s="1">
        <v>46076</v>
      </c>
      <c r="Z49" s="1">
        <v>46436</v>
      </c>
      <c r="AA49" s="2">
        <v>1401840</v>
      </c>
      <c r="AB49" s="2">
        <v>1188000</v>
      </c>
      <c r="AC49" s="2">
        <v>213840</v>
      </c>
      <c r="AD49" s="2">
        <v>1401840</v>
      </c>
      <c r="AE49" t="s">
        <v>213</v>
      </c>
      <c r="AF49" t="s">
        <v>72</v>
      </c>
      <c r="AG49">
        <v>-358</v>
      </c>
      <c r="AH49" t="s">
        <v>117</v>
      </c>
      <c r="AI49" t="s">
        <v>74</v>
      </c>
      <c r="AJ49" t="s">
        <v>75</v>
      </c>
      <c r="AK49" t="s">
        <v>102</v>
      </c>
      <c r="AL49" t="s">
        <v>118</v>
      </c>
      <c r="AM49" t="s">
        <v>103</v>
      </c>
      <c r="AN49" t="s">
        <v>104</v>
      </c>
      <c r="AO49" t="s">
        <v>119</v>
      </c>
      <c r="AP49" t="e">
        <v>#N/A</v>
      </c>
      <c r="AQ49" t="s">
        <v>105</v>
      </c>
      <c r="AR49" t="str">
        <f t="shared" si="0"/>
        <v>60604323.STATEQ</v>
      </c>
      <c r="AS49">
        <f t="shared" si="1"/>
        <v>73860928.700000003</v>
      </c>
      <c r="AT49" t="s">
        <v>82</v>
      </c>
    </row>
    <row r="50" spans="1:46" x14ac:dyDescent="0.35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94</v>
      </c>
      <c r="G50" t="s">
        <v>110</v>
      </c>
      <c r="H50" t="s">
        <v>153</v>
      </c>
      <c r="I50" t="s">
        <v>158</v>
      </c>
      <c r="J50" t="s">
        <v>56</v>
      </c>
      <c r="K50" t="s">
        <v>62</v>
      </c>
      <c r="L50" t="s">
        <v>56</v>
      </c>
      <c r="M50" t="s">
        <v>56</v>
      </c>
      <c r="N50" t="s">
        <v>155</v>
      </c>
      <c r="O50" t="s">
        <v>96</v>
      </c>
      <c r="P50" t="s">
        <v>97</v>
      </c>
      <c r="Q50" t="s">
        <v>114</v>
      </c>
      <c r="R50" t="s">
        <v>98</v>
      </c>
      <c r="S50">
        <v>180000000</v>
      </c>
      <c r="T50">
        <v>-16254744.43</v>
      </c>
      <c r="U50" t="s">
        <v>68</v>
      </c>
      <c r="V50" t="s">
        <v>99</v>
      </c>
      <c r="W50" s="9">
        <v>60604323</v>
      </c>
      <c r="X50" t="s">
        <v>214</v>
      </c>
      <c r="Y50" s="1">
        <v>46076</v>
      </c>
      <c r="Z50" s="1">
        <v>46436</v>
      </c>
      <c r="AA50" s="2">
        <v>649000</v>
      </c>
      <c r="AB50" s="2">
        <v>550000</v>
      </c>
      <c r="AC50" s="2">
        <v>99000</v>
      </c>
      <c r="AD50" s="2">
        <v>649000</v>
      </c>
      <c r="AE50" t="s">
        <v>215</v>
      </c>
      <c r="AF50" t="s">
        <v>72</v>
      </c>
      <c r="AG50">
        <v>-358</v>
      </c>
      <c r="AH50" t="s">
        <v>117</v>
      </c>
      <c r="AI50" t="s">
        <v>74</v>
      </c>
      <c r="AJ50" t="s">
        <v>75</v>
      </c>
      <c r="AK50" t="s">
        <v>102</v>
      </c>
      <c r="AL50" t="s">
        <v>118</v>
      </c>
      <c r="AM50" t="s">
        <v>103</v>
      </c>
      <c r="AN50" t="s">
        <v>104</v>
      </c>
      <c r="AO50" t="s">
        <v>119</v>
      </c>
      <c r="AP50" t="e">
        <v>#N/A</v>
      </c>
      <c r="AQ50" t="s">
        <v>105</v>
      </c>
      <c r="AR50" t="str">
        <f t="shared" si="0"/>
        <v>60604323.STATEQ</v>
      </c>
      <c r="AS50">
        <f t="shared" si="1"/>
        <v>73860928.700000003</v>
      </c>
      <c r="AT50" t="s">
        <v>82</v>
      </c>
    </row>
    <row r="51" spans="1:46" x14ac:dyDescent="0.35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94</v>
      </c>
      <c r="G51" t="s">
        <v>110</v>
      </c>
      <c r="H51" t="s">
        <v>153</v>
      </c>
      <c r="I51" t="s">
        <v>158</v>
      </c>
      <c r="J51" t="s">
        <v>56</v>
      </c>
      <c r="K51" t="s">
        <v>62</v>
      </c>
      <c r="L51" t="s">
        <v>56</v>
      </c>
      <c r="M51" t="s">
        <v>56</v>
      </c>
      <c r="N51" t="s">
        <v>155</v>
      </c>
      <c r="O51" t="s">
        <v>96</v>
      </c>
      <c r="P51" t="s">
        <v>97</v>
      </c>
      <c r="Q51" t="s">
        <v>114</v>
      </c>
      <c r="R51" t="s">
        <v>98</v>
      </c>
      <c r="S51">
        <v>180000000</v>
      </c>
      <c r="T51">
        <v>-16254744.43</v>
      </c>
      <c r="U51" t="s">
        <v>68</v>
      </c>
      <c r="V51" t="s">
        <v>99</v>
      </c>
      <c r="W51" s="9">
        <v>60604323</v>
      </c>
      <c r="X51" t="s">
        <v>216</v>
      </c>
      <c r="Y51" s="1">
        <v>46076</v>
      </c>
      <c r="Z51" s="1">
        <v>46436</v>
      </c>
      <c r="AA51" s="2">
        <v>882640</v>
      </c>
      <c r="AB51" s="2">
        <v>748000</v>
      </c>
      <c r="AC51" s="2">
        <v>134640</v>
      </c>
      <c r="AD51" s="2">
        <v>882640</v>
      </c>
      <c r="AE51" t="s">
        <v>217</v>
      </c>
      <c r="AF51" t="s">
        <v>72</v>
      </c>
      <c r="AG51">
        <v>-358</v>
      </c>
      <c r="AH51" t="s">
        <v>117</v>
      </c>
      <c r="AI51" t="s">
        <v>74</v>
      </c>
      <c r="AJ51" t="s">
        <v>75</v>
      </c>
      <c r="AK51" t="s">
        <v>102</v>
      </c>
      <c r="AL51" t="s">
        <v>118</v>
      </c>
      <c r="AM51" t="s">
        <v>103</v>
      </c>
      <c r="AN51" t="s">
        <v>104</v>
      </c>
      <c r="AO51" t="s">
        <v>119</v>
      </c>
      <c r="AP51" t="e">
        <v>#N/A</v>
      </c>
      <c r="AQ51" t="s">
        <v>105</v>
      </c>
      <c r="AR51" t="str">
        <f t="shared" si="0"/>
        <v>60604323.STATEQ</v>
      </c>
      <c r="AS51">
        <f t="shared" si="1"/>
        <v>73860928.700000003</v>
      </c>
      <c r="AT51" t="s">
        <v>82</v>
      </c>
    </row>
    <row r="52" spans="1:46" x14ac:dyDescent="0.35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94</v>
      </c>
      <c r="G52" t="s">
        <v>110</v>
      </c>
      <c r="H52" t="s">
        <v>153</v>
      </c>
      <c r="I52" t="s">
        <v>158</v>
      </c>
      <c r="J52" t="s">
        <v>56</v>
      </c>
      <c r="K52" t="s">
        <v>62</v>
      </c>
      <c r="L52" t="s">
        <v>56</v>
      </c>
      <c r="M52" t="s">
        <v>56</v>
      </c>
      <c r="N52" t="s">
        <v>155</v>
      </c>
      <c r="O52" t="s">
        <v>96</v>
      </c>
      <c r="P52" t="s">
        <v>97</v>
      </c>
      <c r="Q52" t="s">
        <v>114</v>
      </c>
      <c r="R52" t="s">
        <v>98</v>
      </c>
      <c r="S52">
        <v>180000000</v>
      </c>
      <c r="T52">
        <v>-16254744.43</v>
      </c>
      <c r="U52" t="s">
        <v>68</v>
      </c>
      <c r="V52" t="s">
        <v>99</v>
      </c>
      <c r="W52" s="9">
        <v>60604323</v>
      </c>
      <c r="X52" t="s">
        <v>218</v>
      </c>
      <c r="Y52" s="1">
        <v>46076</v>
      </c>
      <c r="Z52" s="1">
        <v>46436</v>
      </c>
      <c r="AA52" s="2">
        <v>545160</v>
      </c>
      <c r="AB52" s="2">
        <v>462000</v>
      </c>
      <c r="AC52" s="2">
        <v>83160</v>
      </c>
      <c r="AD52" s="2">
        <v>545160</v>
      </c>
      <c r="AE52" t="s">
        <v>219</v>
      </c>
      <c r="AF52" t="s">
        <v>72</v>
      </c>
      <c r="AG52">
        <v>-358</v>
      </c>
      <c r="AH52" t="s">
        <v>117</v>
      </c>
      <c r="AI52" t="s">
        <v>74</v>
      </c>
      <c r="AJ52" t="s">
        <v>75</v>
      </c>
      <c r="AK52" t="s">
        <v>102</v>
      </c>
      <c r="AL52" t="s">
        <v>118</v>
      </c>
      <c r="AM52" t="s">
        <v>103</v>
      </c>
      <c r="AN52" t="s">
        <v>104</v>
      </c>
      <c r="AO52" t="s">
        <v>119</v>
      </c>
      <c r="AP52" t="e">
        <v>#N/A</v>
      </c>
      <c r="AQ52" t="s">
        <v>105</v>
      </c>
      <c r="AR52" t="str">
        <f t="shared" si="0"/>
        <v>60604323.STATEQ</v>
      </c>
      <c r="AS52">
        <f t="shared" si="1"/>
        <v>73860928.700000003</v>
      </c>
      <c r="AT52" t="s">
        <v>82</v>
      </c>
    </row>
    <row r="53" spans="1:46" x14ac:dyDescent="0.35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220</v>
      </c>
      <c r="G53" t="s">
        <v>56</v>
      </c>
      <c r="H53" t="s">
        <v>56</v>
      </c>
      <c r="I53" t="s">
        <v>221</v>
      </c>
      <c r="J53" t="s">
        <v>61</v>
      </c>
      <c r="K53" t="s">
        <v>62</v>
      </c>
      <c r="L53" t="s">
        <v>56</v>
      </c>
      <c r="M53" t="s">
        <v>56</v>
      </c>
      <c r="N53" t="s">
        <v>56</v>
      </c>
      <c r="O53" t="s">
        <v>222</v>
      </c>
      <c r="P53" t="s">
        <v>223</v>
      </c>
      <c r="Q53" t="s">
        <v>87</v>
      </c>
      <c r="R53" t="s">
        <v>88</v>
      </c>
      <c r="S53">
        <v>500000</v>
      </c>
      <c r="T53">
        <v>507971.28</v>
      </c>
      <c r="U53" t="s">
        <v>68</v>
      </c>
      <c r="V53" t="s">
        <v>224</v>
      </c>
      <c r="W53" s="9">
        <v>60604074</v>
      </c>
      <c r="X53" t="s">
        <v>225</v>
      </c>
      <c r="Y53" s="1">
        <v>45862</v>
      </c>
      <c r="Z53" s="1">
        <v>45862</v>
      </c>
      <c r="AA53" s="2">
        <v>-26856</v>
      </c>
      <c r="AB53" s="2">
        <v>-26856</v>
      </c>
      <c r="AC53" s="2">
        <v>0</v>
      </c>
      <c r="AD53" s="2">
        <v>-7971.28</v>
      </c>
      <c r="AE53" t="s">
        <v>225</v>
      </c>
      <c r="AF53" t="s">
        <v>72</v>
      </c>
      <c r="AG53">
        <v>216</v>
      </c>
      <c r="AH53" t="s">
        <v>101</v>
      </c>
      <c r="AI53" t="s">
        <v>74</v>
      </c>
      <c r="AJ53" t="s">
        <v>75</v>
      </c>
      <c r="AK53" t="s">
        <v>76</v>
      </c>
      <c r="AL53" t="s">
        <v>77</v>
      </c>
      <c r="AM53" t="s">
        <v>78</v>
      </c>
      <c r="AN53" t="s">
        <v>104</v>
      </c>
      <c r="AO53" t="s">
        <v>80</v>
      </c>
      <c r="AP53" t="e">
        <v>#N/A</v>
      </c>
      <c r="AQ53" t="s">
        <v>81</v>
      </c>
      <c r="AR53" t="str">
        <f t="shared" si="0"/>
        <v>60604074.STATAM</v>
      </c>
      <c r="AS53">
        <f t="shared" si="1"/>
        <v>-7971.28</v>
      </c>
      <c r="AT53" t="s">
        <v>93</v>
      </c>
    </row>
    <row r="54" spans="1:46" x14ac:dyDescent="0.35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226</v>
      </c>
      <c r="G54" t="s">
        <v>227</v>
      </c>
      <c r="H54" t="s">
        <v>153</v>
      </c>
      <c r="I54" t="s">
        <v>228</v>
      </c>
      <c r="J54" t="s">
        <v>56</v>
      </c>
      <c r="K54" t="s">
        <v>62</v>
      </c>
      <c r="L54" t="s">
        <v>56</v>
      </c>
      <c r="M54" t="s">
        <v>56</v>
      </c>
      <c r="N54" t="s">
        <v>229</v>
      </c>
      <c r="O54" t="s">
        <v>230</v>
      </c>
      <c r="P54" t="s">
        <v>231</v>
      </c>
      <c r="Q54" t="s">
        <v>114</v>
      </c>
      <c r="R54" t="s">
        <v>232</v>
      </c>
      <c r="T54">
        <v>-3400</v>
      </c>
      <c r="U54" t="s">
        <v>68</v>
      </c>
      <c r="V54" t="s">
        <v>233</v>
      </c>
      <c r="W54" s="9">
        <v>60604376</v>
      </c>
      <c r="X54" t="s">
        <v>234</v>
      </c>
      <c r="Y54" s="1">
        <v>46008</v>
      </c>
      <c r="Z54" s="1">
        <v>46042</v>
      </c>
      <c r="AA54" s="2">
        <v>1180000</v>
      </c>
      <c r="AB54" s="2">
        <v>1000000</v>
      </c>
      <c r="AC54" s="2">
        <v>180000</v>
      </c>
      <c r="AD54" s="2">
        <v>3400</v>
      </c>
      <c r="AE54" t="s">
        <v>235</v>
      </c>
      <c r="AF54" t="s">
        <v>72</v>
      </c>
      <c r="AG54">
        <v>36</v>
      </c>
      <c r="AH54" t="s">
        <v>236</v>
      </c>
      <c r="AI54" t="s">
        <v>74</v>
      </c>
      <c r="AJ54" t="s">
        <v>237</v>
      </c>
      <c r="AK54" t="s">
        <v>238</v>
      </c>
      <c r="AL54" t="s">
        <v>77</v>
      </c>
      <c r="AM54" t="s">
        <v>103</v>
      </c>
      <c r="AN54" t="s">
        <v>239</v>
      </c>
      <c r="AO54" t="s">
        <v>80</v>
      </c>
      <c r="AP54" t="e">
        <v>#N/A</v>
      </c>
      <c r="AQ54" t="s">
        <v>238</v>
      </c>
      <c r="AR54" t="str">
        <f t="shared" si="0"/>
        <v>60604376.MOBILEQ</v>
      </c>
      <c r="AS54">
        <f t="shared" si="1"/>
        <v>3400</v>
      </c>
      <c r="AT54" t="s">
        <v>82</v>
      </c>
    </row>
    <row r="55" spans="1:46" x14ac:dyDescent="0.35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240</v>
      </c>
      <c r="G55" t="s">
        <v>241</v>
      </c>
      <c r="H55" t="s">
        <v>56</v>
      </c>
      <c r="I55" t="s">
        <v>242</v>
      </c>
      <c r="J55" t="s">
        <v>61</v>
      </c>
      <c r="K55" t="s">
        <v>243</v>
      </c>
      <c r="L55" t="s">
        <v>56</v>
      </c>
      <c r="M55" t="s">
        <v>56</v>
      </c>
      <c r="N55" t="s">
        <v>244</v>
      </c>
      <c r="O55" t="s">
        <v>245</v>
      </c>
      <c r="P55" t="s">
        <v>246</v>
      </c>
      <c r="Q55" t="s">
        <v>247</v>
      </c>
      <c r="R55" t="s">
        <v>248</v>
      </c>
      <c r="S55">
        <v>2000000</v>
      </c>
      <c r="T55">
        <v>-871099.43</v>
      </c>
      <c r="U55" t="s">
        <v>68</v>
      </c>
      <c r="V55" t="s">
        <v>249</v>
      </c>
      <c r="W55" s="9">
        <v>60602201</v>
      </c>
      <c r="X55" t="s">
        <v>250</v>
      </c>
      <c r="Y55" s="1">
        <v>45904</v>
      </c>
      <c r="Z55" s="1">
        <v>45964</v>
      </c>
      <c r="AA55" s="2">
        <v>612127.36</v>
      </c>
      <c r="AB55" s="2">
        <v>518752</v>
      </c>
      <c r="AC55" s="2">
        <v>93375.360000000001</v>
      </c>
      <c r="AD55" s="2">
        <v>518.79999999999995</v>
      </c>
      <c r="AE55" t="s">
        <v>251</v>
      </c>
      <c r="AF55" t="s">
        <v>72</v>
      </c>
      <c r="AG55">
        <v>114</v>
      </c>
      <c r="AH55" t="s">
        <v>91</v>
      </c>
      <c r="AI55" t="s">
        <v>74</v>
      </c>
      <c r="AJ55" t="s">
        <v>75</v>
      </c>
      <c r="AK55" t="s">
        <v>76</v>
      </c>
      <c r="AL55" t="s">
        <v>77</v>
      </c>
      <c r="AM55" t="s">
        <v>78</v>
      </c>
      <c r="AN55" t="s">
        <v>239</v>
      </c>
      <c r="AO55" t="s">
        <v>80</v>
      </c>
      <c r="AP55" t="e">
        <v>#N/A</v>
      </c>
      <c r="AQ55" t="s">
        <v>81</v>
      </c>
      <c r="AR55" t="str">
        <f t="shared" si="0"/>
        <v>60602201.STATAM</v>
      </c>
      <c r="AS55">
        <f t="shared" si="1"/>
        <v>2871099.4299999997</v>
      </c>
      <c r="AT55" t="s">
        <v>82</v>
      </c>
    </row>
    <row r="56" spans="1:46" x14ac:dyDescent="0.35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240</v>
      </c>
      <c r="G56" t="s">
        <v>241</v>
      </c>
      <c r="H56" t="s">
        <v>56</v>
      </c>
      <c r="I56" t="s">
        <v>242</v>
      </c>
      <c r="J56" t="s">
        <v>61</v>
      </c>
      <c r="K56" t="s">
        <v>243</v>
      </c>
      <c r="L56" t="s">
        <v>56</v>
      </c>
      <c r="M56" t="s">
        <v>56</v>
      </c>
      <c r="N56" t="s">
        <v>252</v>
      </c>
      <c r="O56" t="s">
        <v>245</v>
      </c>
      <c r="P56" t="s">
        <v>246</v>
      </c>
      <c r="Q56" t="s">
        <v>247</v>
      </c>
      <c r="R56" t="s">
        <v>248</v>
      </c>
      <c r="S56">
        <v>2000000</v>
      </c>
      <c r="T56">
        <v>-871099.43</v>
      </c>
      <c r="U56" t="s">
        <v>68</v>
      </c>
      <c r="V56" t="s">
        <v>249</v>
      </c>
      <c r="W56" s="9">
        <v>60602201</v>
      </c>
      <c r="X56" t="s">
        <v>250</v>
      </c>
      <c r="Y56" s="1">
        <v>45904</v>
      </c>
      <c r="Z56" s="1">
        <v>45964</v>
      </c>
      <c r="AA56" s="2">
        <v>221947.38</v>
      </c>
      <c r="AB56" s="2">
        <v>188091</v>
      </c>
      <c r="AC56" s="2">
        <v>33856.379999999997</v>
      </c>
      <c r="AD56" s="2">
        <v>188.11</v>
      </c>
      <c r="AE56" t="s">
        <v>253</v>
      </c>
      <c r="AF56" t="s">
        <v>72</v>
      </c>
      <c r="AG56">
        <v>114</v>
      </c>
      <c r="AH56" t="s">
        <v>91</v>
      </c>
      <c r="AI56" t="s">
        <v>74</v>
      </c>
      <c r="AJ56" t="s">
        <v>75</v>
      </c>
      <c r="AK56" t="s">
        <v>76</v>
      </c>
      <c r="AL56" t="s">
        <v>77</v>
      </c>
      <c r="AM56" t="s">
        <v>78</v>
      </c>
      <c r="AN56" t="s">
        <v>239</v>
      </c>
      <c r="AO56" t="s">
        <v>80</v>
      </c>
      <c r="AP56" t="e">
        <v>#N/A</v>
      </c>
      <c r="AQ56" t="s">
        <v>81</v>
      </c>
      <c r="AR56" t="str">
        <f t="shared" si="0"/>
        <v>60602201.STATAM</v>
      </c>
      <c r="AS56">
        <f t="shared" si="1"/>
        <v>2871099.4299999997</v>
      </c>
      <c r="AT56" t="s">
        <v>82</v>
      </c>
    </row>
    <row r="57" spans="1:46" x14ac:dyDescent="0.35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240</v>
      </c>
      <c r="G57" t="s">
        <v>241</v>
      </c>
      <c r="H57" t="s">
        <v>56</v>
      </c>
      <c r="I57" t="s">
        <v>242</v>
      </c>
      <c r="J57" t="s">
        <v>61</v>
      </c>
      <c r="K57" t="s">
        <v>243</v>
      </c>
      <c r="L57" t="s">
        <v>56</v>
      </c>
      <c r="M57" t="s">
        <v>56</v>
      </c>
      <c r="N57" t="s">
        <v>254</v>
      </c>
      <c r="O57" t="s">
        <v>245</v>
      </c>
      <c r="P57" t="s">
        <v>246</v>
      </c>
      <c r="Q57" t="s">
        <v>247</v>
      </c>
      <c r="R57" t="s">
        <v>248</v>
      </c>
      <c r="S57">
        <v>2000000</v>
      </c>
      <c r="T57">
        <v>-871099.43</v>
      </c>
      <c r="U57" t="s">
        <v>68</v>
      </c>
      <c r="V57" t="s">
        <v>249</v>
      </c>
      <c r="W57" s="9">
        <v>60602201</v>
      </c>
      <c r="X57" t="s">
        <v>250</v>
      </c>
      <c r="Y57" s="1">
        <v>45904</v>
      </c>
      <c r="Z57" s="1">
        <v>45964</v>
      </c>
      <c r="AA57" s="2">
        <v>332715.15999999997</v>
      </c>
      <c r="AB57" s="2">
        <v>281962</v>
      </c>
      <c r="AC57" s="2">
        <v>50753.16</v>
      </c>
      <c r="AD57" s="2">
        <v>281.99</v>
      </c>
      <c r="AE57" t="s">
        <v>255</v>
      </c>
      <c r="AF57" t="s">
        <v>72</v>
      </c>
      <c r="AG57">
        <v>114</v>
      </c>
      <c r="AH57" t="s">
        <v>91</v>
      </c>
      <c r="AI57" t="s">
        <v>74</v>
      </c>
      <c r="AJ57" t="s">
        <v>75</v>
      </c>
      <c r="AK57" t="s">
        <v>76</v>
      </c>
      <c r="AL57" t="s">
        <v>77</v>
      </c>
      <c r="AM57" t="s">
        <v>78</v>
      </c>
      <c r="AN57" t="s">
        <v>239</v>
      </c>
      <c r="AO57" t="s">
        <v>80</v>
      </c>
      <c r="AP57" t="e">
        <v>#N/A</v>
      </c>
      <c r="AQ57" t="s">
        <v>81</v>
      </c>
      <c r="AR57" t="str">
        <f t="shared" si="0"/>
        <v>60602201.STATAM</v>
      </c>
      <c r="AS57">
        <f t="shared" si="1"/>
        <v>2871099.4299999997</v>
      </c>
      <c r="AT57" t="s">
        <v>82</v>
      </c>
    </row>
    <row r="58" spans="1:46" x14ac:dyDescent="0.35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240</v>
      </c>
      <c r="G58" t="s">
        <v>256</v>
      </c>
      <c r="H58" t="s">
        <v>56</v>
      </c>
      <c r="I58" t="s">
        <v>257</v>
      </c>
      <c r="J58" t="s">
        <v>61</v>
      </c>
      <c r="K58" t="s">
        <v>243</v>
      </c>
      <c r="L58" t="s">
        <v>56</v>
      </c>
      <c r="M58" t="s">
        <v>56</v>
      </c>
      <c r="N58" t="s">
        <v>254</v>
      </c>
      <c r="O58" t="s">
        <v>245</v>
      </c>
      <c r="P58" t="s">
        <v>246</v>
      </c>
      <c r="Q58" t="s">
        <v>247</v>
      </c>
      <c r="R58" t="s">
        <v>248</v>
      </c>
      <c r="S58">
        <v>2000000</v>
      </c>
      <c r="T58">
        <v>-871099.43</v>
      </c>
      <c r="U58" t="s">
        <v>68</v>
      </c>
      <c r="V58" t="s">
        <v>249</v>
      </c>
      <c r="W58" s="9">
        <v>60602201</v>
      </c>
      <c r="X58" t="s">
        <v>258</v>
      </c>
      <c r="Y58" s="1">
        <v>45936</v>
      </c>
      <c r="Z58" s="1">
        <v>45996</v>
      </c>
      <c r="AA58" s="2">
        <v>332715.15999999997</v>
      </c>
      <c r="AB58" s="2">
        <v>281962</v>
      </c>
      <c r="AC58" s="2">
        <v>50753.16</v>
      </c>
      <c r="AD58" s="2">
        <v>281.70999999999998</v>
      </c>
      <c r="AE58" t="s">
        <v>259</v>
      </c>
      <c r="AF58" t="s">
        <v>72</v>
      </c>
      <c r="AG58">
        <v>82</v>
      </c>
      <c r="AH58" t="s">
        <v>260</v>
      </c>
      <c r="AI58" t="s">
        <v>74</v>
      </c>
      <c r="AJ58" t="s">
        <v>75</v>
      </c>
      <c r="AK58" t="s">
        <v>76</v>
      </c>
      <c r="AL58" t="s">
        <v>77</v>
      </c>
      <c r="AM58" t="s">
        <v>78</v>
      </c>
      <c r="AN58" t="s">
        <v>239</v>
      </c>
      <c r="AO58" t="s">
        <v>80</v>
      </c>
      <c r="AP58" t="e">
        <v>#N/A</v>
      </c>
      <c r="AQ58" t="s">
        <v>81</v>
      </c>
      <c r="AR58" t="str">
        <f t="shared" si="0"/>
        <v>60602201.STATAM</v>
      </c>
      <c r="AS58">
        <f t="shared" si="1"/>
        <v>2871099.4299999997</v>
      </c>
      <c r="AT58" t="s">
        <v>82</v>
      </c>
    </row>
    <row r="59" spans="1:46" x14ac:dyDescent="0.35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240</v>
      </c>
      <c r="G59" t="s">
        <v>256</v>
      </c>
      <c r="H59" t="s">
        <v>56</v>
      </c>
      <c r="I59" t="s">
        <v>257</v>
      </c>
      <c r="J59" t="s">
        <v>61</v>
      </c>
      <c r="K59" t="s">
        <v>243</v>
      </c>
      <c r="L59" t="s">
        <v>56</v>
      </c>
      <c r="M59" t="s">
        <v>56</v>
      </c>
      <c r="N59" t="s">
        <v>261</v>
      </c>
      <c r="O59" t="s">
        <v>245</v>
      </c>
      <c r="P59" t="s">
        <v>246</v>
      </c>
      <c r="Q59" t="s">
        <v>247</v>
      </c>
      <c r="R59" t="s">
        <v>248</v>
      </c>
      <c r="S59">
        <v>2000000</v>
      </c>
      <c r="T59">
        <v>-871099.43</v>
      </c>
      <c r="U59" t="s">
        <v>68</v>
      </c>
      <c r="V59" t="s">
        <v>249</v>
      </c>
      <c r="W59" s="9">
        <v>60602201</v>
      </c>
      <c r="X59" t="s">
        <v>258</v>
      </c>
      <c r="Y59" s="1">
        <v>45936</v>
      </c>
      <c r="Z59" s="1">
        <v>45996</v>
      </c>
      <c r="AA59" s="2">
        <v>39176</v>
      </c>
      <c r="AB59" s="2">
        <v>33200</v>
      </c>
      <c r="AC59" s="2">
        <v>5976</v>
      </c>
      <c r="AD59" s="2">
        <v>33.17</v>
      </c>
      <c r="AE59" t="s">
        <v>262</v>
      </c>
      <c r="AF59" t="s">
        <v>72</v>
      </c>
      <c r="AG59">
        <v>82</v>
      </c>
      <c r="AH59" t="s">
        <v>260</v>
      </c>
      <c r="AI59" t="s">
        <v>74</v>
      </c>
      <c r="AJ59" t="s">
        <v>75</v>
      </c>
      <c r="AK59" t="s">
        <v>76</v>
      </c>
      <c r="AL59" t="s">
        <v>77</v>
      </c>
      <c r="AM59" t="s">
        <v>78</v>
      </c>
      <c r="AN59" t="s">
        <v>239</v>
      </c>
      <c r="AO59" t="s">
        <v>80</v>
      </c>
      <c r="AP59" t="e">
        <v>#N/A</v>
      </c>
      <c r="AQ59" t="s">
        <v>81</v>
      </c>
      <c r="AR59" t="str">
        <f t="shared" si="0"/>
        <v>60602201.STATAM</v>
      </c>
      <c r="AS59">
        <f t="shared" si="1"/>
        <v>2871099.4299999997</v>
      </c>
      <c r="AT59" t="s">
        <v>82</v>
      </c>
    </row>
    <row r="60" spans="1:46" x14ac:dyDescent="0.35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240</v>
      </c>
      <c r="G60" t="s">
        <v>256</v>
      </c>
      <c r="H60" t="s">
        <v>56</v>
      </c>
      <c r="I60" t="s">
        <v>257</v>
      </c>
      <c r="J60" t="s">
        <v>61</v>
      </c>
      <c r="K60" t="s">
        <v>243</v>
      </c>
      <c r="L60" t="s">
        <v>56</v>
      </c>
      <c r="M60" t="s">
        <v>56</v>
      </c>
      <c r="N60" t="s">
        <v>263</v>
      </c>
      <c r="O60" t="s">
        <v>245</v>
      </c>
      <c r="P60" t="s">
        <v>246</v>
      </c>
      <c r="Q60" t="s">
        <v>247</v>
      </c>
      <c r="R60" t="s">
        <v>248</v>
      </c>
      <c r="S60">
        <v>2000000</v>
      </c>
      <c r="T60">
        <v>-871099.43</v>
      </c>
      <c r="U60" t="s">
        <v>68</v>
      </c>
      <c r="V60" t="s">
        <v>249</v>
      </c>
      <c r="W60" s="9">
        <v>60602201</v>
      </c>
      <c r="X60" t="s">
        <v>258</v>
      </c>
      <c r="Y60" s="1">
        <v>45936</v>
      </c>
      <c r="Z60" s="1">
        <v>45996</v>
      </c>
      <c r="AA60" s="2">
        <v>73440.84</v>
      </c>
      <c r="AB60" s="2">
        <v>62238</v>
      </c>
      <c r="AC60" s="2">
        <v>11202.84</v>
      </c>
      <c r="AD60" s="2">
        <v>62.18</v>
      </c>
      <c r="AE60" t="s">
        <v>264</v>
      </c>
      <c r="AF60" t="s">
        <v>72</v>
      </c>
      <c r="AG60">
        <v>82</v>
      </c>
      <c r="AH60" t="s">
        <v>260</v>
      </c>
      <c r="AI60" t="s">
        <v>74</v>
      </c>
      <c r="AJ60" t="s">
        <v>75</v>
      </c>
      <c r="AK60" t="s">
        <v>76</v>
      </c>
      <c r="AL60" t="s">
        <v>77</v>
      </c>
      <c r="AM60" t="s">
        <v>78</v>
      </c>
      <c r="AN60" t="s">
        <v>239</v>
      </c>
      <c r="AO60" t="s">
        <v>80</v>
      </c>
      <c r="AP60" t="e">
        <v>#N/A</v>
      </c>
      <c r="AQ60" t="s">
        <v>81</v>
      </c>
      <c r="AR60" t="str">
        <f t="shared" si="0"/>
        <v>60602201.STATAM</v>
      </c>
      <c r="AS60">
        <f t="shared" si="1"/>
        <v>2871099.4299999997</v>
      </c>
      <c r="AT60" t="s">
        <v>82</v>
      </c>
    </row>
    <row r="61" spans="1:46" x14ac:dyDescent="0.35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240</v>
      </c>
      <c r="G61" t="s">
        <v>256</v>
      </c>
      <c r="H61" t="s">
        <v>56</v>
      </c>
      <c r="I61" t="s">
        <v>257</v>
      </c>
      <c r="J61" t="s">
        <v>61</v>
      </c>
      <c r="K61" t="s">
        <v>243</v>
      </c>
      <c r="L61" t="s">
        <v>56</v>
      </c>
      <c r="M61" t="s">
        <v>56</v>
      </c>
      <c r="N61" t="s">
        <v>244</v>
      </c>
      <c r="O61" t="s">
        <v>245</v>
      </c>
      <c r="P61" t="s">
        <v>246</v>
      </c>
      <c r="Q61" t="s">
        <v>247</v>
      </c>
      <c r="R61" t="s">
        <v>248</v>
      </c>
      <c r="S61">
        <v>2000000</v>
      </c>
      <c r="T61">
        <v>-871099.43</v>
      </c>
      <c r="U61" t="s">
        <v>68</v>
      </c>
      <c r="V61" t="s">
        <v>249</v>
      </c>
      <c r="W61" s="9">
        <v>60602201</v>
      </c>
      <c r="X61" t="s">
        <v>258</v>
      </c>
      <c r="Y61" s="1">
        <v>45936</v>
      </c>
      <c r="Z61" s="1">
        <v>45996</v>
      </c>
      <c r="AA61" s="2">
        <v>457811.68</v>
      </c>
      <c r="AB61" s="2">
        <v>387976</v>
      </c>
      <c r="AC61" s="2">
        <v>69835.679999999993</v>
      </c>
      <c r="AD61" s="2">
        <v>387.62</v>
      </c>
      <c r="AE61" t="s">
        <v>265</v>
      </c>
      <c r="AF61" t="s">
        <v>72</v>
      </c>
      <c r="AG61">
        <v>82</v>
      </c>
      <c r="AH61" t="s">
        <v>260</v>
      </c>
      <c r="AI61" t="s">
        <v>74</v>
      </c>
      <c r="AJ61" t="s">
        <v>75</v>
      </c>
      <c r="AK61" t="s">
        <v>76</v>
      </c>
      <c r="AL61" t="s">
        <v>77</v>
      </c>
      <c r="AM61" t="s">
        <v>78</v>
      </c>
      <c r="AN61" t="s">
        <v>239</v>
      </c>
      <c r="AO61" t="s">
        <v>80</v>
      </c>
      <c r="AP61" t="e">
        <v>#N/A</v>
      </c>
      <c r="AQ61" t="s">
        <v>81</v>
      </c>
      <c r="AR61" t="str">
        <f t="shared" si="0"/>
        <v>60602201.STATAM</v>
      </c>
      <c r="AS61">
        <f t="shared" si="1"/>
        <v>2871099.4299999997</v>
      </c>
      <c r="AT61" t="s">
        <v>82</v>
      </c>
    </row>
    <row r="62" spans="1:46" x14ac:dyDescent="0.35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240</v>
      </c>
      <c r="G62" t="s">
        <v>266</v>
      </c>
      <c r="H62" t="s">
        <v>56</v>
      </c>
      <c r="I62" t="s">
        <v>267</v>
      </c>
      <c r="J62" t="s">
        <v>61</v>
      </c>
      <c r="K62" t="s">
        <v>243</v>
      </c>
      <c r="L62" t="s">
        <v>56</v>
      </c>
      <c r="M62" t="s">
        <v>56</v>
      </c>
      <c r="N62" t="s">
        <v>252</v>
      </c>
      <c r="O62" t="s">
        <v>245</v>
      </c>
      <c r="P62" t="s">
        <v>246</v>
      </c>
      <c r="Q62" t="s">
        <v>247</v>
      </c>
      <c r="R62" t="s">
        <v>248</v>
      </c>
      <c r="S62">
        <v>2000000</v>
      </c>
      <c r="T62">
        <v>-871099.43</v>
      </c>
      <c r="U62" t="s">
        <v>68</v>
      </c>
      <c r="V62" t="s">
        <v>249</v>
      </c>
      <c r="W62" s="9">
        <v>60602201</v>
      </c>
      <c r="X62" t="s">
        <v>268</v>
      </c>
      <c r="Y62" s="1">
        <v>45969</v>
      </c>
      <c r="Z62" s="1">
        <v>46029</v>
      </c>
      <c r="AA62" s="2">
        <v>5390.24</v>
      </c>
      <c r="AB62" s="2">
        <v>4568</v>
      </c>
      <c r="AC62" s="2">
        <v>822.24</v>
      </c>
      <c r="AD62" s="2">
        <v>4.57</v>
      </c>
      <c r="AE62" t="s">
        <v>269</v>
      </c>
      <c r="AF62" t="s">
        <v>72</v>
      </c>
      <c r="AG62">
        <v>49</v>
      </c>
      <c r="AH62" t="s">
        <v>236</v>
      </c>
      <c r="AI62" t="s">
        <v>74</v>
      </c>
      <c r="AJ62" t="s">
        <v>75</v>
      </c>
      <c r="AK62" t="s">
        <v>76</v>
      </c>
      <c r="AL62" t="s">
        <v>77</v>
      </c>
      <c r="AM62" t="s">
        <v>78</v>
      </c>
      <c r="AN62" t="s">
        <v>239</v>
      </c>
      <c r="AO62" t="s">
        <v>80</v>
      </c>
      <c r="AP62" t="e">
        <v>#N/A</v>
      </c>
      <c r="AQ62" t="s">
        <v>81</v>
      </c>
      <c r="AR62" t="str">
        <f t="shared" si="0"/>
        <v>60602201.STATAM</v>
      </c>
      <c r="AS62">
        <f t="shared" si="1"/>
        <v>2871099.4299999997</v>
      </c>
      <c r="AT62" t="s">
        <v>82</v>
      </c>
    </row>
    <row r="63" spans="1:46" x14ac:dyDescent="0.35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240</v>
      </c>
      <c r="G63" t="s">
        <v>266</v>
      </c>
      <c r="H63" t="s">
        <v>56</v>
      </c>
      <c r="I63" t="s">
        <v>267</v>
      </c>
      <c r="J63" t="s">
        <v>61</v>
      </c>
      <c r="K63" t="s">
        <v>243</v>
      </c>
      <c r="L63" t="s">
        <v>56</v>
      </c>
      <c r="M63" t="s">
        <v>56</v>
      </c>
      <c r="N63" t="s">
        <v>244</v>
      </c>
      <c r="O63" t="s">
        <v>245</v>
      </c>
      <c r="P63" t="s">
        <v>246</v>
      </c>
      <c r="Q63" t="s">
        <v>247</v>
      </c>
      <c r="R63" t="s">
        <v>248</v>
      </c>
      <c r="S63">
        <v>2000000</v>
      </c>
      <c r="T63">
        <v>-871099.43</v>
      </c>
      <c r="U63" t="s">
        <v>68</v>
      </c>
      <c r="V63" t="s">
        <v>249</v>
      </c>
      <c r="W63" s="9">
        <v>60602201</v>
      </c>
      <c r="X63" t="s">
        <v>268</v>
      </c>
      <c r="Y63" s="1">
        <v>45969</v>
      </c>
      <c r="Z63" s="1">
        <v>46029</v>
      </c>
      <c r="AA63" s="2">
        <v>568214.84</v>
      </c>
      <c r="AB63" s="2">
        <v>481538</v>
      </c>
      <c r="AC63" s="2">
        <v>86676.84</v>
      </c>
      <c r="AD63" s="2">
        <v>481.52</v>
      </c>
      <c r="AE63" t="s">
        <v>270</v>
      </c>
      <c r="AF63" t="s">
        <v>72</v>
      </c>
      <c r="AG63">
        <v>49</v>
      </c>
      <c r="AH63" t="s">
        <v>236</v>
      </c>
      <c r="AI63" t="s">
        <v>74</v>
      </c>
      <c r="AJ63" t="s">
        <v>75</v>
      </c>
      <c r="AK63" t="s">
        <v>76</v>
      </c>
      <c r="AL63" t="s">
        <v>77</v>
      </c>
      <c r="AM63" t="s">
        <v>78</v>
      </c>
      <c r="AN63" t="s">
        <v>239</v>
      </c>
      <c r="AO63" t="s">
        <v>80</v>
      </c>
      <c r="AP63" t="e">
        <v>#N/A</v>
      </c>
      <c r="AQ63" t="s">
        <v>81</v>
      </c>
      <c r="AR63" t="str">
        <f t="shared" si="0"/>
        <v>60602201.STATAM</v>
      </c>
      <c r="AS63">
        <f t="shared" si="1"/>
        <v>2871099.4299999997</v>
      </c>
      <c r="AT63" t="s">
        <v>82</v>
      </c>
    </row>
    <row r="64" spans="1:46" x14ac:dyDescent="0.35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240</v>
      </c>
      <c r="G64" t="s">
        <v>266</v>
      </c>
      <c r="H64" t="s">
        <v>56</v>
      </c>
      <c r="I64" t="s">
        <v>267</v>
      </c>
      <c r="J64" t="s">
        <v>61</v>
      </c>
      <c r="K64" t="s">
        <v>243</v>
      </c>
      <c r="L64" t="s">
        <v>56</v>
      </c>
      <c r="M64" t="s">
        <v>56</v>
      </c>
      <c r="N64" t="s">
        <v>261</v>
      </c>
      <c r="O64" t="s">
        <v>245</v>
      </c>
      <c r="P64" t="s">
        <v>246</v>
      </c>
      <c r="Q64" t="s">
        <v>247</v>
      </c>
      <c r="R64" t="s">
        <v>248</v>
      </c>
      <c r="S64">
        <v>2000000</v>
      </c>
      <c r="T64">
        <v>-871099.43</v>
      </c>
      <c r="U64" t="s">
        <v>68</v>
      </c>
      <c r="V64" t="s">
        <v>249</v>
      </c>
      <c r="W64" s="9">
        <v>60602201</v>
      </c>
      <c r="X64" t="s">
        <v>268</v>
      </c>
      <c r="Y64" s="1">
        <v>45969</v>
      </c>
      <c r="Z64" s="1">
        <v>46029</v>
      </c>
      <c r="AA64" s="2">
        <v>39176</v>
      </c>
      <c r="AB64" s="2">
        <v>33200</v>
      </c>
      <c r="AC64" s="2">
        <v>5976</v>
      </c>
      <c r="AD64" s="2">
        <v>33.200000000000003</v>
      </c>
      <c r="AE64" t="s">
        <v>271</v>
      </c>
      <c r="AF64" t="s">
        <v>72</v>
      </c>
      <c r="AG64">
        <v>49</v>
      </c>
      <c r="AH64" t="s">
        <v>236</v>
      </c>
      <c r="AI64" t="s">
        <v>74</v>
      </c>
      <c r="AJ64" t="s">
        <v>75</v>
      </c>
      <c r="AK64" t="s">
        <v>76</v>
      </c>
      <c r="AL64" t="s">
        <v>77</v>
      </c>
      <c r="AM64" t="s">
        <v>78</v>
      </c>
      <c r="AN64" t="s">
        <v>239</v>
      </c>
      <c r="AO64" t="s">
        <v>80</v>
      </c>
      <c r="AP64" t="e">
        <v>#N/A</v>
      </c>
      <c r="AQ64" t="s">
        <v>81</v>
      </c>
      <c r="AR64" t="str">
        <f t="shared" si="0"/>
        <v>60602201.STATAM</v>
      </c>
      <c r="AS64">
        <f t="shared" si="1"/>
        <v>2871099.4299999997</v>
      </c>
      <c r="AT64" t="s">
        <v>82</v>
      </c>
    </row>
    <row r="65" spans="1:46" x14ac:dyDescent="0.35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240</v>
      </c>
      <c r="G65" t="s">
        <v>266</v>
      </c>
      <c r="H65" t="s">
        <v>56</v>
      </c>
      <c r="I65" t="s">
        <v>267</v>
      </c>
      <c r="J65" t="s">
        <v>61</v>
      </c>
      <c r="K65" t="s">
        <v>243</v>
      </c>
      <c r="L65" t="s">
        <v>56</v>
      </c>
      <c r="M65" t="s">
        <v>56</v>
      </c>
      <c r="N65" t="s">
        <v>254</v>
      </c>
      <c r="O65" t="s">
        <v>245</v>
      </c>
      <c r="P65" t="s">
        <v>246</v>
      </c>
      <c r="Q65" t="s">
        <v>247</v>
      </c>
      <c r="R65" t="s">
        <v>248</v>
      </c>
      <c r="S65">
        <v>2000000</v>
      </c>
      <c r="T65">
        <v>-871099.43</v>
      </c>
      <c r="U65" t="s">
        <v>68</v>
      </c>
      <c r="V65" t="s">
        <v>249</v>
      </c>
      <c r="W65" s="9">
        <v>60602201</v>
      </c>
      <c r="X65" t="s">
        <v>268</v>
      </c>
      <c r="Y65" s="1">
        <v>45969</v>
      </c>
      <c r="Z65" s="1">
        <v>46029</v>
      </c>
      <c r="AA65" s="2">
        <v>332715.15999999997</v>
      </c>
      <c r="AB65" s="2">
        <v>281962</v>
      </c>
      <c r="AC65" s="2">
        <v>50753.16</v>
      </c>
      <c r="AD65" s="2">
        <v>281.95</v>
      </c>
      <c r="AE65" t="s">
        <v>272</v>
      </c>
      <c r="AF65" t="s">
        <v>72</v>
      </c>
      <c r="AG65">
        <v>49</v>
      </c>
      <c r="AH65" t="s">
        <v>236</v>
      </c>
      <c r="AI65" t="s">
        <v>74</v>
      </c>
      <c r="AJ65" t="s">
        <v>75</v>
      </c>
      <c r="AK65" t="s">
        <v>76</v>
      </c>
      <c r="AL65" t="s">
        <v>77</v>
      </c>
      <c r="AM65" t="s">
        <v>78</v>
      </c>
      <c r="AN65" t="s">
        <v>239</v>
      </c>
      <c r="AO65" t="s">
        <v>80</v>
      </c>
      <c r="AP65" t="e">
        <v>#N/A</v>
      </c>
      <c r="AQ65" t="s">
        <v>81</v>
      </c>
      <c r="AR65" t="str">
        <f t="shared" si="0"/>
        <v>60602201.STATAM</v>
      </c>
      <c r="AS65">
        <f t="shared" si="1"/>
        <v>2871099.4299999997</v>
      </c>
      <c r="AT65" t="s">
        <v>82</v>
      </c>
    </row>
    <row r="66" spans="1:46" x14ac:dyDescent="0.35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240</v>
      </c>
      <c r="G66" t="s">
        <v>273</v>
      </c>
      <c r="H66" t="s">
        <v>56</v>
      </c>
      <c r="I66" t="s">
        <v>274</v>
      </c>
      <c r="J66" t="s">
        <v>61</v>
      </c>
      <c r="K66" t="s">
        <v>243</v>
      </c>
      <c r="L66" t="s">
        <v>56</v>
      </c>
      <c r="M66" t="s">
        <v>56</v>
      </c>
      <c r="N66" t="s">
        <v>244</v>
      </c>
      <c r="O66" t="s">
        <v>245</v>
      </c>
      <c r="P66" t="s">
        <v>246</v>
      </c>
      <c r="Q66" t="s">
        <v>247</v>
      </c>
      <c r="R66" t="s">
        <v>248</v>
      </c>
      <c r="S66">
        <v>2000000</v>
      </c>
      <c r="T66">
        <v>-871099.43</v>
      </c>
      <c r="U66" t="s">
        <v>68</v>
      </c>
      <c r="V66" t="s">
        <v>249</v>
      </c>
      <c r="W66" s="9">
        <v>60602201</v>
      </c>
      <c r="X66" t="s">
        <v>275</v>
      </c>
      <c r="Y66" s="1">
        <v>46004</v>
      </c>
      <c r="Z66" s="1">
        <v>46064</v>
      </c>
      <c r="AA66" s="2">
        <v>568214.84</v>
      </c>
      <c r="AB66" s="2">
        <v>481538</v>
      </c>
      <c r="AC66" s="2">
        <v>86676.84</v>
      </c>
      <c r="AD66" s="2">
        <v>568214.84</v>
      </c>
      <c r="AE66" t="s">
        <v>276</v>
      </c>
      <c r="AF66" t="s">
        <v>72</v>
      </c>
      <c r="AG66">
        <v>14</v>
      </c>
      <c r="AH66" t="s">
        <v>73</v>
      </c>
      <c r="AI66" t="s">
        <v>74</v>
      </c>
      <c r="AJ66" t="s">
        <v>75</v>
      </c>
      <c r="AK66" t="s">
        <v>76</v>
      </c>
      <c r="AL66" t="s">
        <v>77</v>
      </c>
      <c r="AM66" t="s">
        <v>78</v>
      </c>
      <c r="AN66" t="s">
        <v>239</v>
      </c>
      <c r="AO66" t="s">
        <v>80</v>
      </c>
      <c r="AP66" t="e">
        <v>#N/A</v>
      </c>
      <c r="AQ66" t="s">
        <v>81</v>
      </c>
      <c r="AR66" t="str">
        <f t="shared" si="0"/>
        <v>60602201.STATAM</v>
      </c>
      <c r="AS66">
        <f t="shared" si="1"/>
        <v>2871099.4299999997</v>
      </c>
      <c r="AT66" t="s">
        <v>82</v>
      </c>
    </row>
    <row r="67" spans="1:46" x14ac:dyDescent="0.35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240</v>
      </c>
      <c r="G67" t="s">
        <v>273</v>
      </c>
      <c r="H67" t="s">
        <v>56</v>
      </c>
      <c r="I67" t="s">
        <v>274</v>
      </c>
      <c r="J67" t="s">
        <v>61</v>
      </c>
      <c r="K67" t="s">
        <v>243</v>
      </c>
      <c r="L67" t="s">
        <v>56</v>
      </c>
      <c r="M67" t="s">
        <v>56</v>
      </c>
      <c r="N67" t="s">
        <v>254</v>
      </c>
      <c r="O67" t="s">
        <v>245</v>
      </c>
      <c r="P67" t="s">
        <v>246</v>
      </c>
      <c r="Q67" t="s">
        <v>247</v>
      </c>
      <c r="R67" t="s">
        <v>248</v>
      </c>
      <c r="S67">
        <v>2000000</v>
      </c>
      <c r="T67">
        <v>-871099.43</v>
      </c>
      <c r="U67" t="s">
        <v>68</v>
      </c>
      <c r="V67" t="s">
        <v>249</v>
      </c>
      <c r="W67" s="9">
        <v>60602201</v>
      </c>
      <c r="X67" t="s">
        <v>275</v>
      </c>
      <c r="Y67" s="1">
        <v>46004</v>
      </c>
      <c r="Z67" s="1">
        <v>46064</v>
      </c>
      <c r="AA67" s="2">
        <v>332715.15999999997</v>
      </c>
      <c r="AB67" s="2">
        <v>281962</v>
      </c>
      <c r="AC67" s="2">
        <v>50753.16</v>
      </c>
      <c r="AD67" s="2">
        <v>332715.15999999997</v>
      </c>
      <c r="AE67" t="s">
        <v>277</v>
      </c>
      <c r="AF67" t="s">
        <v>72</v>
      </c>
      <c r="AG67">
        <v>14</v>
      </c>
      <c r="AH67" t="s">
        <v>73</v>
      </c>
      <c r="AI67" t="s">
        <v>74</v>
      </c>
      <c r="AJ67" t="s">
        <v>75</v>
      </c>
      <c r="AK67" t="s">
        <v>76</v>
      </c>
      <c r="AL67" t="s">
        <v>77</v>
      </c>
      <c r="AM67" t="s">
        <v>78</v>
      </c>
      <c r="AN67" t="s">
        <v>239</v>
      </c>
      <c r="AO67" t="s">
        <v>80</v>
      </c>
      <c r="AP67" t="e">
        <v>#N/A</v>
      </c>
      <c r="AQ67" t="s">
        <v>81</v>
      </c>
      <c r="AR67" t="str">
        <f t="shared" si="0"/>
        <v>60602201.STATAM</v>
      </c>
      <c r="AS67">
        <f t="shared" si="1"/>
        <v>2871099.4299999997</v>
      </c>
      <c r="AT67" t="s">
        <v>82</v>
      </c>
    </row>
    <row r="68" spans="1:46" x14ac:dyDescent="0.35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240</v>
      </c>
      <c r="G68" t="s">
        <v>273</v>
      </c>
      <c r="H68" t="s">
        <v>56</v>
      </c>
      <c r="I68" t="s">
        <v>274</v>
      </c>
      <c r="J68" t="s">
        <v>61</v>
      </c>
      <c r="K68" t="s">
        <v>243</v>
      </c>
      <c r="L68" t="s">
        <v>56</v>
      </c>
      <c r="M68" t="s">
        <v>56</v>
      </c>
      <c r="N68" t="s">
        <v>261</v>
      </c>
      <c r="O68" t="s">
        <v>245</v>
      </c>
      <c r="P68" t="s">
        <v>246</v>
      </c>
      <c r="Q68" t="s">
        <v>247</v>
      </c>
      <c r="R68" t="s">
        <v>248</v>
      </c>
      <c r="S68">
        <v>2000000</v>
      </c>
      <c r="T68">
        <v>-871099.43</v>
      </c>
      <c r="U68" t="s">
        <v>68</v>
      </c>
      <c r="V68" t="s">
        <v>249</v>
      </c>
      <c r="W68" s="9">
        <v>60602201</v>
      </c>
      <c r="X68" t="s">
        <v>275</v>
      </c>
      <c r="Y68" s="1">
        <v>46004</v>
      </c>
      <c r="Z68" s="1">
        <v>46064</v>
      </c>
      <c r="AA68" s="2">
        <v>39176</v>
      </c>
      <c r="AB68" s="2">
        <v>33200</v>
      </c>
      <c r="AC68" s="2">
        <v>5976</v>
      </c>
      <c r="AD68" s="2">
        <v>39176</v>
      </c>
      <c r="AE68" t="s">
        <v>278</v>
      </c>
      <c r="AF68" t="s">
        <v>72</v>
      </c>
      <c r="AG68">
        <v>14</v>
      </c>
      <c r="AH68" t="s">
        <v>73</v>
      </c>
      <c r="AI68" t="s">
        <v>74</v>
      </c>
      <c r="AJ68" t="s">
        <v>75</v>
      </c>
      <c r="AK68" t="s">
        <v>76</v>
      </c>
      <c r="AL68" t="s">
        <v>77</v>
      </c>
      <c r="AM68" t="s">
        <v>78</v>
      </c>
      <c r="AN68" t="s">
        <v>239</v>
      </c>
      <c r="AO68" t="s">
        <v>80</v>
      </c>
      <c r="AP68" t="e">
        <v>#N/A</v>
      </c>
      <c r="AQ68" t="s">
        <v>81</v>
      </c>
      <c r="AR68" t="str">
        <f t="shared" si="0"/>
        <v>60602201.STATAM</v>
      </c>
      <c r="AS68">
        <f t="shared" si="1"/>
        <v>2871099.4299999997</v>
      </c>
      <c r="AT68" t="s">
        <v>82</v>
      </c>
    </row>
    <row r="69" spans="1:46" x14ac:dyDescent="0.35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240</v>
      </c>
      <c r="G69" t="s">
        <v>279</v>
      </c>
      <c r="H69" t="s">
        <v>56</v>
      </c>
      <c r="I69" t="s">
        <v>280</v>
      </c>
      <c r="J69" t="s">
        <v>61</v>
      </c>
      <c r="K69" t="s">
        <v>243</v>
      </c>
      <c r="L69" t="s">
        <v>56</v>
      </c>
      <c r="M69" t="s">
        <v>56</v>
      </c>
      <c r="N69" t="s">
        <v>254</v>
      </c>
      <c r="O69" t="s">
        <v>245</v>
      </c>
      <c r="P69" t="s">
        <v>246</v>
      </c>
      <c r="Q69" t="s">
        <v>87</v>
      </c>
      <c r="R69" t="s">
        <v>248</v>
      </c>
      <c r="S69">
        <v>2000000</v>
      </c>
      <c r="T69">
        <v>-871099.43</v>
      </c>
      <c r="U69" t="s">
        <v>68</v>
      </c>
      <c r="V69" t="s">
        <v>249</v>
      </c>
      <c r="W69" s="9">
        <v>60602201</v>
      </c>
      <c r="X69" t="s">
        <v>281</v>
      </c>
      <c r="Y69" s="1">
        <v>46032</v>
      </c>
      <c r="Z69" s="1">
        <v>46092</v>
      </c>
      <c r="AA69" s="2">
        <v>389715.06</v>
      </c>
      <c r="AB69" s="2">
        <v>330267</v>
      </c>
      <c r="AC69" s="2">
        <v>59448.06</v>
      </c>
      <c r="AD69" s="2">
        <v>384595.79</v>
      </c>
      <c r="AE69" t="s">
        <v>282</v>
      </c>
      <c r="AF69" t="s">
        <v>72</v>
      </c>
      <c r="AG69">
        <v>-14</v>
      </c>
      <c r="AH69" t="s">
        <v>117</v>
      </c>
      <c r="AI69" t="s">
        <v>74</v>
      </c>
      <c r="AJ69" t="s">
        <v>75</v>
      </c>
      <c r="AK69" t="s">
        <v>76</v>
      </c>
      <c r="AL69" t="s">
        <v>118</v>
      </c>
      <c r="AM69" t="s">
        <v>78</v>
      </c>
      <c r="AN69" t="s">
        <v>239</v>
      </c>
      <c r="AO69" t="s">
        <v>119</v>
      </c>
      <c r="AP69" t="e">
        <v>#N/A</v>
      </c>
      <c r="AQ69" t="s">
        <v>81</v>
      </c>
      <c r="AR69" t="str">
        <f t="shared" si="0"/>
        <v>60602201.STATAM</v>
      </c>
      <c r="AS69">
        <f t="shared" si="1"/>
        <v>2871099.4299999997</v>
      </c>
      <c r="AT69" t="s">
        <v>82</v>
      </c>
    </row>
    <row r="70" spans="1:46" x14ac:dyDescent="0.35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240</v>
      </c>
      <c r="G70" t="s">
        <v>279</v>
      </c>
      <c r="H70" t="s">
        <v>56</v>
      </c>
      <c r="I70" t="s">
        <v>280</v>
      </c>
      <c r="J70" t="s">
        <v>61</v>
      </c>
      <c r="K70" t="s">
        <v>243</v>
      </c>
      <c r="L70" t="s">
        <v>56</v>
      </c>
      <c r="M70" t="s">
        <v>56</v>
      </c>
      <c r="N70" t="s">
        <v>244</v>
      </c>
      <c r="O70" t="s">
        <v>245</v>
      </c>
      <c r="P70" t="s">
        <v>246</v>
      </c>
      <c r="Q70" t="s">
        <v>87</v>
      </c>
      <c r="R70" t="s">
        <v>248</v>
      </c>
      <c r="S70">
        <v>2000000</v>
      </c>
      <c r="T70">
        <v>-871099.43</v>
      </c>
      <c r="U70" t="s">
        <v>68</v>
      </c>
      <c r="V70" t="s">
        <v>249</v>
      </c>
      <c r="W70" s="9">
        <v>60602201</v>
      </c>
      <c r="X70" t="s">
        <v>281</v>
      </c>
      <c r="Y70" s="1">
        <v>46032</v>
      </c>
      <c r="Z70" s="1">
        <v>46092</v>
      </c>
      <c r="AA70" s="2">
        <v>818465.7</v>
      </c>
      <c r="AB70" s="2">
        <v>693615</v>
      </c>
      <c r="AC70" s="2">
        <v>124850.7</v>
      </c>
      <c r="AD70" s="2">
        <v>807714.38</v>
      </c>
      <c r="AE70" t="s">
        <v>283</v>
      </c>
      <c r="AF70" t="s">
        <v>72</v>
      </c>
      <c r="AG70">
        <v>-14</v>
      </c>
      <c r="AH70" t="s">
        <v>117</v>
      </c>
      <c r="AI70" t="s">
        <v>74</v>
      </c>
      <c r="AJ70" t="s">
        <v>75</v>
      </c>
      <c r="AK70" t="s">
        <v>76</v>
      </c>
      <c r="AL70" t="s">
        <v>118</v>
      </c>
      <c r="AM70" t="s">
        <v>78</v>
      </c>
      <c r="AN70" t="s">
        <v>239</v>
      </c>
      <c r="AO70" t="s">
        <v>119</v>
      </c>
      <c r="AP70" t="e">
        <v>#N/A</v>
      </c>
      <c r="AQ70" t="s">
        <v>81</v>
      </c>
      <c r="AR70" t="str">
        <f t="shared" si="0"/>
        <v>60602201.STATAM</v>
      </c>
      <c r="AS70">
        <f t="shared" si="1"/>
        <v>2871099.4299999997</v>
      </c>
      <c r="AT70" t="s">
        <v>82</v>
      </c>
    </row>
    <row r="71" spans="1:46" x14ac:dyDescent="0.35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240</v>
      </c>
      <c r="G71" t="s">
        <v>279</v>
      </c>
      <c r="H71" t="s">
        <v>56</v>
      </c>
      <c r="I71" t="s">
        <v>280</v>
      </c>
      <c r="J71" t="s">
        <v>61</v>
      </c>
      <c r="K71" t="s">
        <v>243</v>
      </c>
      <c r="L71" t="s">
        <v>56</v>
      </c>
      <c r="M71" t="s">
        <v>56</v>
      </c>
      <c r="N71" t="s">
        <v>261</v>
      </c>
      <c r="O71" t="s">
        <v>245</v>
      </c>
      <c r="P71" t="s">
        <v>246</v>
      </c>
      <c r="Q71" t="s">
        <v>87</v>
      </c>
      <c r="R71" t="s">
        <v>248</v>
      </c>
      <c r="S71">
        <v>2000000</v>
      </c>
      <c r="T71">
        <v>-871099.43</v>
      </c>
      <c r="U71" t="s">
        <v>68</v>
      </c>
      <c r="V71" t="s">
        <v>249</v>
      </c>
      <c r="W71" s="9">
        <v>60602201</v>
      </c>
      <c r="X71" t="s">
        <v>281</v>
      </c>
      <c r="Y71" s="1">
        <v>46032</v>
      </c>
      <c r="Z71" s="1">
        <v>46092</v>
      </c>
      <c r="AA71" s="2">
        <v>47011.199999999997</v>
      </c>
      <c r="AB71" s="2">
        <v>39840</v>
      </c>
      <c r="AC71" s="2">
        <v>7171.2</v>
      </c>
      <c r="AD71" s="2">
        <v>46393.66</v>
      </c>
      <c r="AE71" t="s">
        <v>284</v>
      </c>
      <c r="AF71" t="s">
        <v>72</v>
      </c>
      <c r="AG71">
        <v>-14</v>
      </c>
      <c r="AH71" t="s">
        <v>117</v>
      </c>
      <c r="AI71" t="s">
        <v>74</v>
      </c>
      <c r="AJ71" t="s">
        <v>75</v>
      </c>
      <c r="AK71" t="s">
        <v>76</v>
      </c>
      <c r="AL71" t="s">
        <v>118</v>
      </c>
      <c r="AM71" t="s">
        <v>78</v>
      </c>
      <c r="AN71" t="s">
        <v>239</v>
      </c>
      <c r="AO71" t="s">
        <v>119</v>
      </c>
      <c r="AP71" t="e">
        <v>#N/A</v>
      </c>
      <c r="AQ71" t="s">
        <v>81</v>
      </c>
      <c r="AR71" t="str">
        <f t="shared" si="0"/>
        <v>60602201.STATAM</v>
      </c>
      <c r="AS71">
        <f t="shared" si="1"/>
        <v>2871099.4299999997</v>
      </c>
      <c r="AT71" t="s">
        <v>82</v>
      </c>
    </row>
    <row r="72" spans="1:46" x14ac:dyDescent="0.35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240</v>
      </c>
      <c r="G72" t="s">
        <v>285</v>
      </c>
      <c r="H72" t="s">
        <v>56</v>
      </c>
      <c r="I72" t="s">
        <v>286</v>
      </c>
      <c r="J72" t="s">
        <v>61</v>
      </c>
      <c r="K72" t="s">
        <v>243</v>
      </c>
      <c r="L72" t="s">
        <v>56</v>
      </c>
      <c r="M72" t="s">
        <v>56</v>
      </c>
      <c r="N72" t="s">
        <v>244</v>
      </c>
      <c r="O72" t="s">
        <v>245</v>
      </c>
      <c r="P72" t="s">
        <v>246</v>
      </c>
      <c r="Q72" t="s">
        <v>247</v>
      </c>
      <c r="R72" t="s">
        <v>248</v>
      </c>
      <c r="S72">
        <v>2000000</v>
      </c>
      <c r="T72">
        <v>-871099.43</v>
      </c>
      <c r="U72" t="s">
        <v>68</v>
      </c>
      <c r="V72" t="s">
        <v>249</v>
      </c>
      <c r="W72" s="9">
        <v>60602201</v>
      </c>
      <c r="X72" t="s">
        <v>287</v>
      </c>
      <c r="Y72" s="1">
        <v>46052</v>
      </c>
      <c r="Z72" s="1">
        <v>46112</v>
      </c>
      <c r="AA72" s="2">
        <v>284107.42</v>
      </c>
      <c r="AB72" s="2">
        <v>240769</v>
      </c>
      <c r="AC72" s="2">
        <v>43338.42</v>
      </c>
      <c r="AD72" s="2">
        <v>284107.42</v>
      </c>
      <c r="AE72" t="s">
        <v>288</v>
      </c>
      <c r="AF72" t="s">
        <v>72</v>
      </c>
      <c r="AG72">
        <v>-34</v>
      </c>
      <c r="AH72" t="s">
        <v>117</v>
      </c>
      <c r="AI72" t="s">
        <v>74</v>
      </c>
      <c r="AJ72" t="s">
        <v>75</v>
      </c>
      <c r="AK72" t="s">
        <v>76</v>
      </c>
      <c r="AL72" t="s">
        <v>118</v>
      </c>
      <c r="AM72" t="s">
        <v>78</v>
      </c>
      <c r="AN72" t="s">
        <v>239</v>
      </c>
      <c r="AO72" t="s">
        <v>119</v>
      </c>
      <c r="AP72" t="e">
        <v>#N/A</v>
      </c>
      <c r="AQ72" t="s">
        <v>81</v>
      </c>
      <c r="AR72" t="str">
        <f t="shared" ref="AR72:AR135" si="2">W72&amp;"."&amp;AQ72</f>
        <v>60602201.STATAM</v>
      </c>
      <c r="AS72">
        <f t="shared" ref="AS72:AS135" si="3">SUMIFS(AD:AD,AQ:AQ,AQ72,W:W,W72)</f>
        <v>2871099.4299999997</v>
      </c>
      <c r="AT72" t="s">
        <v>82</v>
      </c>
    </row>
    <row r="73" spans="1:46" x14ac:dyDescent="0.35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240</v>
      </c>
      <c r="G73" t="s">
        <v>285</v>
      </c>
      <c r="H73" t="s">
        <v>56</v>
      </c>
      <c r="I73" t="s">
        <v>286</v>
      </c>
      <c r="J73" t="s">
        <v>61</v>
      </c>
      <c r="K73" t="s">
        <v>243</v>
      </c>
      <c r="L73" t="s">
        <v>56</v>
      </c>
      <c r="M73" t="s">
        <v>56</v>
      </c>
      <c r="N73" t="s">
        <v>261</v>
      </c>
      <c r="O73" t="s">
        <v>245</v>
      </c>
      <c r="P73" t="s">
        <v>246</v>
      </c>
      <c r="Q73" t="s">
        <v>247</v>
      </c>
      <c r="R73" t="s">
        <v>248</v>
      </c>
      <c r="S73">
        <v>2000000</v>
      </c>
      <c r="T73">
        <v>-871099.43</v>
      </c>
      <c r="U73" t="s">
        <v>68</v>
      </c>
      <c r="V73" t="s">
        <v>249</v>
      </c>
      <c r="W73" s="9">
        <v>60602201</v>
      </c>
      <c r="X73" t="s">
        <v>287</v>
      </c>
      <c r="Y73" s="1">
        <v>46052</v>
      </c>
      <c r="Z73" s="1">
        <v>46112</v>
      </c>
      <c r="AA73" s="2">
        <v>31340.799999999999</v>
      </c>
      <c r="AB73" s="2">
        <v>26560</v>
      </c>
      <c r="AC73" s="2">
        <v>4780.8</v>
      </c>
      <c r="AD73" s="2">
        <v>31340.799999999999</v>
      </c>
      <c r="AE73" t="s">
        <v>289</v>
      </c>
      <c r="AF73" t="s">
        <v>72</v>
      </c>
      <c r="AG73">
        <v>-34</v>
      </c>
      <c r="AH73" t="s">
        <v>117</v>
      </c>
      <c r="AI73" t="s">
        <v>74</v>
      </c>
      <c r="AJ73" t="s">
        <v>75</v>
      </c>
      <c r="AK73" t="s">
        <v>76</v>
      </c>
      <c r="AL73" t="s">
        <v>118</v>
      </c>
      <c r="AM73" t="s">
        <v>78</v>
      </c>
      <c r="AN73" t="s">
        <v>239</v>
      </c>
      <c r="AO73" t="s">
        <v>119</v>
      </c>
      <c r="AP73" t="e">
        <v>#N/A</v>
      </c>
      <c r="AQ73" t="s">
        <v>81</v>
      </c>
      <c r="AR73" t="str">
        <f t="shared" si="2"/>
        <v>60602201.STATAM</v>
      </c>
      <c r="AS73">
        <f t="shared" si="3"/>
        <v>2871099.4299999997</v>
      </c>
      <c r="AT73" t="s">
        <v>82</v>
      </c>
    </row>
    <row r="74" spans="1:46" x14ac:dyDescent="0.35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240</v>
      </c>
      <c r="G74" t="s">
        <v>285</v>
      </c>
      <c r="H74" t="s">
        <v>56</v>
      </c>
      <c r="I74" t="s">
        <v>286</v>
      </c>
      <c r="J74" t="s">
        <v>61</v>
      </c>
      <c r="K74" t="s">
        <v>243</v>
      </c>
      <c r="L74" t="s">
        <v>56</v>
      </c>
      <c r="M74" t="s">
        <v>56</v>
      </c>
      <c r="N74" t="s">
        <v>254</v>
      </c>
      <c r="O74" t="s">
        <v>245</v>
      </c>
      <c r="P74" t="s">
        <v>246</v>
      </c>
      <c r="Q74" t="s">
        <v>247</v>
      </c>
      <c r="R74" t="s">
        <v>248</v>
      </c>
      <c r="S74">
        <v>2000000</v>
      </c>
      <c r="T74">
        <v>-871099.43</v>
      </c>
      <c r="U74" t="s">
        <v>68</v>
      </c>
      <c r="V74" t="s">
        <v>249</v>
      </c>
      <c r="W74" s="9">
        <v>60602201</v>
      </c>
      <c r="X74" t="s">
        <v>287</v>
      </c>
      <c r="Y74" s="1">
        <v>46052</v>
      </c>
      <c r="Z74" s="1">
        <v>46112</v>
      </c>
      <c r="AA74" s="2">
        <v>332715.15999999997</v>
      </c>
      <c r="AB74" s="2">
        <v>281962</v>
      </c>
      <c r="AC74" s="2">
        <v>50753.16</v>
      </c>
      <c r="AD74" s="2">
        <v>332715.15999999997</v>
      </c>
      <c r="AE74" t="s">
        <v>290</v>
      </c>
      <c r="AF74" t="s">
        <v>72</v>
      </c>
      <c r="AG74">
        <v>-34</v>
      </c>
      <c r="AH74" t="s">
        <v>117</v>
      </c>
      <c r="AI74" t="s">
        <v>74</v>
      </c>
      <c r="AJ74" t="s">
        <v>75</v>
      </c>
      <c r="AK74" t="s">
        <v>76</v>
      </c>
      <c r="AL74" t="s">
        <v>118</v>
      </c>
      <c r="AM74" t="s">
        <v>78</v>
      </c>
      <c r="AN74" t="s">
        <v>239</v>
      </c>
      <c r="AO74" t="s">
        <v>119</v>
      </c>
      <c r="AP74" t="e">
        <v>#N/A</v>
      </c>
      <c r="AQ74" t="s">
        <v>81</v>
      </c>
      <c r="AR74" t="str">
        <f t="shared" si="2"/>
        <v>60602201.STATAM</v>
      </c>
      <c r="AS74">
        <f t="shared" si="3"/>
        <v>2871099.4299999997</v>
      </c>
      <c r="AT74" t="s">
        <v>82</v>
      </c>
    </row>
    <row r="75" spans="1:46" x14ac:dyDescent="0.35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240</v>
      </c>
      <c r="G75" t="s">
        <v>291</v>
      </c>
      <c r="H75" t="s">
        <v>56</v>
      </c>
      <c r="I75" t="s">
        <v>292</v>
      </c>
      <c r="J75" t="s">
        <v>61</v>
      </c>
      <c r="K75" t="s">
        <v>243</v>
      </c>
      <c r="L75" t="s">
        <v>56</v>
      </c>
      <c r="M75" t="s">
        <v>56</v>
      </c>
      <c r="N75" t="s">
        <v>252</v>
      </c>
      <c r="O75" t="s">
        <v>245</v>
      </c>
      <c r="P75" t="s">
        <v>246</v>
      </c>
      <c r="Q75" t="s">
        <v>247</v>
      </c>
      <c r="R75" t="s">
        <v>248</v>
      </c>
      <c r="S75">
        <v>2000000</v>
      </c>
      <c r="T75">
        <v>-871099.43</v>
      </c>
      <c r="U75" t="s">
        <v>68</v>
      </c>
      <c r="V75" t="s">
        <v>249</v>
      </c>
      <c r="W75" s="9">
        <v>60602201</v>
      </c>
      <c r="X75" t="s">
        <v>293</v>
      </c>
      <c r="Y75" s="1">
        <v>46052</v>
      </c>
      <c r="Z75" s="1">
        <v>46112</v>
      </c>
      <c r="AA75" s="2">
        <v>10391.08</v>
      </c>
      <c r="AB75" s="2">
        <v>8806</v>
      </c>
      <c r="AC75" s="2">
        <v>1585.08</v>
      </c>
      <c r="AD75" s="2">
        <v>10391.08</v>
      </c>
      <c r="AE75" t="s">
        <v>294</v>
      </c>
      <c r="AF75" t="s">
        <v>72</v>
      </c>
      <c r="AG75">
        <v>-34</v>
      </c>
      <c r="AH75" t="s">
        <v>117</v>
      </c>
      <c r="AI75" t="s">
        <v>74</v>
      </c>
      <c r="AJ75" t="s">
        <v>75</v>
      </c>
      <c r="AK75" t="s">
        <v>76</v>
      </c>
      <c r="AL75" t="s">
        <v>118</v>
      </c>
      <c r="AM75" t="s">
        <v>78</v>
      </c>
      <c r="AN75" t="s">
        <v>239</v>
      </c>
      <c r="AO75" t="s">
        <v>119</v>
      </c>
      <c r="AP75" t="e">
        <v>#N/A</v>
      </c>
      <c r="AQ75" t="s">
        <v>81</v>
      </c>
      <c r="AR75" t="str">
        <f t="shared" si="2"/>
        <v>60602201.STATAM</v>
      </c>
      <c r="AS75">
        <f t="shared" si="3"/>
        <v>2871099.4299999997</v>
      </c>
      <c r="AT75" t="s">
        <v>82</v>
      </c>
    </row>
    <row r="76" spans="1:46" x14ac:dyDescent="0.35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240</v>
      </c>
      <c r="G76" t="s">
        <v>291</v>
      </c>
      <c r="H76" t="s">
        <v>56</v>
      </c>
      <c r="I76" t="s">
        <v>292</v>
      </c>
      <c r="J76" t="s">
        <v>61</v>
      </c>
      <c r="K76" t="s">
        <v>243</v>
      </c>
      <c r="L76" t="s">
        <v>56</v>
      </c>
      <c r="M76" t="s">
        <v>56</v>
      </c>
      <c r="N76" t="s">
        <v>295</v>
      </c>
      <c r="O76" t="s">
        <v>245</v>
      </c>
      <c r="P76" t="s">
        <v>246</v>
      </c>
      <c r="Q76" t="s">
        <v>247</v>
      </c>
      <c r="R76" t="s">
        <v>248</v>
      </c>
      <c r="S76">
        <v>2000000</v>
      </c>
      <c r="T76">
        <v>-871099.43</v>
      </c>
      <c r="U76" t="s">
        <v>68</v>
      </c>
      <c r="V76" t="s">
        <v>249</v>
      </c>
      <c r="W76" s="9">
        <v>60602201</v>
      </c>
      <c r="X76" t="s">
        <v>293</v>
      </c>
      <c r="Y76" s="1">
        <v>46052</v>
      </c>
      <c r="Z76" s="1">
        <v>46112</v>
      </c>
      <c r="AA76" s="2">
        <v>31180.32</v>
      </c>
      <c r="AB76" s="2">
        <v>26424</v>
      </c>
      <c r="AC76" s="2">
        <v>4756.32</v>
      </c>
      <c r="AD76" s="2">
        <v>31180.32</v>
      </c>
      <c r="AE76" t="s">
        <v>296</v>
      </c>
      <c r="AF76" t="s">
        <v>72</v>
      </c>
      <c r="AG76">
        <v>-34</v>
      </c>
      <c r="AH76" t="s">
        <v>117</v>
      </c>
      <c r="AI76" t="s">
        <v>74</v>
      </c>
      <c r="AJ76" t="s">
        <v>75</v>
      </c>
      <c r="AK76" t="s">
        <v>76</v>
      </c>
      <c r="AL76" t="s">
        <v>118</v>
      </c>
      <c r="AM76" t="s">
        <v>78</v>
      </c>
      <c r="AN76" t="s">
        <v>239</v>
      </c>
      <c r="AO76" t="s">
        <v>119</v>
      </c>
      <c r="AP76" t="e">
        <v>#N/A</v>
      </c>
      <c r="AQ76" t="s">
        <v>81</v>
      </c>
      <c r="AR76" t="str">
        <f t="shared" si="2"/>
        <v>60602201.STATAM</v>
      </c>
      <c r="AS76">
        <f t="shared" si="3"/>
        <v>2871099.4299999997</v>
      </c>
      <c r="AT76" t="s">
        <v>82</v>
      </c>
    </row>
    <row r="77" spans="1:46" x14ac:dyDescent="0.35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297</v>
      </c>
      <c r="G77" t="s">
        <v>298</v>
      </c>
      <c r="H77" t="s">
        <v>59</v>
      </c>
      <c r="I77" t="s">
        <v>299</v>
      </c>
      <c r="J77" t="s">
        <v>61</v>
      </c>
      <c r="K77" t="s">
        <v>62</v>
      </c>
      <c r="L77" t="s">
        <v>56</v>
      </c>
      <c r="M77" t="s">
        <v>56</v>
      </c>
      <c r="N77" t="s">
        <v>63</v>
      </c>
      <c r="O77" t="s">
        <v>64</v>
      </c>
      <c r="P77" t="s">
        <v>65</v>
      </c>
      <c r="Q77" t="s">
        <v>300</v>
      </c>
      <c r="R77" t="s">
        <v>248</v>
      </c>
      <c r="S77">
        <v>4000000</v>
      </c>
      <c r="T77">
        <v>2203005.5</v>
      </c>
      <c r="U77" t="s">
        <v>68</v>
      </c>
      <c r="V77" t="s">
        <v>301</v>
      </c>
      <c r="W77" s="9">
        <v>60602722</v>
      </c>
      <c r="X77" t="s">
        <v>302</v>
      </c>
      <c r="Y77" s="1">
        <v>45828</v>
      </c>
      <c r="Z77" s="1">
        <v>45888</v>
      </c>
      <c r="AA77" s="2">
        <v>2259303.04</v>
      </c>
      <c r="AB77" s="2">
        <v>1914663.6</v>
      </c>
      <c r="AC77" s="2">
        <v>344639.44</v>
      </c>
      <c r="AD77" s="2">
        <v>1796994.5</v>
      </c>
      <c r="AE77" t="s">
        <v>303</v>
      </c>
      <c r="AF77" t="s">
        <v>72</v>
      </c>
      <c r="AG77">
        <v>190</v>
      </c>
      <c r="AH77" t="s">
        <v>101</v>
      </c>
      <c r="AI77" t="s">
        <v>74</v>
      </c>
      <c r="AJ77" t="s">
        <v>75</v>
      </c>
      <c r="AK77" t="s">
        <v>76</v>
      </c>
      <c r="AL77" t="s">
        <v>77</v>
      </c>
      <c r="AM77" t="s">
        <v>78</v>
      </c>
      <c r="AN77" t="s">
        <v>79</v>
      </c>
      <c r="AO77" t="s">
        <v>80</v>
      </c>
      <c r="AP77" t="e">
        <v>#N/A</v>
      </c>
      <c r="AQ77" t="s">
        <v>81</v>
      </c>
      <c r="AR77" t="str">
        <f t="shared" si="2"/>
        <v>60602722.STATAM</v>
      </c>
      <c r="AS77">
        <f t="shared" si="3"/>
        <v>1796994.5</v>
      </c>
      <c r="AT77" t="s">
        <v>82</v>
      </c>
    </row>
    <row r="78" spans="1:46" x14ac:dyDescent="0.35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304</v>
      </c>
      <c r="G78" t="s">
        <v>305</v>
      </c>
      <c r="H78" t="s">
        <v>59</v>
      </c>
      <c r="I78" t="s">
        <v>306</v>
      </c>
      <c r="J78" t="s">
        <v>61</v>
      </c>
      <c r="K78" t="s">
        <v>62</v>
      </c>
      <c r="L78" t="s">
        <v>56</v>
      </c>
      <c r="M78" t="s">
        <v>56</v>
      </c>
      <c r="N78" t="s">
        <v>63</v>
      </c>
      <c r="O78" t="s">
        <v>245</v>
      </c>
      <c r="P78" t="s">
        <v>246</v>
      </c>
      <c r="Q78" t="s">
        <v>307</v>
      </c>
      <c r="R78" t="s">
        <v>67</v>
      </c>
      <c r="T78">
        <v>-1889031.63</v>
      </c>
      <c r="U78" t="s">
        <v>68</v>
      </c>
      <c r="V78" t="s">
        <v>308</v>
      </c>
      <c r="W78" s="9">
        <v>60602918</v>
      </c>
      <c r="X78" t="s">
        <v>309</v>
      </c>
      <c r="Y78" s="1">
        <v>46029</v>
      </c>
      <c r="Z78" s="1">
        <v>46059</v>
      </c>
      <c r="AA78" s="2">
        <v>992591.3</v>
      </c>
      <c r="AB78" s="2">
        <v>841179.06</v>
      </c>
      <c r="AC78" s="2">
        <v>151412.24</v>
      </c>
      <c r="AD78" s="2">
        <v>64982.99</v>
      </c>
      <c r="AE78" t="s">
        <v>310</v>
      </c>
      <c r="AF78" t="s">
        <v>72</v>
      </c>
      <c r="AG78">
        <v>19</v>
      </c>
      <c r="AH78" t="s">
        <v>73</v>
      </c>
      <c r="AI78" t="s">
        <v>74</v>
      </c>
      <c r="AJ78" t="s">
        <v>75</v>
      </c>
      <c r="AK78" t="s">
        <v>76</v>
      </c>
      <c r="AL78" t="s">
        <v>77</v>
      </c>
      <c r="AM78" t="s">
        <v>78</v>
      </c>
      <c r="AN78" t="s">
        <v>239</v>
      </c>
      <c r="AO78" t="s">
        <v>80</v>
      </c>
      <c r="AP78" t="e">
        <v>#N/A</v>
      </c>
      <c r="AQ78" t="s">
        <v>81</v>
      </c>
      <c r="AR78" t="str">
        <f t="shared" si="2"/>
        <v>60602918.STATAM</v>
      </c>
      <c r="AS78">
        <f t="shared" si="3"/>
        <v>1811215.35</v>
      </c>
      <c r="AT78" t="s">
        <v>82</v>
      </c>
    </row>
    <row r="79" spans="1:46" x14ac:dyDescent="0.35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304</v>
      </c>
      <c r="G79" t="s">
        <v>305</v>
      </c>
      <c r="H79" t="s">
        <v>59</v>
      </c>
      <c r="I79" t="s">
        <v>306</v>
      </c>
      <c r="J79" t="s">
        <v>61</v>
      </c>
      <c r="K79" t="s">
        <v>62</v>
      </c>
      <c r="L79" t="s">
        <v>56</v>
      </c>
      <c r="M79" t="s">
        <v>56</v>
      </c>
      <c r="N79" t="s">
        <v>63</v>
      </c>
      <c r="O79" t="s">
        <v>245</v>
      </c>
      <c r="P79" t="s">
        <v>246</v>
      </c>
      <c r="Q79" t="s">
        <v>307</v>
      </c>
      <c r="R79" t="s">
        <v>67</v>
      </c>
      <c r="T79">
        <v>-1889031.63</v>
      </c>
      <c r="U79" t="s">
        <v>68</v>
      </c>
      <c r="V79" t="s">
        <v>308</v>
      </c>
      <c r="W79" s="9">
        <v>60602918</v>
      </c>
      <c r="X79" t="s">
        <v>311</v>
      </c>
      <c r="Y79" s="1">
        <v>46046</v>
      </c>
      <c r="Z79" s="1">
        <v>46076</v>
      </c>
      <c r="AA79" s="2">
        <v>907781.88</v>
      </c>
      <c r="AB79" s="2">
        <v>769306.68</v>
      </c>
      <c r="AC79" s="2">
        <v>138475.20000000001</v>
      </c>
      <c r="AD79" s="2">
        <v>907781.88</v>
      </c>
      <c r="AE79" t="s">
        <v>312</v>
      </c>
      <c r="AF79" t="s">
        <v>72</v>
      </c>
      <c r="AG79">
        <v>2</v>
      </c>
      <c r="AH79" t="s">
        <v>73</v>
      </c>
      <c r="AI79" t="s">
        <v>74</v>
      </c>
      <c r="AJ79" t="s">
        <v>75</v>
      </c>
      <c r="AK79" t="s">
        <v>76</v>
      </c>
      <c r="AL79" t="s">
        <v>77</v>
      </c>
      <c r="AM79" t="s">
        <v>78</v>
      </c>
      <c r="AN79" t="s">
        <v>239</v>
      </c>
      <c r="AO79" t="s">
        <v>80</v>
      </c>
      <c r="AP79" t="e">
        <v>#N/A</v>
      </c>
      <c r="AQ79" t="s">
        <v>81</v>
      </c>
      <c r="AR79" t="str">
        <f t="shared" si="2"/>
        <v>60602918.STATAM</v>
      </c>
      <c r="AS79">
        <f t="shared" si="3"/>
        <v>1811215.35</v>
      </c>
      <c r="AT79" t="s">
        <v>82</v>
      </c>
    </row>
    <row r="80" spans="1:46" x14ac:dyDescent="0.35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304</v>
      </c>
      <c r="G80" t="s">
        <v>305</v>
      </c>
      <c r="H80" t="s">
        <v>59</v>
      </c>
      <c r="I80" t="s">
        <v>306</v>
      </c>
      <c r="J80" t="s">
        <v>61</v>
      </c>
      <c r="K80" t="s">
        <v>62</v>
      </c>
      <c r="L80" t="s">
        <v>56</v>
      </c>
      <c r="M80" t="s">
        <v>56</v>
      </c>
      <c r="N80" t="s">
        <v>63</v>
      </c>
      <c r="O80" t="s">
        <v>245</v>
      </c>
      <c r="P80" t="s">
        <v>246</v>
      </c>
      <c r="Q80" t="s">
        <v>307</v>
      </c>
      <c r="R80" t="s">
        <v>67</v>
      </c>
      <c r="T80">
        <v>-1889031.63</v>
      </c>
      <c r="U80" t="s">
        <v>68</v>
      </c>
      <c r="V80" t="s">
        <v>308</v>
      </c>
      <c r="W80" s="9">
        <v>60602918</v>
      </c>
      <c r="X80" t="s">
        <v>313</v>
      </c>
      <c r="Y80" s="1">
        <v>46071</v>
      </c>
      <c r="Z80" s="1">
        <v>46101</v>
      </c>
      <c r="AA80" s="2">
        <v>838450.48</v>
      </c>
      <c r="AB80" s="2">
        <v>710551.26</v>
      </c>
      <c r="AC80" s="2">
        <v>127899.22</v>
      </c>
      <c r="AD80" s="2">
        <v>838450.48</v>
      </c>
      <c r="AE80" t="s">
        <v>314</v>
      </c>
      <c r="AF80" t="s">
        <v>72</v>
      </c>
      <c r="AG80">
        <v>-23</v>
      </c>
      <c r="AH80" t="s">
        <v>117</v>
      </c>
      <c r="AI80" t="s">
        <v>74</v>
      </c>
      <c r="AJ80" t="s">
        <v>75</v>
      </c>
      <c r="AK80" t="s">
        <v>76</v>
      </c>
      <c r="AL80" t="s">
        <v>118</v>
      </c>
      <c r="AM80" t="s">
        <v>78</v>
      </c>
      <c r="AN80" t="s">
        <v>239</v>
      </c>
      <c r="AO80" t="s">
        <v>119</v>
      </c>
      <c r="AP80" t="e">
        <v>#N/A</v>
      </c>
      <c r="AQ80" t="s">
        <v>81</v>
      </c>
      <c r="AR80" t="str">
        <f t="shared" si="2"/>
        <v>60602918.STATAM</v>
      </c>
      <c r="AS80">
        <f t="shared" si="3"/>
        <v>1811215.35</v>
      </c>
      <c r="AT80" t="s">
        <v>82</v>
      </c>
    </row>
    <row r="81" spans="1:46" x14ac:dyDescent="0.35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315</v>
      </c>
      <c r="G81" t="s">
        <v>316</v>
      </c>
      <c r="H81" t="s">
        <v>59</v>
      </c>
      <c r="I81" t="s">
        <v>317</v>
      </c>
      <c r="J81" t="s">
        <v>61</v>
      </c>
      <c r="K81" t="s">
        <v>62</v>
      </c>
      <c r="L81" t="s">
        <v>56</v>
      </c>
      <c r="M81" t="s">
        <v>56</v>
      </c>
      <c r="N81" t="s">
        <v>63</v>
      </c>
      <c r="O81" t="s">
        <v>318</v>
      </c>
      <c r="P81" t="s">
        <v>319</v>
      </c>
      <c r="Q81" t="s">
        <v>320</v>
      </c>
      <c r="R81" t="s">
        <v>248</v>
      </c>
      <c r="S81">
        <v>2500000</v>
      </c>
      <c r="T81">
        <v>-625731.17000000004</v>
      </c>
      <c r="U81" t="s">
        <v>68</v>
      </c>
      <c r="V81" t="s">
        <v>321</v>
      </c>
      <c r="W81" s="9">
        <v>60604014</v>
      </c>
      <c r="X81" t="s">
        <v>322</v>
      </c>
      <c r="Y81" s="1">
        <v>46027</v>
      </c>
      <c r="Z81" s="1">
        <v>46087</v>
      </c>
      <c r="AA81" s="2">
        <v>1827554.53</v>
      </c>
      <c r="AB81" s="2">
        <v>1548775.03</v>
      </c>
      <c r="AC81" s="2">
        <v>278779.5</v>
      </c>
      <c r="AD81" s="2">
        <v>145963.54999999999</v>
      </c>
      <c r="AE81" t="s">
        <v>323</v>
      </c>
      <c r="AF81" t="s">
        <v>72</v>
      </c>
      <c r="AG81">
        <v>-9</v>
      </c>
      <c r="AH81" t="s">
        <v>117</v>
      </c>
      <c r="AI81" t="s">
        <v>74</v>
      </c>
      <c r="AJ81" t="s">
        <v>75</v>
      </c>
      <c r="AK81" t="s">
        <v>76</v>
      </c>
      <c r="AL81" t="s">
        <v>118</v>
      </c>
      <c r="AM81" t="s">
        <v>78</v>
      </c>
      <c r="AN81" t="s">
        <v>239</v>
      </c>
      <c r="AO81" t="s">
        <v>119</v>
      </c>
      <c r="AP81" t="e">
        <v>#N/A</v>
      </c>
      <c r="AQ81" t="s">
        <v>81</v>
      </c>
      <c r="AR81" t="str">
        <f t="shared" si="2"/>
        <v>60604014.STATAM</v>
      </c>
      <c r="AS81">
        <f t="shared" si="3"/>
        <v>2983236.7300000004</v>
      </c>
      <c r="AT81" t="s">
        <v>82</v>
      </c>
    </row>
    <row r="82" spans="1:46" x14ac:dyDescent="0.35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315</v>
      </c>
      <c r="G82" t="s">
        <v>324</v>
      </c>
      <c r="H82" t="s">
        <v>59</v>
      </c>
      <c r="I82" t="s">
        <v>325</v>
      </c>
      <c r="J82" t="s">
        <v>61</v>
      </c>
      <c r="K82" t="s">
        <v>62</v>
      </c>
      <c r="L82" t="s">
        <v>56</v>
      </c>
      <c r="M82" t="s">
        <v>56</v>
      </c>
      <c r="N82" t="s">
        <v>63</v>
      </c>
      <c r="O82" t="s">
        <v>245</v>
      </c>
      <c r="P82" t="s">
        <v>246</v>
      </c>
      <c r="Q82" t="s">
        <v>326</v>
      </c>
      <c r="R82" t="s">
        <v>248</v>
      </c>
      <c r="S82">
        <v>2500000</v>
      </c>
      <c r="T82">
        <v>-625731.17000000004</v>
      </c>
      <c r="U82" t="s">
        <v>68</v>
      </c>
      <c r="V82" t="s">
        <v>321</v>
      </c>
      <c r="W82" s="9">
        <v>60604014</v>
      </c>
      <c r="X82" t="s">
        <v>327</v>
      </c>
      <c r="Y82" s="1">
        <v>46027</v>
      </c>
      <c r="Z82" s="1">
        <v>46087</v>
      </c>
      <c r="AA82" s="2">
        <v>355613.88</v>
      </c>
      <c r="AB82" s="2">
        <v>301367.7</v>
      </c>
      <c r="AC82" s="2">
        <v>54246.18</v>
      </c>
      <c r="AD82" s="2">
        <v>355613.88</v>
      </c>
      <c r="AE82" t="s">
        <v>328</v>
      </c>
      <c r="AF82" t="s">
        <v>72</v>
      </c>
      <c r="AG82">
        <v>-9</v>
      </c>
      <c r="AH82" t="s">
        <v>117</v>
      </c>
      <c r="AI82" t="s">
        <v>74</v>
      </c>
      <c r="AJ82" t="s">
        <v>75</v>
      </c>
      <c r="AK82" t="s">
        <v>76</v>
      </c>
      <c r="AL82" t="s">
        <v>118</v>
      </c>
      <c r="AM82" t="s">
        <v>78</v>
      </c>
      <c r="AN82" t="s">
        <v>239</v>
      </c>
      <c r="AO82" t="s">
        <v>119</v>
      </c>
      <c r="AP82" t="e">
        <v>#N/A</v>
      </c>
      <c r="AQ82" t="s">
        <v>81</v>
      </c>
      <c r="AR82" t="str">
        <f t="shared" si="2"/>
        <v>60604014.STATAM</v>
      </c>
      <c r="AS82">
        <f t="shared" si="3"/>
        <v>2983236.7300000004</v>
      </c>
      <c r="AT82" t="s">
        <v>82</v>
      </c>
    </row>
    <row r="83" spans="1:46" x14ac:dyDescent="0.35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315</v>
      </c>
      <c r="G83" t="s">
        <v>329</v>
      </c>
      <c r="H83" t="s">
        <v>56</v>
      </c>
      <c r="I83" t="s">
        <v>330</v>
      </c>
      <c r="J83" t="s">
        <v>61</v>
      </c>
      <c r="K83" t="s">
        <v>62</v>
      </c>
      <c r="L83" t="s">
        <v>56</v>
      </c>
      <c r="M83" t="s">
        <v>56</v>
      </c>
      <c r="N83" t="s">
        <v>331</v>
      </c>
      <c r="O83" t="s">
        <v>318</v>
      </c>
      <c r="P83" t="s">
        <v>319</v>
      </c>
      <c r="Q83" t="s">
        <v>87</v>
      </c>
      <c r="R83" t="s">
        <v>248</v>
      </c>
      <c r="S83">
        <v>2500000</v>
      </c>
      <c r="T83">
        <v>-625731.17000000004</v>
      </c>
      <c r="U83" t="s">
        <v>68</v>
      </c>
      <c r="V83" t="s">
        <v>321</v>
      </c>
      <c r="W83" s="9">
        <v>60604014</v>
      </c>
      <c r="X83" t="s">
        <v>332</v>
      </c>
      <c r="Y83" s="1">
        <v>46031</v>
      </c>
      <c r="Z83" s="1">
        <v>46091</v>
      </c>
      <c r="AA83" s="2">
        <v>17308.240000000002</v>
      </c>
      <c r="AB83" s="2">
        <v>14668</v>
      </c>
      <c r="AC83" s="2">
        <v>2640.24</v>
      </c>
      <c r="AD83" s="2">
        <v>17308.240000000002</v>
      </c>
      <c r="AE83" t="s">
        <v>333</v>
      </c>
      <c r="AF83" t="s">
        <v>72</v>
      </c>
      <c r="AG83">
        <v>-13</v>
      </c>
      <c r="AH83" t="s">
        <v>117</v>
      </c>
      <c r="AI83" t="s">
        <v>74</v>
      </c>
      <c r="AJ83" t="s">
        <v>127</v>
      </c>
      <c r="AK83" t="s">
        <v>334</v>
      </c>
      <c r="AL83" t="s">
        <v>118</v>
      </c>
      <c r="AM83" t="s">
        <v>78</v>
      </c>
      <c r="AN83" t="s">
        <v>239</v>
      </c>
      <c r="AO83" t="s">
        <v>119</v>
      </c>
      <c r="AP83" t="e">
        <v>#N/A</v>
      </c>
      <c r="AQ83" t="s">
        <v>335</v>
      </c>
      <c r="AR83" t="str">
        <f t="shared" si="2"/>
        <v>60604014.SPMINAM</v>
      </c>
      <c r="AS83">
        <f t="shared" si="3"/>
        <v>80585.740000000005</v>
      </c>
      <c r="AT83" t="s">
        <v>82</v>
      </c>
    </row>
    <row r="84" spans="1:46" x14ac:dyDescent="0.35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315</v>
      </c>
      <c r="G84" t="s">
        <v>329</v>
      </c>
      <c r="H84" t="s">
        <v>56</v>
      </c>
      <c r="I84" t="s">
        <v>330</v>
      </c>
      <c r="J84" t="s">
        <v>61</v>
      </c>
      <c r="K84" t="s">
        <v>62</v>
      </c>
      <c r="L84" t="s">
        <v>56</v>
      </c>
      <c r="M84" t="s">
        <v>56</v>
      </c>
      <c r="N84" t="s">
        <v>252</v>
      </c>
      <c r="O84" t="s">
        <v>318</v>
      </c>
      <c r="P84" t="s">
        <v>319</v>
      </c>
      <c r="Q84" t="s">
        <v>87</v>
      </c>
      <c r="R84" t="s">
        <v>248</v>
      </c>
      <c r="S84">
        <v>2500000</v>
      </c>
      <c r="T84">
        <v>-625731.17000000004</v>
      </c>
      <c r="U84" t="s">
        <v>68</v>
      </c>
      <c r="V84" t="s">
        <v>321</v>
      </c>
      <c r="W84" s="9">
        <v>60604014</v>
      </c>
      <c r="X84" t="s">
        <v>332</v>
      </c>
      <c r="Y84" s="1">
        <v>46031</v>
      </c>
      <c r="Z84" s="1">
        <v>46091</v>
      </c>
      <c r="AA84" s="2">
        <v>52131.22</v>
      </c>
      <c r="AB84" s="2">
        <v>44179</v>
      </c>
      <c r="AC84" s="2">
        <v>7952.22</v>
      </c>
      <c r="AD84" s="2">
        <v>52131.22</v>
      </c>
      <c r="AE84" t="s">
        <v>336</v>
      </c>
      <c r="AF84" t="s">
        <v>72</v>
      </c>
      <c r="AG84">
        <v>-13</v>
      </c>
      <c r="AH84" t="s">
        <v>117</v>
      </c>
      <c r="AI84" t="s">
        <v>74</v>
      </c>
      <c r="AJ84" t="s">
        <v>75</v>
      </c>
      <c r="AK84" t="s">
        <v>76</v>
      </c>
      <c r="AL84" t="s">
        <v>118</v>
      </c>
      <c r="AM84" t="s">
        <v>78</v>
      </c>
      <c r="AN84" t="s">
        <v>239</v>
      </c>
      <c r="AO84" t="s">
        <v>119</v>
      </c>
      <c r="AP84" t="e">
        <v>#N/A</v>
      </c>
      <c r="AQ84" t="s">
        <v>81</v>
      </c>
      <c r="AR84" t="str">
        <f t="shared" si="2"/>
        <v>60604014.STATAM</v>
      </c>
      <c r="AS84">
        <f t="shared" si="3"/>
        <v>2983236.7300000004</v>
      </c>
      <c r="AT84" t="s">
        <v>82</v>
      </c>
    </row>
    <row r="85" spans="1:46" x14ac:dyDescent="0.35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315</v>
      </c>
      <c r="G85" t="s">
        <v>329</v>
      </c>
      <c r="H85" t="s">
        <v>56</v>
      </c>
      <c r="I85" t="s">
        <v>330</v>
      </c>
      <c r="J85" t="s">
        <v>61</v>
      </c>
      <c r="K85" t="s">
        <v>62</v>
      </c>
      <c r="L85" t="s">
        <v>56</v>
      </c>
      <c r="M85" t="s">
        <v>56</v>
      </c>
      <c r="N85" t="s">
        <v>337</v>
      </c>
      <c r="O85" t="s">
        <v>318</v>
      </c>
      <c r="P85" t="s">
        <v>319</v>
      </c>
      <c r="Q85" t="s">
        <v>87</v>
      </c>
      <c r="R85" t="s">
        <v>248</v>
      </c>
      <c r="S85">
        <v>2500000</v>
      </c>
      <c r="T85">
        <v>-625731.17000000004</v>
      </c>
      <c r="U85" t="s">
        <v>68</v>
      </c>
      <c r="V85" t="s">
        <v>321</v>
      </c>
      <c r="W85" s="9">
        <v>60604014</v>
      </c>
      <c r="X85" t="s">
        <v>332</v>
      </c>
      <c r="Y85" s="1">
        <v>46031</v>
      </c>
      <c r="Z85" s="1">
        <v>46091</v>
      </c>
      <c r="AA85" s="2">
        <v>63277.5</v>
      </c>
      <c r="AB85" s="2">
        <v>53625</v>
      </c>
      <c r="AC85" s="2">
        <v>9652.5</v>
      </c>
      <c r="AD85" s="2">
        <v>63277.5</v>
      </c>
      <c r="AE85" t="s">
        <v>338</v>
      </c>
      <c r="AF85" t="s">
        <v>72</v>
      </c>
      <c r="AG85">
        <v>-13</v>
      </c>
      <c r="AH85" t="s">
        <v>117</v>
      </c>
      <c r="AI85" t="s">
        <v>74</v>
      </c>
      <c r="AJ85" t="s">
        <v>127</v>
      </c>
      <c r="AK85" t="s">
        <v>334</v>
      </c>
      <c r="AL85" t="s">
        <v>118</v>
      </c>
      <c r="AM85" t="s">
        <v>78</v>
      </c>
      <c r="AN85" t="s">
        <v>239</v>
      </c>
      <c r="AO85" t="s">
        <v>119</v>
      </c>
      <c r="AP85" t="e">
        <v>#N/A</v>
      </c>
      <c r="AQ85" t="s">
        <v>335</v>
      </c>
      <c r="AR85" t="str">
        <f t="shared" si="2"/>
        <v>60604014.SPMINAM</v>
      </c>
      <c r="AS85">
        <f t="shared" si="3"/>
        <v>80585.740000000005</v>
      </c>
      <c r="AT85" t="s">
        <v>82</v>
      </c>
    </row>
    <row r="86" spans="1:46" x14ac:dyDescent="0.35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315</v>
      </c>
      <c r="G86" t="s">
        <v>329</v>
      </c>
      <c r="H86" t="s">
        <v>56</v>
      </c>
      <c r="I86" t="s">
        <v>330</v>
      </c>
      <c r="J86" t="s">
        <v>61</v>
      </c>
      <c r="K86" t="s">
        <v>62</v>
      </c>
      <c r="L86" t="s">
        <v>56</v>
      </c>
      <c r="M86" t="s">
        <v>56</v>
      </c>
      <c r="N86" t="s">
        <v>295</v>
      </c>
      <c r="O86" t="s">
        <v>318</v>
      </c>
      <c r="P86" t="s">
        <v>319</v>
      </c>
      <c r="Q86" t="s">
        <v>87</v>
      </c>
      <c r="R86" t="s">
        <v>248</v>
      </c>
      <c r="S86">
        <v>2500000</v>
      </c>
      <c r="T86">
        <v>-625731.17000000004</v>
      </c>
      <c r="U86" t="s">
        <v>68</v>
      </c>
      <c r="V86" t="s">
        <v>321</v>
      </c>
      <c r="W86" s="9">
        <v>60604014</v>
      </c>
      <c r="X86" t="s">
        <v>332</v>
      </c>
      <c r="Y86" s="1">
        <v>46031</v>
      </c>
      <c r="Z86" s="1">
        <v>46091</v>
      </c>
      <c r="AA86" s="2">
        <v>29746.62</v>
      </c>
      <c r="AB86" s="2">
        <v>25209</v>
      </c>
      <c r="AC86" s="2">
        <v>4537.62</v>
      </c>
      <c r="AD86" s="2">
        <v>29746.62</v>
      </c>
      <c r="AE86" t="s">
        <v>339</v>
      </c>
      <c r="AF86" t="s">
        <v>72</v>
      </c>
      <c r="AG86">
        <v>-13</v>
      </c>
      <c r="AH86" t="s">
        <v>117</v>
      </c>
      <c r="AI86" t="s">
        <v>74</v>
      </c>
      <c r="AJ86" t="s">
        <v>75</v>
      </c>
      <c r="AK86" t="s">
        <v>76</v>
      </c>
      <c r="AL86" t="s">
        <v>118</v>
      </c>
      <c r="AM86" t="s">
        <v>78</v>
      </c>
      <c r="AN86" t="s">
        <v>239</v>
      </c>
      <c r="AO86" t="s">
        <v>119</v>
      </c>
      <c r="AP86" t="e">
        <v>#N/A</v>
      </c>
      <c r="AQ86" t="s">
        <v>81</v>
      </c>
      <c r="AR86" t="str">
        <f t="shared" si="2"/>
        <v>60604014.STATAM</v>
      </c>
      <c r="AS86">
        <f t="shared" si="3"/>
        <v>2983236.7300000004</v>
      </c>
      <c r="AT86" t="s">
        <v>82</v>
      </c>
    </row>
    <row r="87" spans="1:46" x14ac:dyDescent="0.35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315</v>
      </c>
      <c r="G87" t="s">
        <v>316</v>
      </c>
      <c r="H87" t="s">
        <v>59</v>
      </c>
      <c r="I87" t="s">
        <v>317</v>
      </c>
      <c r="J87" t="s">
        <v>61</v>
      </c>
      <c r="K87" t="s">
        <v>62</v>
      </c>
      <c r="L87" t="s">
        <v>56</v>
      </c>
      <c r="M87" t="s">
        <v>56</v>
      </c>
      <c r="N87" t="s">
        <v>63</v>
      </c>
      <c r="O87" t="s">
        <v>318</v>
      </c>
      <c r="P87" t="s">
        <v>319</v>
      </c>
      <c r="Q87" t="s">
        <v>320</v>
      </c>
      <c r="R87" t="s">
        <v>248</v>
      </c>
      <c r="S87">
        <v>2500000</v>
      </c>
      <c r="T87">
        <v>-625731.17000000004</v>
      </c>
      <c r="U87" t="s">
        <v>68</v>
      </c>
      <c r="V87" t="s">
        <v>321</v>
      </c>
      <c r="W87" s="9">
        <v>60604014</v>
      </c>
      <c r="X87" t="s">
        <v>340</v>
      </c>
      <c r="Y87" s="1">
        <v>46048</v>
      </c>
      <c r="Z87" s="1">
        <v>46108</v>
      </c>
      <c r="AA87" s="2">
        <v>1124154.5</v>
      </c>
      <c r="AB87" s="2">
        <v>952673.3</v>
      </c>
      <c r="AC87" s="2">
        <v>171481.2</v>
      </c>
      <c r="AD87" s="2">
        <v>1124154.5</v>
      </c>
      <c r="AE87" t="s">
        <v>341</v>
      </c>
      <c r="AF87" t="s">
        <v>72</v>
      </c>
      <c r="AG87">
        <v>-30</v>
      </c>
      <c r="AH87" t="s">
        <v>117</v>
      </c>
      <c r="AI87" t="s">
        <v>74</v>
      </c>
      <c r="AJ87" t="s">
        <v>75</v>
      </c>
      <c r="AK87" t="s">
        <v>76</v>
      </c>
      <c r="AL87" t="s">
        <v>118</v>
      </c>
      <c r="AM87" t="s">
        <v>78</v>
      </c>
      <c r="AN87" t="s">
        <v>239</v>
      </c>
      <c r="AO87" t="s">
        <v>119</v>
      </c>
      <c r="AP87" t="e">
        <v>#N/A</v>
      </c>
      <c r="AQ87" t="s">
        <v>81</v>
      </c>
      <c r="AR87" t="str">
        <f t="shared" si="2"/>
        <v>60604014.STATAM</v>
      </c>
      <c r="AS87">
        <f t="shared" si="3"/>
        <v>2983236.7300000004</v>
      </c>
      <c r="AT87" t="s">
        <v>82</v>
      </c>
    </row>
    <row r="88" spans="1:46" x14ac:dyDescent="0.35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315</v>
      </c>
      <c r="G88" t="s">
        <v>324</v>
      </c>
      <c r="H88" t="s">
        <v>59</v>
      </c>
      <c r="I88" t="s">
        <v>325</v>
      </c>
      <c r="J88" t="s">
        <v>61</v>
      </c>
      <c r="K88" t="s">
        <v>62</v>
      </c>
      <c r="L88" t="s">
        <v>56</v>
      </c>
      <c r="M88" t="s">
        <v>56</v>
      </c>
      <c r="N88" t="s">
        <v>63</v>
      </c>
      <c r="O88" t="s">
        <v>245</v>
      </c>
      <c r="P88" t="s">
        <v>246</v>
      </c>
      <c r="Q88" t="s">
        <v>326</v>
      </c>
      <c r="R88" t="s">
        <v>248</v>
      </c>
      <c r="S88">
        <v>2500000</v>
      </c>
      <c r="T88">
        <v>-625731.17000000004</v>
      </c>
      <c r="U88" t="s">
        <v>68</v>
      </c>
      <c r="V88" t="s">
        <v>321</v>
      </c>
      <c r="W88" s="9">
        <v>60604014</v>
      </c>
      <c r="X88" t="s">
        <v>342</v>
      </c>
      <c r="Y88" s="1">
        <v>46048</v>
      </c>
      <c r="Z88" s="1">
        <v>46108</v>
      </c>
      <c r="AA88" s="2">
        <v>88500</v>
      </c>
      <c r="AB88" s="2">
        <v>75000</v>
      </c>
      <c r="AC88" s="2">
        <v>13500</v>
      </c>
      <c r="AD88" s="2">
        <v>88500</v>
      </c>
      <c r="AE88" t="s">
        <v>343</v>
      </c>
      <c r="AF88" t="s">
        <v>72</v>
      </c>
      <c r="AG88">
        <v>-30</v>
      </c>
      <c r="AH88" t="s">
        <v>117</v>
      </c>
      <c r="AI88" t="s">
        <v>74</v>
      </c>
      <c r="AJ88" t="s">
        <v>75</v>
      </c>
      <c r="AK88" t="s">
        <v>76</v>
      </c>
      <c r="AL88" t="s">
        <v>118</v>
      </c>
      <c r="AM88" t="s">
        <v>78</v>
      </c>
      <c r="AN88" t="s">
        <v>239</v>
      </c>
      <c r="AO88" t="s">
        <v>119</v>
      </c>
      <c r="AP88" t="e">
        <v>#N/A</v>
      </c>
      <c r="AQ88" t="s">
        <v>81</v>
      </c>
      <c r="AR88" t="str">
        <f t="shared" si="2"/>
        <v>60604014.STATAM</v>
      </c>
      <c r="AS88">
        <f t="shared" si="3"/>
        <v>2983236.7300000004</v>
      </c>
      <c r="AT88" t="s">
        <v>82</v>
      </c>
    </row>
    <row r="89" spans="1:46" x14ac:dyDescent="0.35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315</v>
      </c>
      <c r="G89" t="s">
        <v>324</v>
      </c>
      <c r="H89" t="s">
        <v>59</v>
      </c>
      <c r="I89" t="s">
        <v>325</v>
      </c>
      <c r="J89" t="s">
        <v>61</v>
      </c>
      <c r="K89" t="s">
        <v>62</v>
      </c>
      <c r="L89" t="s">
        <v>56</v>
      </c>
      <c r="M89" t="s">
        <v>56</v>
      </c>
      <c r="N89" t="s">
        <v>63</v>
      </c>
      <c r="O89" t="s">
        <v>245</v>
      </c>
      <c r="P89" t="s">
        <v>246</v>
      </c>
      <c r="Q89" t="s">
        <v>326</v>
      </c>
      <c r="R89" t="s">
        <v>248</v>
      </c>
      <c r="S89">
        <v>2500000</v>
      </c>
      <c r="T89">
        <v>-625731.17000000004</v>
      </c>
      <c r="U89" t="s">
        <v>68</v>
      </c>
      <c r="V89" t="s">
        <v>321</v>
      </c>
      <c r="W89" s="9">
        <v>60604014</v>
      </c>
      <c r="X89" t="s">
        <v>344</v>
      </c>
      <c r="Y89" s="1">
        <v>46071</v>
      </c>
      <c r="Z89" s="1">
        <v>46131</v>
      </c>
      <c r="AA89" s="2">
        <v>309541.26</v>
      </c>
      <c r="AB89" s="2">
        <v>262323.09999999998</v>
      </c>
      <c r="AC89" s="2">
        <v>47218.16</v>
      </c>
      <c r="AD89" s="2">
        <v>309541.26</v>
      </c>
      <c r="AE89" t="s">
        <v>345</v>
      </c>
      <c r="AF89" t="s">
        <v>72</v>
      </c>
      <c r="AG89">
        <v>-53</v>
      </c>
      <c r="AH89" t="s">
        <v>117</v>
      </c>
      <c r="AI89" t="s">
        <v>74</v>
      </c>
      <c r="AJ89" t="s">
        <v>75</v>
      </c>
      <c r="AK89" t="s">
        <v>76</v>
      </c>
      <c r="AL89" t="s">
        <v>118</v>
      </c>
      <c r="AM89" t="s">
        <v>78</v>
      </c>
      <c r="AN89" t="s">
        <v>239</v>
      </c>
      <c r="AO89" t="s">
        <v>119</v>
      </c>
      <c r="AP89" t="e">
        <v>#N/A</v>
      </c>
      <c r="AQ89" t="s">
        <v>81</v>
      </c>
      <c r="AR89" t="str">
        <f t="shared" si="2"/>
        <v>60604014.STATAM</v>
      </c>
      <c r="AS89">
        <f t="shared" si="3"/>
        <v>2983236.7300000004</v>
      </c>
      <c r="AT89" t="s">
        <v>82</v>
      </c>
    </row>
    <row r="90" spans="1:46" x14ac:dyDescent="0.35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315</v>
      </c>
      <c r="G90" t="s">
        <v>324</v>
      </c>
      <c r="H90" t="s">
        <v>59</v>
      </c>
      <c r="I90" t="s">
        <v>325</v>
      </c>
      <c r="J90" t="s">
        <v>61</v>
      </c>
      <c r="K90" t="s">
        <v>62</v>
      </c>
      <c r="L90" t="s">
        <v>56</v>
      </c>
      <c r="M90" t="s">
        <v>56</v>
      </c>
      <c r="N90" t="s">
        <v>63</v>
      </c>
      <c r="O90" t="s">
        <v>245</v>
      </c>
      <c r="P90" t="s">
        <v>246</v>
      </c>
      <c r="Q90" t="s">
        <v>326</v>
      </c>
      <c r="R90" t="s">
        <v>248</v>
      </c>
      <c r="S90">
        <v>2500000</v>
      </c>
      <c r="T90">
        <v>-625731.17000000004</v>
      </c>
      <c r="U90" t="s">
        <v>68</v>
      </c>
      <c r="V90" t="s">
        <v>321</v>
      </c>
      <c r="W90" s="9">
        <v>60604014</v>
      </c>
      <c r="X90" t="s">
        <v>346</v>
      </c>
      <c r="Y90" s="1">
        <v>46071</v>
      </c>
      <c r="Z90" s="1">
        <v>46131</v>
      </c>
      <c r="AA90" s="2">
        <v>88500</v>
      </c>
      <c r="AB90" s="2">
        <v>75000</v>
      </c>
      <c r="AC90" s="2">
        <v>13500</v>
      </c>
      <c r="AD90" s="2">
        <v>88500</v>
      </c>
      <c r="AE90" t="s">
        <v>347</v>
      </c>
      <c r="AF90" t="s">
        <v>72</v>
      </c>
      <c r="AG90">
        <v>-53</v>
      </c>
      <c r="AH90" t="s">
        <v>117</v>
      </c>
      <c r="AI90" t="s">
        <v>74</v>
      </c>
      <c r="AJ90" t="s">
        <v>75</v>
      </c>
      <c r="AK90" t="s">
        <v>76</v>
      </c>
      <c r="AL90" t="s">
        <v>118</v>
      </c>
      <c r="AM90" t="s">
        <v>78</v>
      </c>
      <c r="AN90" t="s">
        <v>239</v>
      </c>
      <c r="AO90" t="s">
        <v>119</v>
      </c>
      <c r="AP90" t="e">
        <v>#N/A</v>
      </c>
      <c r="AQ90" t="s">
        <v>81</v>
      </c>
      <c r="AR90" t="str">
        <f t="shared" si="2"/>
        <v>60604014.STATAM</v>
      </c>
      <c r="AS90">
        <f t="shared" si="3"/>
        <v>2983236.7300000004</v>
      </c>
      <c r="AT90" t="s">
        <v>82</v>
      </c>
    </row>
    <row r="91" spans="1:46" x14ac:dyDescent="0.35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315</v>
      </c>
      <c r="G91" t="s">
        <v>316</v>
      </c>
      <c r="H91" t="s">
        <v>59</v>
      </c>
      <c r="I91" t="s">
        <v>317</v>
      </c>
      <c r="J91" t="s">
        <v>61</v>
      </c>
      <c r="K91" t="s">
        <v>62</v>
      </c>
      <c r="L91" t="s">
        <v>56</v>
      </c>
      <c r="M91" t="s">
        <v>56</v>
      </c>
      <c r="N91" t="s">
        <v>63</v>
      </c>
      <c r="O91" t="s">
        <v>318</v>
      </c>
      <c r="P91" t="s">
        <v>319</v>
      </c>
      <c r="Q91" t="s">
        <v>320</v>
      </c>
      <c r="R91" t="s">
        <v>248</v>
      </c>
      <c r="S91">
        <v>2500000</v>
      </c>
      <c r="T91">
        <v>-625731.17000000004</v>
      </c>
      <c r="U91" t="s">
        <v>68</v>
      </c>
      <c r="V91" t="s">
        <v>321</v>
      </c>
      <c r="W91" s="9">
        <v>60604014</v>
      </c>
      <c r="X91" t="s">
        <v>348</v>
      </c>
      <c r="Y91" s="1">
        <v>46071</v>
      </c>
      <c r="Z91" s="1">
        <v>46131</v>
      </c>
      <c r="AA91" s="2">
        <v>700585.7</v>
      </c>
      <c r="AB91" s="2">
        <v>593716.69999999995</v>
      </c>
      <c r="AC91" s="2">
        <v>106869</v>
      </c>
      <c r="AD91" s="2">
        <v>700585.7</v>
      </c>
      <c r="AE91" t="s">
        <v>349</v>
      </c>
      <c r="AF91" t="s">
        <v>72</v>
      </c>
      <c r="AG91">
        <v>-53</v>
      </c>
      <c r="AH91" t="s">
        <v>117</v>
      </c>
      <c r="AI91" t="s">
        <v>74</v>
      </c>
      <c r="AJ91" t="s">
        <v>75</v>
      </c>
      <c r="AK91" t="s">
        <v>76</v>
      </c>
      <c r="AL91" t="s">
        <v>118</v>
      </c>
      <c r="AM91" t="s">
        <v>78</v>
      </c>
      <c r="AN91" t="s">
        <v>239</v>
      </c>
      <c r="AO91" t="s">
        <v>119</v>
      </c>
      <c r="AP91" t="e">
        <v>#N/A</v>
      </c>
      <c r="AQ91" t="s">
        <v>81</v>
      </c>
      <c r="AR91" t="str">
        <f t="shared" si="2"/>
        <v>60604014.STATAM</v>
      </c>
      <c r="AS91">
        <f t="shared" si="3"/>
        <v>2983236.7300000004</v>
      </c>
      <c r="AT91" t="s">
        <v>82</v>
      </c>
    </row>
    <row r="92" spans="1:46" x14ac:dyDescent="0.35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315</v>
      </c>
      <c r="G92" t="s">
        <v>316</v>
      </c>
      <c r="H92" t="s">
        <v>59</v>
      </c>
      <c r="I92" t="s">
        <v>317</v>
      </c>
      <c r="J92" t="s">
        <v>61</v>
      </c>
      <c r="K92" t="s">
        <v>62</v>
      </c>
      <c r="L92" t="s">
        <v>56</v>
      </c>
      <c r="M92" t="s">
        <v>56</v>
      </c>
      <c r="N92" t="s">
        <v>63</v>
      </c>
      <c r="O92" t="s">
        <v>318</v>
      </c>
      <c r="P92" t="s">
        <v>319</v>
      </c>
      <c r="Q92" t="s">
        <v>320</v>
      </c>
      <c r="R92" t="s">
        <v>248</v>
      </c>
      <c r="S92">
        <v>2500000</v>
      </c>
      <c r="T92">
        <v>-625731.17000000004</v>
      </c>
      <c r="U92" t="s">
        <v>68</v>
      </c>
      <c r="V92" t="s">
        <v>321</v>
      </c>
      <c r="W92" s="9">
        <v>60604014</v>
      </c>
      <c r="X92" t="s">
        <v>350</v>
      </c>
      <c r="Y92" s="1">
        <v>46071</v>
      </c>
      <c r="Z92" s="1">
        <v>46131</v>
      </c>
      <c r="AA92" s="2">
        <v>88500</v>
      </c>
      <c r="AB92" s="2">
        <v>75000</v>
      </c>
      <c r="AC92" s="2">
        <v>13500</v>
      </c>
      <c r="AD92" s="2">
        <v>88500</v>
      </c>
      <c r="AE92" t="s">
        <v>351</v>
      </c>
      <c r="AF92" t="s">
        <v>72</v>
      </c>
      <c r="AG92">
        <v>-53</v>
      </c>
      <c r="AH92" t="s">
        <v>117</v>
      </c>
      <c r="AI92" t="s">
        <v>74</v>
      </c>
      <c r="AJ92" t="s">
        <v>75</v>
      </c>
      <c r="AK92" t="s">
        <v>76</v>
      </c>
      <c r="AL92" t="s">
        <v>118</v>
      </c>
      <c r="AM92" t="s">
        <v>78</v>
      </c>
      <c r="AN92" t="s">
        <v>239</v>
      </c>
      <c r="AO92" t="s">
        <v>119</v>
      </c>
      <c r="AP92" t="e">
        <v>#N/A</v>
      </c>
      <c r="AQ92" t="s">
        <v>81</v>
      </c>
      <c r="AR92" t="str">
        <f t="shared" si="2"/>
        <v>60604014.STATAM</v>
      </c>
      <c r="AS92">
        <f t="shared" si="3"/>
        <v>2983236.7300000004</v>
      </c>
      <c r="AT92" t="s">
        <v>82</v>
      </c>
    </row>
    <row r="93" spans="1:46" x14ac:dyDescent="0.35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352</v>
      </c>
      <c r="G93" t="s">
        <v>353</v>
      </c>
      <c r="H93" t="s">
        <v>59</v>
      </c>
      <c r="I93" t="s">
        <v>354</v>
      </c>
      <c r="J93" t="s">
        <v>61</v>
      </c>
      <c r="K93" t="s">
        <v>62</v>
      </c>
      <c r="L93" t="s">
        <v>56</v>
      </c>
      <c r="M93" t="s">
        <v>56</v>
      </c>
      <c r="N93" t="s">
        <v>63</v>
      </c>
      <c r="O93" t="s">
        <v>318</v>
      </c>
      <c r="P93" t="s">
        <v>319</v>
      </c>
      <c r="Q93" t="s">
        <v>355</v>
      </c>
      <c r="R93" t="s">
        <v>67</v>
      </c>
      <c r="S93">
        <v>6000000</v>
      </c>
      <c r="T93">
        <v>398671.35</v>
      </c>
      <c r="U93" t="s">
        <v>68</v>
      </c>
      <c r="V93" t="s">
        <v>356</v>
      </c>
      <c r="W93" s="9">
        <v>60603609</v>
      </c>
      <c r="X93" t="s">
        <v>357</v>
      </c>
      <c r="Y93" s="1">
        <v>45980</v>
      </c>
      <c r="Z93" s="1">
        <v>46010</v>
      </c>
      <c r="AA93" s="2">
        <v>1940554.81</v>
      </c>
      <c r="AB93" s="2">
        <v>1644537.97</v>
      </c>
      <c r="AC93" s="2">
        <v>296016.84000000003</v>
      </c>
      <c r="AD93" s="2">
        <v>22635.54</v>
      </c>
      <c r="AE93" t="s">
        <v>358</v>
      </c>
      <c r="AF93" t="s">
        <v>72</v>
      </c>
      <c r="AG93">
        <v>68</v>
      </c>
      <c r="AH93" t="s">
        <v>260</v>
      </c>
      <c r="AI93" t="s">
        <v>74</v>
      </c>
      <c r="AJ93" t="s">
        <v>75</v>
      </c>
      <c r="AK93" t="s">
        <v>76</v>
      </c>
      <c r="AL93" t="s">
        <v>77</v>
      </c>
      <c r="AM93" t="s">
        <v>78</v>
      </c>
      <c r="AN93" t="s">
        <v>239</v>
      </c>
      <c r="AO93" t="s">
        <v>80</v>
      </c>
      <c r="AP93" t="e">
        <v>#N/A</v>
      </c>
      <c r="AQ93" t="s">
        <v>81</v>
      </c>
      <c r="AR93" t="str">
        <f t="shared" si="2"/>
        <v>60603609.STATAM</v>
      </c>
      <c r="AS93">
        <f t="shared" si="3"/>
        <v>5601328.6500000004</v>
      </c>
      <c r="AT93" t="s">
        <v>82</v>
      </c>
    </row>
    <row r="94" spans="1:46" x14ac:dyDescent="0.35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352</v>
      </c>
      <c r="G94" t="s">
        <v>353</v>
      </c>
      <c r="H94" t="s">
        <v>59</v>
      </c>
      <c r="I94" t="s">
        <v>354</v>
      </c>
      <c r="J94" t="s">
        <v>61</v>
      </c>
      <c r="K94" t="s">
        <v>62</v>
      </c>
      <c r="L94" t="s">
        <v>56</v>
      </c>
      <c r="M94" t="s">
        <v>56</v>
      </c>
      <c r="N94" t="s">
        <v>63</v>
      </c>
      <c r="O94" t="s">
        <v>318</v>
      </c>
      <c r="P94" t="s">
        <v>319</v>
      </c>
      <c r="Q94" t="s">
        <v>355</v>
      </c>
      <c r="R94" t="s">
        <v>67</v>
      </c>
      <c r="S94">
        <v>6000000</v>
      </c>
      <c r="T94">
        <v>398671.35</v>
      </c>
      <c r="U94" t="s">
        <v>68</v>
      </c>
      <c r="V94" t="s">
        <v>356</v>
      </c>
      <c r="W94" s="9">
        <v>60603609</v>
      </c>
      <c r="X94" t="s">
        <v>359</v>
      </c>
      <c r="Y94" s="1">
        <v>46028</v>
      </c>
      <c r="Z94" s="1">
        <v>46058</v>
      </c>
      <c r="AA94" s="2">
        <v>1951289.86</v>
      </c>
      <c r="AB94" s="2">
        <v>1653635.48</v>
      </c>
      <c r="AC94" s="2">
        <v>297654.38</v>
      </c>
      <c r="AD94" s="2">
        <v>1951289.86</v>
      </c>
      <c r="AE94" t="s">
        <v>360</v>
      </c>
      <c r="AF94" t="s">
        <v>72</v>
      </c>
      <c r="AG94">
        <v>20</v>
      </c>
      <c r="AH94" t="s">
        <v>73</v>
      </c>
      <c r="AI94" t="s">
        <v>74</v>
      </c>
      <c r="AJ94" t="s">
        <v>75</v>
      </c>
      <c r="AK94" t="s">
        <v>76</v>
      </c>
      <c r="AL94" t="s">
        <v>77</v>
      </c>
      <c r="AM94" t="s">
        <v>78</v>
      </c>
      <c r="AN94" t="s">
        <v>239</v>
      </c>
      <c r="AO94" t="s">
        <v>80</v>
      </c>
      <c r="AP94" t="e">
        <v>#N/A</v>
      </c>
      <c r="AQ94" t="s">
        <v>81</v>
      </c>
      <c r="AR94" t="str">
        <f t="shared" si="2"/>
        <v>60603609.STATAM</v>
      </c>
      <c r="AS94">
        <f t="shared" si="3"/>
        <v>5601328.6500000004</v>
      </c>
      <c r="AT94" t="s">
        <v>82</v>
      </c>
    </row>
    <row r="95" spans="1:46" x14ac:dyDescent="0.35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352</v>
      </c>
      <c r="G95" t="s">
        <v>353</v>
      </c>
      <c r="H95" t="s">
        <v>59</v>
      </c>
      <c r="I95" t="s">
        <v>354</v>
      </c>
      <c r="J95" t="s">
        <v>61</v>
      </c>
      <c r="K95" t="s">
        <v>62</v>
      </c>
      <c r="L95" t="s">
        <v>56</v>
      </c>
      <c r="M95" t="s">
        <v>56</v>
      </c>
      <c r="N95" t="s">
        <v>63</v>
      </c>
      <c r="O95" t="s">
        <v>318</v>
      </c>
      <c r="P95" t="s">
        <v>319</v>
      </c>
      <c r="Q95" t="s">
        <v>355</v>
      </c>
      <c r="R95" t="s">
        <v>67</v>
      </c>
      <c r="S95">
        <v>6000000</v>
      </c>
      <c r="T95">
        <v>398671.35</v>
      </c>
      <c r="U95" t="s">
        <v>68</v>
      </c>
      <c r="V95" t="s">
        <v>356</v>
      </c>
      <c r="W95" s="9">
        <v>60603609</v>
      </c>
      <c r="X95" t="s">
        <v>361</v>
      </c>
      <c r="Y95" s="1">
        <v>46048</v>
      </c>
      <c r="Z95" s="1">
        <v>46078</v>
      </c>
      <c r="AA95" s="2">
        <v>2003707.73</v>
      </c>
      <c r="AB95" s="2">
        <v>1698057.39</v>
      </c>
      <c r="AC95" s="2">
        <v>305650.34000000003</v>
      </c>
      <c r="AD95" s="2">
        <v>2003707.73</v>
      </c>
      <c r="AE95" t="s">
        <v>362</v>
      </c>
      <c r="AF95" t="s">
        <v>72</v>
      </c>
      <c r="AG95">
        <v>0</v>
      </c>
      <c r="AH95" t="s">
        <v>117</v>
      </c>
      <c r="AI95" t="s">
        <v>74</v>
      </c>
      <c r="AJ95" t="s">
        <v>75</v>
      </c>
      <c r="AK95" t="s">
        <v>76</v>
      </c>
      <c r="AL95" t="s">
        <v>77</v>
      </c>
      <c r="AM95" t="s">
        <v>78</v>
      </c>
      <c r="AN95" t="s">
        <v>239</v>
      </c>
      <c r="AO95" t="s">
        <v>119</v>
      </c>
      <c r="AP95" t="e">
        <v>#N/A</v>
      </c>
      <c r="AQ95" t="s">
        <v>81</v>
      </c>
      <c r="AR95" t="str">
        <f t="shared" si="2"/>
        <v>60603609.STATAM</v>
      </c>
      <c r="AS95">
        <f t="shared" si="3"/>
        <v>5601328.6500000004</v>
      </c>
      <c r="AT95" t="s">
        <v>82</v>
      </c>
    </row>
    <row r="96" spans="1:46" x14ac:dyDescent="0.35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352</v>
      </c>
      <c r="G96" t="s">
        <v>353</v>
      </c>
      <c r="H96" t="s">
        <v>59</v>
      </c>
      <c r="I96" t="s">
        <v>354</v>
      </c>
      <c r="J96" t="s">
        <v>61</v>
      </c>
      <c r="K96" t="s">
        <v>62</v>
      </c>
      <c r="L96" t="s">
        <v>56</v>
      </c>
      <c r="M96" t="s">
        <v>56</v>
      </c>
      <c r="N96" t="s">
        <v>63</v>
      </c>
      <c r="O96" t="s">
        <v>318</v>
      </c>
      <c r="P96" t="s">
        <v>319</v>
      </c>
      <c r="Q96" t="s">
        <v>355</v>
      </c>
      <c r="R96" t="s">
        <v>67</v>
      </c>
      <c r="S96">
        <v>6000000</v>
      </c>
      <c r="T96">
        <v>398671.35</v>
      </c>
      <c r="U96" t="s">
        <v>68</v>
      </c>
      <c r="V96" t="s">
        <v>356</v>
      </c>
      <c r="W96" s="9">
        <v>60603609</v>
      </c>
      <c r="X96" t="s">
        <v>363</v>
      </c>
      <c r="Y96" s="1">
        <v>46071</v>
      </c>
      <c r="Z96" s="1">
        <v>46101</v>
      </c>
      <c r="AA96" s="2">
        <v>1623695.52</v>
      </c>
      <c r="AB96" s="2">
        <v>1376013.16</v>
      </c>
      <c r="AC96" s="2">
        <v>247682.36</v>
      </c>
      <c r="AD96" s="2">
        <v>1623695.52</v>
      </c>
      <c r="AE96" t="s">
        <v>364</v>
      </c>
      <c r="AF96" t="s">
        <v>72</v>
      </c>
      <c r="AG96">
        <v>-23</v>
      </c>
      <c r="AH96" t="s">
        <v>117</v>
      </c>
      <c r="AI96" t="s">
        <v>74</v>
      </c>
      <c r="AJ96" t="s">
        <v>75</v>
      </c>
      <c r="AK96" t="s">
        <v>76</v>
      </c>
      <c r="AL96" t="s">
        <v>118</v>
      </c>
      <c r="AM96" t="s">
        <v>78</v>
      </c>
      <c r="AN96" t="s">
        <v>239</v>
      </c>
      <c r="AO96" t="s">
        <v>119</v>
      </c>
      <c r="AP96" t="e">
        <v>#N/A</v>
      </c>
      <c r="AQ96" t="s">
        <v>81</v>
      </c>
      <c r="AR96" t="str">
        <f t="shared" si="2"/>
        <v>60603609.STATAM</v>
      </c>
      <c r="AS96">
        <f t="shared" si="3"/>
        <v>5601328.6500000004</v>
      </c>
      <c r="AT96" t="s">
        <v>82</v>
      </c>
    </row>
    <row r="97" spans="1:46" x14ac:dyDescent="0.35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365</v>
      </c>
      <c r="G97" t="s">
        <v>366</v>
      </c>
      <c r="H97" t="s">
        <v>59</v>
      </c>
      <c r="I97" t="s">
        <v>367</v>
      </c>
      <c r="J97" t="s">
        <v>61</v>
      </c>
      <c r="K97" t="s">
        <v>62</v>
      </c>
      <c r="L97" t="s">
        <v>56</v>
      </c>
      <c r="M97" t="s">
        <v>56</v>
      </c>
      <c r="N97" t="s">
        <v>63</v>
      </c>
      <c r="O97" t="s">
        <v>64</v>
      </c>
      <c r="P97" t="s">
        <v>65</v>
      </c>
      <c r="Q97" t="s">
        <v>368</v>
      </c>
      <c r="R97" t="s">
        <v>88</v>
      </c>
      <c r="T97">
        <v>-551505.36</v>
      </c>
      <c r="U97" t="s">
        <v>68</v>
      </c>
      <c r="V97" t="s">
        <v>369</v>
      </c>
      <c r="W97" s="9">
        <v>60604071</v>
      </c>
      <c r="X97" t="s">
        <v>370</v>
      </c>
      <c r="Y97" s="1">
        <v>46039</v>
      </c>
      <c r="Z97" s="1">
        <v>46039</v>
      </c>
      <c r="AA97" s="2">
        <v>524746.23999999999</v>
      </c>
      <c r="AB97" s="2">
        <v>444700.2</v>
      </c>
      <c r="AC97" s="2">
        <v>80046.039999999994</v>
      </c>
      <c r="AD97" s="2">
        <v>331207.75</v>
      </c>
      <c r="AE97" t="s">
        <v>371</v>
      </c>
      <c r="AF97" t="s">
        <v>72</v>
      </c>
      <c r="AG97">
        <v>39</v>
      </c>
      <c r="AH97" t="s">
        <v>236</v>
      </c>
      <c r="AI97" t="s">
        <v>74</v>
      </c>
      <c r="AJ97" t="s">
        <v>75</v>
      </c>
      <c r="AK97" t="s">
        <v>76</v>
      </c>
      <c r="AL97" t="s">
        <v>77</v>
      </c>
      <c r="AM97" t="s">
        <v>78</v>
      </c>
      <c r="AN97" t="s">
        <v>79</v>
      </c>
      <c r="AO97" t="s">
        <v>80</v>
      </c>
      <c r="AP97" t="e">
        <v>#N/A</v>
      </c>
      <c r="AQ97" t="s">
        <v>81</v>
      </c>
      <c r="AR97" t="str">
        <f t="shared" si="2"/>
        <v>60604071.STATAM</v>
      </c>
      <c r="AS97">
        <f t="shared" si="3"/>
        <v>551505.36</v>
      </c>
      <c r="AT97" t="s">
        <v>82</v>
      </c>
    </row>
    <row r="98" spans="1:46" x14ac:dyDescent="0.35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365</v>
      </c>
      <c r="G98" t="s">
        <v>366</v>
      </c>
      <c r="H98" t="s">
        <v>59</v>
      </c>
      <c r="I98" t="s">
        <v>367</v>
      </c>
      <c r="J98" t="s">
        <v>61</v>
      </c>
      <c r="K98" t="s">
        <v>62</v>
      </c>
      <c r="L98" t="s">
        <v>56</v>
      </c>
      <c r="M98" t="s">
        <v>56</v>
      </c>
      <c r="N98" t="s">
        <v>63</v>
      </c>
      <c r="O98" t="s">
        <v>64</v>
      </c>
      <c r="P98" t="s">
        <v>65</v>
      </c>
      <c r="Q98" t="s">
        <v>368</v>
      </c>
      <c r="R98" t="s">
        <v>88</v>
      </c>
      <c r="T98">
        <v>-551505.36</v>
      </c>
      <c r="U98" t="s">
        <v>68</v>
      </c>
      <c r="V98" t="s">
        <v>369</v>
      </c>
      <c r="W98" s="9">
        <v>60604071</v>
      </c>
      <c r="X98" t="s">
        <v>372</v>
      </c>
      <c r="Y98" s="1">
        <v>46067</v>
      </c>
      <c r="Z98" s="1">
        <v>46067</v>
      </c>
      <c r="AA98" s="2">
        <v>220297.61</v>
      </c>
      <c r="AB98" s="2">
        <v>186692.89</v>
      </c>
      <c r="AC98" s="2">
        <v>33604.720000000001</v>
      </c>
      <c r="AD98" s="2">
        <v>220297.61</v>
      </c>
      <c r="AE98" t="s">
        <v>373</v>
      </c>
      <c r="AF98" t="s">
        <v>72</v>
      </c>
      <c r="AG98">
        <v>11</v>
      </c>
      <c r="AH98" t="s">
        <v>73</v>
      </c>
      <c r="AI98" t="s">
        <v>74</v>
      </c>
      <c r="AJ98" t="s">
        <v>75</v>
      </c>
      <c r="AK98" t="s">
        <v>76</v>
      </c>
      <c r="AL98" t="s">
        <v>77</v>
      </c>
      <c r="AM98" t="s">
        <v>78</v>
      </c>
      <c r="AN98" t="s">
        <v>79</v>
      </c>
      <c r="AO98" t="s">
        <v>80</v>
      </c>
      <c r="AP98" t="e">
        <v>#N/A</v>
      </c>
      <c r="AQ98" t="s">
        <v>81</v>
      </c>
      <c r="AR98" t="str">
        <f t="shared" si="2"/>
        <v>60604071.STATAM</v>
      </c>
      <c r="AS98">
        <f t="shared" si="3"/>
        <v>551505.36</v>
      </c>
      <c r="AT98" t="s">
        <v>82</v>
      </c>
    </row>
    <row r="99" spans="1:46" x14ac:dyDescent="0.35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374</v>
      </c>
      <c r="G99" t="s">
        <v>375</v>
      </c>
      <c r="H99" t="s">
        <v>59</v>
      </c>
      <c r="I99" t="s">
        <v>376</v>
      </c>
      <c r="J99" t="s">
        <v>61</v>
      </c>
      <c r="K99" t="s">
        <v>62</v>
      </c>
      <c r="L99" t="s">
        <v>56</v>
      </c>
      <c r="M99" t="s">
        <v>56</v>
      </c>
      <c r="N99" t="s">
        <v>377</v>
      </c>
      <c r="O99" t="s">
        <v>318</v>
      </c>
      <c r="P99" t="s">
        <v>319</v>
      </c>
      <c r="Q99" t="s">
        <v>378</v>
      </c>
      <c r="R99" t="s">
        <v>379</v>
      </c>
      <c r="T99">
        <v>-3359012.86</v>
      </c>
      <c r="U99" t="s">
        <v>68</v>
      </c>
      <c r="V99" t="s">
        <v>380</v>
      </c>
      <c r="W99" s="9">
        <v>60604073</v>
      </c>
      <c r="X99" t="s">
        <v>381</v>
      </c>
      <c r="Y99" s="1">
        <v>46028</v>
      </c>
      <c r="Z99" s="1">
        <v>46073</v>
      </c>
      <c r="AA99" s="2">
        <v>1323705.94</v>
      </c>
      <c r="AB99" s="2">
        <v>1121784.7</v>
      </c>
      <c r="AC99" s="2">
        <v>201921.24</v>
      </c>
      <c r="AD99" s="2">
        <v>28796.080000000002</v>
      </c>
      <c r="AE99" t="s">
        <v>382</v>
      </c>
      <c r="AF99" t="s">
        <v>72</v>
      </c>
      <c r="AG99">
        <v>5</v>
      </c>
      <c r="AH99" t="s">
        <v>73</v>
      </c>
      <c r="AI99" t="s">
        <v>74</v>
      </c>
      <c r="AJ99" t="s">
        <v>237</v>
      </c>
      <c r="AK99" t="s">
        <v>383</v>
      </c>
      <c r="AL99" t="s">
        <v>77</v>
      </c>
      <c r="AM99" t="s">
        <v>78</v>
      </c>
      <c r="AN99" t="s">
        <v>239</v>
      </c>
      <c r="AO99" t="s">
        <v>80</v>
      </c>
      <c r="AP99" t="e">
        <v>#N/A</v>
      </c>
      <c r="AQ99" t="s">
        <v>383</v>
      </c>
      <c r="AR99" t="str">
        <f t="shared" si="2"/>
        <v>60604073.MOBILAM</v>
      </c>
      <c r="AS99">
        <f t="shared" si="3"/>
        <v>3346664.16</v>
      </c>
      <c r="AT99" t="s">
        <v>82</v>
      </c>
    </row>
    <row r="100" spans="1:46" x14ac:dyDescent="0.35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374</v>
      </c>
      <c r="G100" t="s">
        <v>375</v>
      </c>
      <c r="H100" t="s">
        <v>59</v>
      </c>
      <c r="I100" t="s">
        <v>376</v>
      </c>
      <c r="J100" t="s">
        <v>61</v>
      </c>
      <c r="K100" t="s">
        <v>62</v>
      </c>
      <c r="L100" t="s">
        <v>56</v>
      </c>
      <c r="M100" t="s">
        <v>56</v>
      </c>
      <c r="N100" t="s">
        <v>377</v>
      </c>
      <c r="O100" t="s">
        <v>318</v>
      </c>
      <c r="P100" t="s">
        <v>319</v>
      </c>
      <c r="Q100" t="s">
        <v>378</v>
      </c>
      <c r="R100" t="s">
        <v>379</v>
      </c>
      <c r="T100">
        <v>-3359012.86</v>
      </c>
      <c r="U100" t="s">
        <v>68</v>
      </c>
      <c r="V100" t="s">
        <v>380</v>
      </c>
      <c r="W100" s="9">
        <v>60604073</v>
      </c>
      <c r="X100" t="s">
        <v>384</v>
      </c>
      <c r="Y100" s="1">
        <v>46048</v>
      </c>
      <c r="Z100" s="1">
        <v>46093</v>
      </c>
      <c r="AA100" s="2">
        <v>1615488.34</v>
      </c>
      <c r="AB100" s="2">
        <v>1369057.92</v>
      </c>
      <c r="AC100" s="2">
        <v>246430.42</v>
      </c>
      <c r="AD100" s="2">
        <v>1615488.34</v>
      </c>
      <c r="AE100" t="s">
        <v>385</v>
      </c>
      <c r="AF100" t="s">
        <v>72</v>
      </c>
      <c r="AG100">
        <v>-15</v>
      </c>
      <c r="AH100" t="s">
        <v>117</v>
      </c>
      <c r="AI100" t="s">
        <v>74</v>
      </c>
      <c r="AJ100" t="s">
        <v>237</v>
      </c>
      <c r="AK100" t="s">
        <v>383</v>
      </c>
      <c r="AL100" t="s">
        <v>118</v>
      </c>
      <c r="AM100" t="s">
        <v>78</v>
      </c>
      <c r="AN100" t="s">
        <v>239</v>
      </c>
      <c r="AO100" t="s">
        <v>119</v>
      </c>
      <c r="AP100" t="e">
        <v>#N/A</v>
      </c>
      <c r="AQ100" t="s">
        <v>383</v>
      </c>
      <c r="AR100" t="str">
        <f t="shared" si="2"/>
        <v>60604073.MOBILAM</v>
      </c>
      <c r="AS100">
        <f t="shared" si="3"/>
        <v>3346664.16</v>
      </c>
      <c r="AT100" t="s">
        <v>82</v>
      </c>
    </row>
    <row r="101" spans="1:46" x14ac:dyDescent="0.35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374</v>
      </c>
      <c r="G101" t="s">
        <v>375</v>
      </c>
      <c r="H101" t="s">
        <v>59</v>
      </c>
      <c r="I101" t="s">
        <v>376</v>
      </c>
      <c r="J101" t="s">
        <v>61</v>
      </c>
      <c r="K101" t="s">
        <v>62</v>
      </c>
      <c r="L101" t="s">
        <v>56</v>
      </c>
      <c r="M101" t="s">
        <v>56</v>
      </c>
      <c r="N101" t="s">
        <v>377</v>
      </c>
      <c r="O101" t="s">
        <v>318</v>
      </c>
      <c r="P101" t="s">
        <v>319</v>
      </c>
      <c r="Q101" t="s">
        <v>378</v>
      </c>
      <c r="R101" t="s">
        <v>379</v>
      </c>
      <c r="T101">
        <v>-3359012.86</v>
      </c>
      <c r="U101" t="s">
        <v>68</v>
      </c>
      <c r="V101" t="s">
        <v>380</v>
      </c>
      <c r="W101" s="9">
        <v>60604073</v>
      </c>
      <c r="X101" t="s">
        <v>386</v>
      </c>
      <c r="Y101" s="1">
        <v>46071</v>
      </c>
      <c r="Z101" s="1">
        <v>46116</v>
      </c>
      <c r="AA101" s="2">
        <v>1702379.74</v>
      </c>
      <c r="AB101" s="2">
        <v>1442694.7</v>
      </c>
      <c r="AC101" s="2">
        <v>259685.04</v>
      </c>
      <c r="AD101" s="2">
        <v>1702379.74</v>
      </c>
      <c r="AE101" t="s">
        <v>387</v>
      </c>
      <c r="AF101" t="s">
        <v>72</v>
      </c>
      <c r="AG101">
        <v>-38</v>
      </c>
      <c r="AH101" t="s">
        <v>117</v>
      </c>
      <c r="AI101" t="s">
        <v>74</v>
      </c>
      <c r="AJ101" t="s">
        <v>237</v>
      </c>
      <c r="AK101" t="s">
        <v>383</v>
      </c>
      <c r="AL101" t="s">
        <v>118</v>
      </c>
      <c r="AM101" t="s">
        <v>78</v>
      </c>
      <c r="AN101" t="s">
        <v>239</v>
      </c>
      <c r="AO101" t="s">
        <v>119</v>
      </c>
      <c r="AP101" t="e">
        <v>#N/A</v>
      </c>
      <c r="AQ101" t="s">
        <v>383</v>
      </c>
      <c r="AR101" t="str">
        <f t="shared" si="2"/>
        <v>60604073.MOBILAM</v>
      </c>
      <c r="AS101">
        <f t="shared" si="3"/>
        <v>3346664.16</v>
      </c>
      <c r="AT101" t="s">
        <v>82</v>
      </c>
    </row>
    <row r="102" spans="1:46" x14ac:dyDescent="0.35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388</v>
      </c>
      <c r="G102" t="s">
        <v>389</v>
      </c>
      <c r="H102" t="s">
        <v>56</v>
      </c>
      <c r="I102" t="s">
        <v>390</v>
      </c>
      <c r="J102" t="s">
        <v>56</v>
      </c>
      <c r="K102" t="s">
        <v>62</v>
      </c>
      <c r="L102" t="s">
        <v>56</v>
      </c>
      <c r="M102" t="s">
        <v>56</v>
      </c>
      <c r="N102" t="s">
        <v>254</v>
      </c>
      <c r="O102" t="s">
        <v>391</v>
      </c>
      <c r="P102" t="s">
        <v>392</v>
      </c>
      <c r="Q102" t="s">
        <v>393</v>
      </c>
      <c r="R102" t="s">
        <v>67</v>
      </c>
      <c r="S102">
        <v>1000000</v>
      </c>
      <c r="T102">
        <v>357216.26</v>
      </c>
      <c r="U102" t="s">
        <v>68</v>
      </c>
      <c r="V102" t="s">
        <v>394</v>
      </c>
      <c r="W102" s="9">
        <v>60601450</v>
      </c>
      <c r="X102" t="s">
        <v>395</v>
      </c>
      <c r="Y102" s="1">
        <v>46018</v>
      </c>
      <c r="Z102" s="1">
        <v>46048</v>
      </c>
      <c r="AA102" s="2">
        <v>291704.18</v>
      </c>
      <c r="AB102" s="2">
        <v>247206.94</v>
      </c>
      <c r="AC102" s="2">
        <v>44497.24</v>
      </c>
      <c r="AD102" s="2">
        <v>290343.17</v>
      </c>
      <c r="AE102" t="s">
        <v>396</v>
      </c>
      <c r="AF102" t="s">
        <v>72</v>
      </c>
      <c r="AG102">
        <v>30</v>
      </c>
      <c r="AH102" t="s">
        <v>73</v>
      </c>
      <c r="AI102" t="s">
        <v>74</v>
      </c>
      <c r="AJ102" t="s">
        <v>75</v>
      </c>
      <c r="AK102" t="s">
        <v>76</v>
      </c>
      <c r="AL102" t="s">
        <v>77</v>
      </c>
      <c r="AM102" t="s">
        <v>78</v>
      </c>
      <c r="AN102" t="s">
        <v>104</v>
      </c>
      <c r="AO102" t="s">
        <v>80</v>
      </c>
      <c r="AP102" t="e">
        <v>#N/A</v>
      </c>
      <c r="AQ102" t="s">
        <v>81</v>
      </c>
      <c r="AR102" t="str">
        <f t="shared" si="2"/>
        <v>60601450.STATAM</v>
      </c>
      <c r="AS102">
        <f t="shared" si="3"/>
        <v>642783.74</v>
      </c>
      <c r="AT102" t="s">
        <v>82</v>
      </c>
    </row>
    <row r="103" spans="1:46" x14ac:dyDescent="0.35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388</v>
      </c>
      <c r="G103" t="s">
        <v>389</v>
      </c>
      <c r="H103" t="s">
        <v>56</v>
      </c>
      <c r="I103" t="s">
        <v>390</v>
      </c>
      <c r="J103" t="s">
        <v>56</v>
      </c>
      <c r="K103" t="s">
        <v>62</v>
      </c>
      <c r="L103" t="s">
        <v>56</v>
      </c>
      <c r="M103" t="s">
        <v>56</v>
      </c>
      <c r="N103" t="s">
        <v>252</v>
      </c>
      <c r="O103" t="s">
        <v>391</v>
      </c>
      <c r="P103" t="s">
        <v>392</v>
      </c>
      <c r="Q103" t="s">
        <v>393</v>
      </c>
      <c r="R103" t="s">
        <v>67</v>
      </c>
      <c r="S103">
        <v>1000000</v>
      </c>
      <c r="T103">
        <v>357216.26</v>
      </c>
      <c r="U103" t="s">
        <v>68</v>
      </c>
      <c r="V103" t="s">
        <v>394</v>
      </c>
      <c r="W103" s="9">
        <v>60601450</v>
      </c>
      <c r="X103" t="s">
        <v>395</v>
      </c>
      <c r="Y103" s="1">
        <v>46018</v>
      </c>
      <c r="Z103" s="1">
        <v>46048</v>
      </c>
      <c r="AA103" s="2">
        <v>142364.82</v>
      </c>
      <c r="AB103" s="2">
        <v>120648.16</v>
      </c>
      <c r="AC103" s="2">
        <v>21716.66</v>
      </c>
      <c r="AD103" s="2">
        <v>141700.59</v>
      </c>
      <c r="AE103" t="s">
        <v>397</v>
      </c>
      <c r="AF103" t="s">
        <v>72</v>
      </c>
      <c r="AG103">
        <v>30</v>
      </c>
      <c r="AH103" t="s">
        <v>73</v>
      </c>
      <c r="AI103" t="s">
        <v>74</v>
      </c>
      <c r="AJ103" t="s">
        <v>75</v>
      </c>
      <c r="AK103" t="s">
        <v>76</v>
      </c>
      <c r="AL103" t="s">
        <v>77</v>
      </c>
      <c r="AM103" t="s">
        <v>78</v>
      </c>
      <c r="AN103" t="s">
        <v>104</v>
      </c>
      <c r="AO103" t="s">
        <v>80</v>
      </c>
      <c r="AP103" t="e">
        <v>#N/A</v>
      </c>
      <c r="AQ103" t="s">
        <v>81</v>
      </c>
      <c r="AR103" t="str">
        <f t="shared" si="2"/>
        <v>60601450.STATAM</v>
      </c>
      <c r="AS103">
        <f t="shared" si="3"/>
        <v>642783.74</v>
      </c>
      <c r="AT103" t="s">
        <v>82</v>
      </c>
    </row>
    <row r="104" spans="1:46" x14ac:dyDescent="0.35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388</v>
      </c>
      <c r="G104" t="s">
        <v>389</v>
      </c>
      <c r="H104" t="s">
        <v>56</v>
      </c>
      <c r="I104" t="s">
        <v>398</v>
      </c>
      <c r="J104" t="s">
        <v>56</v>
      </c>
      <c r="K104" t="s">
        <v>62</v>
      </c>
      <c r="L104" t="s">
        <v>56</v>
      </c>
      <c r="M104" t="s">
        <v>56</v>
      </c>
      <c r="N104" t="s">
        <v>252</v>
      </c>
      <c r="O104" t="s">
        <v>391</v>
      </c>
      <c r="P104" t="s">
        <v>392</v>
      </c>
      <c r="Q104" t="s">
        <v>393</v>
      </c>
      <c r="R104" t="s">
        <v>67</v>
      </c>
      <c r="S104">
        <v>1000000</v>
      </c>
      <c r="T104">
        <v>357216.26</v>
      </c>
      <c r="U104" t="s">
        <v>68</v>
      </c>
      <c r="V104" t="s">
        <v>394</v>
      </c>
      <c r="W104" s="9">
        <v>60601450</v>
      </c>
      <c r="X104" t="s">
        <v>399</v>
      </c>
      <c r="Y104" s="1">
        <v>46027</v>
      </c>
      <c r="Z104" s="1">
        <v>46057</v>
      </c>
      <c r="AA104" s="2">
        <v>210739.98</v>
      </c>
      <c r="AB104" s="2">
        <v>178593.2</v>
      </c>
      <c r="AC104" s="2">
        <v>32146.78</v>
      </c>
      <c r="AD104" s="2">
        <v>210739.98</v>
      </c>
      <c r="AE104" t="s">
        <v>400</v>
      </c>
      <c r="AF104" t="s">
        <v>72</v>
      </c>
      <c r="AG104">
        <v>21</v>
      </c>
      <c r="AH104" t="s">
        <v>73</v>
      </c>
      <c r="AI104" t="s">
        <v>74</v>
      </c>
      <c r="AJ104" t="s">
        <v>75</v>
      </c>
      <c r="AK104" t="s">
        <v>76</v>
      </c>
      <c r="AL104" t="s">
        <v>77</v>
      </c>
      <c r="AM104" t="s">
        <v>78</v>
      </c>
      <c r="AN104" t="s">
        <v>104</v>
      </c>
      <c r="AO104" t="s">
        <v>80</v>
      </c>
      <c r="AP104" t="e">
        <v>#N/A</v>
      </c>
      <c r="AQ104" t="s">
        <v>81</v>
      </c>
      <c r="AR104" t="str">
        <f t="shared" si="2"/>
        <v>60601450.STATAM</v>
      </c>
      <c r="AS104">
        <f t="shared" si="3"/>
        <v>642783.74</v>
      </c>
      <c r="AT104" t="s">
        <v>82</v>
      </c>
    </row>
    <row r="105" spans="1:46" x14ac:dyDescent="0.35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401</v>
      </c>
      <c r="G105" t="s">
        <v>402</v>
      </c>
      <c r="H105" t="s">
        <v>403</v>
      </c>
      <c r="I105" t="s">
        <v>404</v>
      </c>
      <c r="J105" t="s">
        <v>61</v>
      </c>
      <c r="K105" t="s">
        <v>62</v>
      </c>
      <c r="L105" t="s">
        <v>56</v>
      </c>
      <c r="M105" t="s">
        <v>56</v>
      </c>
      <c r="N105" t="s">
        <v>405</v>
      </c>
      <c r="O105" t="s">
        <v>406</v>
      </c>
      <c r="P105" t="s">
        <v>407</v>
      </c>
      <c r="Q105" t="s">
        <v>247</v>
      </c>
      <c r="R105" t="s">
        <v>67</v>
      </c>
      <c r="S105">
        <v>250000</v>
      </c>
      <c r="T105">
        <v>233480</v>
      </c>
      <c r="U105" t="s">
        <v>68</v>
      </c>
      <c r="V105" t="s">
        <v>408</v>
      </c>
      <c r="W105" s="9">
        <v>60130089</v>
      </c>
      <c r="X105" t="s">
        <v>409</v>
      </c>
      <c r="Y105" s="1">
        <v>46066</v>
      </c>
      <c r="Z105" s="1">
        <v>46096</v>
      </c>
      <c r="AA105" s="2">
        <v>16520</v>
      </c>
      <c r="AB105" s="2">
        <v>14000</v>
      </c>
      <c r="AC105" s="2">
        <v>2520</v>
      </c>
      <c r="AD105" s="2">
        <v>16520</v>
      </c>
      <c r="AE105" t="s">
        <v>410</v>
      </c>
      <c r="AF105" t="s">
        <v>72</v>
      </c>
      <c r="AG105">
        <v>-18</v>
      </c>
      <c r="AH105" t="s">
        <v>117</v>
      </c>
      <c r="AI105" t="s">
        <v>74</v>
      </c>
      <c r="AJ105" t="s">
        <v>75</v>
      </c>
      <c r="AK105" t="s">
        <v>76</v>
      </c>
      <c r="AL105" t="s">
        <v>118</v>
      </c>
      <c r="AM105" t="s">
        <v>78</v>
      </c>
      <c r="AN105" t="s">
        <v>104</v>
      </c>
      <c r="AO105" t="s">
        <v>119</v>
      </c>
      <c r="AP105" t="e">
        <v>#N/A</v>
      </c>
      <c r="AQ105" t="s">
        <v>81</v>
      </c>
      <c r="AR105" t="str">
        <f t="shared" si="2"/>
        <v>60130089.STATAM</v>
      </c>
      <c r="AS105">
        <f t="shared" si="3"/>
        <v>16520</v>
      </c>
      <c r="AT105" t="s">
        <v>82</v>
      </c>
    </row>
    <row r="106" spans="1:46" x14ac:dyDescent="0.35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411</v>
      </c>
      <c r="G106" t="s">
        <v>412</v>
      </c>
      <c r="H106" t="s">
        <v>59</v>
      </c>
      <c r="I106" t="s">
        <v>413</v>
      </c>
      <c r="J106" t="s">
        <v>61</v>
      </c>
      <c r="K106" t="s">
        <v>62</v>
      </c>
      <c r="L106" t="s">
        <v>56</v>
      </c>
      <c r="M106" t="s">
        <v>56</v>
      </c>
      <c r="N106" t="s">
        <v>377</v>
      </c>
      <c r="O106" t="s">
        <v>318</v>
      </c>
      <c r="P106" t="s">
        <v>319</v>
      </c>
      <c r="Q106" t="s">
        <v>414</v>
      </c>
      <c r="R106" t="s">
        <v>67</v>
      </c>
      <c r="S106">
        <v>6500000</v>
      </c>
      <c r="T106">
        <v>-3214173.27</v>
      </c>
      <c r="U106" t="s">
        <v>68</v>
      </c>
      <c r="V106" t="s">
        <v>415</v>
      </c>
      <c r="W106" s="9">
        <v>60604005</v>
      </c>
      <c r="X106" t="s">
        <v>416</v>
      </c>
      <c r="Y106" s="1">
        <v>45982</v>
      </c>
      <c r="Z106" s="1">
        <v>46012</v>
      </c>
      <c r="AA106" s="2">
        <v>1220579.02</v>
      </c>
      <c r="AB106" s="2">
        <v>1034389</v>
      </c>
      <c r="AC106" s="2">
        <v>186190.02</v>
      </c>
      <c r="AD106" s="2">
        <v>501858.28</v>
      </c>
      <c r="AE106" t="s">
        <v>417</v>
      </c>
      <c r="AF106" t="s">
        <v>72</v>
      </c>
      <c r="AG106">
        <v>66</v>
      </c>
      <c r="AH106" t="s">
        <v>260</v>
      </c>
      <c r="AI106" t="s">
        <v>74</v>
      </c>
      <c r="AJ106" t="s">
        <v>237</v>
      </c>
      <c r="AK106" t="s">
        <v>383</v>
      </c>
      <c r="AL106" t="s">
        <v>77</v>
      </c>
      <c r="AM106" t="s">
        <v>78</v>
      </c>
      <c r="AN106" t="s">
        <v>239</v>
      </c>
      <c r="AO106" t="s">
        <v>80</v>
      </c>
      <c r="AP106" t="e">
        <v>#N/A</v>
      </c>
      <c r="AQ106" t="s">
        <v>383</v>
      </c>
      <c r="AR106" t="str">
        <f t="shared" si="2"/>
        <v>60604005.MOBILAM</v>
      </c>
      <c r="AS106">
        <f t="shared" si="3"/>
        <v>9714173.2699999996</v>
      </c>
      <c r="AT106" t="s">
        <v>82</v>
      </c>
    </row>
    <row r="107" spans="1:46" x14ac:dyDescent="0.35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411</v>
      </c>
      <c r="G107" t="s">
        <v>412</v>
      </c>
      <c r="H107" t="s">
        <v>59</v>
      </c>
      <c r="I107" t="s">
        <v>418</v>
      </c>
      <c r="J107" t="s">
        <v>61</v>
      </c>
      <c r="K107" t="s">
        <v>62</v>
      </c>
      <c r="L107" t="s">
        <v>56</v>
      </c>
      <c r="M107" t="s">
        <v>56</v>
      </c>
      <c r="N107" t="s">
        <v>377</v>
      </c>
      <c r="O107" t="s">
        <v>318</v>
      </c>
      <c r="P107" t="s">
        <v>319</v>
      </c>
      <c r="Q107" t="s">
        <v>419</v>
      </c>
      <c r="R107" t="s">
        <v>67</v>
      </c>
      <c r="S107">
        <v>6500000</v>
      </c>
      <c r="T107">
        <v>-3214173.27</v>
      </c>
      <c r="U107" t="s">
        <v>68</v>
      </c>
      <c r="V107" t="s">
        <v>415</v>
      </c>
      <c r="W107" s="9">
        <v>60604005</v>
      </c>
      <c r="X107" t="s">
        <v>420</v>
      </c>
      <c r="Y107" s="1">
        <v>46028</v>
      </c>
      <c r="Z107" s="1">
        <v>46058</v>
      </c>
      <c r="AA107" s="2">
        <v>1635172.52</v>
      </c>
      <c r="AB107" s="2">
        <v>1385739.42</v>
      </c>
      <c r="AC107" s="2">
        <v>249433.1</v>
      </c>
      <c r="AD107" s="2">
        <v>1635172.52</v>
      </c>
      <c r="AE107" t="s">
        <v>421</v>
      </c>
      <c r="AF107" t="s">
        <v>72</v>
      </c>
      <c r="AG107">
        <v>20</v>
      </c>
      <c r="AH107" t="s">
        <v>73</v>
      </c>
      <c r="AI107" t="s">
        <v>74</v>
      </c>
      <c r="AJ107" t="s">
        <v>237</v>
      </c>
      <c r="AK107" t="s">
        <v>383</v>
      </c>
      <c r="AL107" t="s">
        <v>77</v>
      </c>
      <c r="AM107" t="s">
        <v>78</v>
      </c>
      <c r="AN107" t="s">
        <v>239</v>
      </c>
      <c r="AO107" t="s">
        <v>80</v>
      </c>
      <c r="AP107" t="e">
        <v>#N/A</v>
      </c>
      <c r="AQ107" t="s">
        <v>383</v>
      </c>
      <c r="AR107" t="str">
        <f t="shared" si="2"/>
        <v>60604005.MOBILAM</v>
      </c>
      <c r="AS107">
        <f t="shared" si="3"/>
        <v>9714173.2699999996</v>
      </c>
      <c r="AT107" t="s">
        <v>82</v>
      </c>
    </row>
    <row r="108" spans="1:46" x14ac:dyDescent="0.35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411</v>
      </c>
      <c r="G108" t="s">
        <v>412</v>
      </c>
      <c r="H108" t="s">
        <v>59</v>
      </c>
      <c r="I108" t="s">
        <v>413</v>
      </c>
      <c r="J108" t="s">
        <v>61</v>
      </c>
      <c r="K108" t="s">
        <v>62</v>
      </c>
      <c r="L108" t="s">
        <v>56</v>
      </c>
      <c r="M108" t="s">
        <v>56</v>
      </c>
      <c r="N108" t="s">
        <v>377</v>
      </c>
      <c r="O108" t="s">
        <v>318</v>
      </c>
      <c r="P108" t="s">
        <v>319</v>
      </c>
      <c r="Q108" t="s">
        <v>414</v>
      </c>
      <c r="R108" t="s">
        <v>67</v>
      </c>
      <c r="S108">
        <v>6500000</v>
      </c>
      <c r="T108">
        <v>-3214173.27</v>
      </c>
      <c r="U108" t="s">
        <v>68</v>
      </c>
      <c r="V108" t="s">
        <v>415</v>
      </c>
      <c r="W108" s="9">
        <v>60604005</v>
      </c>
      <c r="X108" t="s">
        <v>422</v>
      </c>
      <c r="Y108" s="1">
        <v>46028</v>
      </c>
      <c r="Z108" s="1">
        <v>46058</v>
      </c>
      <c r="AA108" s="2">
        <v>1325442.08</v>
      </c>
      <c r="AB108" s="2">
        <v>1123256</v>
      </c>
      <c r="AC108" s="2">
        <v>202186.08</v>
      </c>
      <c r="AD108" s="2">
        <v>1325442.08</v>
      </c>
      <c r="AE108" t="s">
        <v>423</v>
      </c>
      <c r="AF108" t="s">
        <v>72</v>
      </c>
      <c r="AG108">
        <v>20</v>
      </c>
      <c r="AH108" t="s">
        <v>73</v>
      </c>
      <c r="AI108" t="s">
        <v>74</v>
      </c>
      <c r="AJ108" t="s">
        <v>237</v>
      </c>
      <c r="AK108" t="s">
        <v>383</v>
      </c>
      <c r="AL108" t="s">
        <v>77</v>
      </c>
      <c r="AM108" t="s">
        <v>78</v>
      </c>
      <c r="AN108" t="s">
        <v>239</v>
      </c>
      <c r="AO108" t="s">
        <v>80</v>
      </c>
      <c r="AP108" t="e">
        <v>#N/A</v>
      </c>
      <c r="AQ108" t="s">
        <v>383</v>
      </c>
      <c r="AR108" t="str">
        <f t="shared" si="2"/>
        <v>60604005.MOBILAM</v>
      </c>
      <c r="AS108">
        <f t="shared" si="3"/>
        <v>9714173.2699999996</v>
      </c>
      <c r="AT108" t="s">
        <v>82</v>
      </c>
    </row>
    <row r="109" spans="1:46" x14ac:dyDescent="0.35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411</v>
      </c>
      <c r="G109" t="s">
        <v>412</v>
      </c>
      <c r="H109" t="s">
        <v>59</v>
      </c>
      <c r="I109" t="s">
        <v>418</v>
      </c>
      <c r="J109" t="s">
        <v>61</v>
      </c>
      <c r="K109" t="s">
        <v>62</v>
      </c>
      <c r="L109" t="s">
        <v>56</v>
      </c>
      <c r="M109" t="s">
        <v>56</v>
      </c>
      <c r="N109" t="s">
        <v>377</v>
      </c>
      <c r="O109" t="s">
        <v>318</v>
      </c>
      <c r="P109" t="s">
        <v>319</v>
      </c>
      <c r="Q109" t="s">
        <v>419</v>
      </c>
      <c r="R109" t="s">
        <v>67</v>
      </c>
      <c r="S109">
        <v>6500000</v>
      </c>
      <c r="T109">
        <v>-3214173.27</v>
      </c>
      <c r="U109" t="s">
        <v>68</v>
      </c>
      <c r="V109" t="s">
        <v>415</v>
      </c>
      <c r="W109" s="9">
        <v>60604005</v>
      </c>
      <c r="X109" t="s">
        <v>424</v>
      </c>
      <c r="Y109" s="1">
        <v>46048</v>
      </c>
      <c r="Z109" s="1">
        <v>46078</v>
      </c>
      <c r="AA109" s="2">
        <v>1814995.68</v>
      </c>
      <c r="AB109" s="2">
        <v>1538131.94</v>
      </c>
      <c r="AC109" s="2">
        <v>276863.74</v>
      </c>
      <c r="AD109" s="2">
        <v>1814995.68</v>
      </c>
      <c r="AE109" t="s">
        <v>425</v>
      </c>
      <c r="AF109" t="s">
        <v>72</v>
      </c>
      <c r="AG109">
        <v>0</v>
      </c>
      <c r="AH109" t="s">
        <v>117</v>
      </c>
      <c r="AI109" t="s">
        <v>74</v>
      </c>
      <c r="AJ109" t="s">
        <v>237</v>
      </c>
      <c r="AK109" t="s">
        <v>383</v>
      </c>
      <c r="AL109" t="s">
        <v>77</v>
      </c>
      <c r="AM109" t="s">
        <v>78</v>
      </c>
      <c r="AN109" t="s">
        <v>239</v>
      </c>
      <c r="AO109" t="s">
        <v>119</v>
      </c>
      <c r="AP109" t="e">
        <v>#N/A</v>
      </c>
      <c r="AQ109" t="s">
        <v>383</v>
      </c>
      <c r="AR109" t="str">
        <f t="shared" si="2"/>
        <v>60604005.MOBILAM</v>
      </c>
      <c r="AS109">
        <f t="shared" si="3"/>
        <v>9714173.2699999996</v>
      </c>
      <c r="AT109" t="s">
        <v>82</v>
      </c>
    </row>
    <row r="110" spans="1:46" x14ac:dyDescent="0.35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411</v>
      </c>
      <c r="G110" t="s">
        <v>412</v>
      </c>
      <c r="H110" t="s">
        <v>59</v>
      </c>
      <c r="I110" t="s">
        <v>413</v>
      </c>
      <c r="J110" t="s">
        <v>61</v>
      </c>
      <c r="K110" t="s">
        <v>62</v>
      </c>
      <c r="L110" t="s">
        <v>56</v>
      </c>
      <c r="M110" t="s">
        <v>56</v>
      </c>
      <c r="N110" t="s">
        <v>377</v>
      </c>
      <c r="O110" t="s">
        <v>318</v>
      </c>
      <c r="P110" t="s">
        <v>319</v>
      </c>
      <c r="Q110" t="s">
        <v>414</v>
      </c>
      <c r="R110" t="s">
        <v>67</v>
      </c>
      <c r="S110">
        <v>6500000</v>
      </c>
      <c r="T110">
        <v>-3214173.27</v>
      </c>
      <c r="U110" t="s">
        <v>68</v>
      </c>
      <c r="V110" t="s">
        <v>415</v>
      </c>
      <c r="W110" s="9">
        <v>60604005</v>
      </c>
      <c r="X110" t="s">
        <v>426</v>
      </c>
      <c r="Y110" s="1">
        <v>46048</v>
      </c>
      <c r="Z110" s="1">
        <v>46078</v>
      </c>
      <c r="AA110" s="2">
        <v>1291613.26</v>
      </c>
      <c r="AB110" s="2">
        <v>1094587.5</v>
      </c>
      <c r="AC110" s="2">
        <v>197025.76</v>
      </c>
      <c r="AD110" s="2">
        <v>1291613.26</v>
      </c>
      <c r="AE110" t="s">
        <v>427</v>
      </c>
      <c r="AF110" t="s">
        <v>72</v>
      </c>
      <c r="AG110">
        <v>0</v>
      </c>
      <c r="AH110" t="s">
        <v>117</v>
      </c>
      <c r="AI110" t="s">
        <v>74</v>
      </c>
      <c r="AJ110" t="s">
        <v>237</v>
      </c>
      <c r="AK110" t="s">
        <v>383</v>
      </c>
      <c r="AL110" t="s">
        <v>77</v>
      </c>
      <c r="AM110" t="s">
        <v>78</v>
      </c>
      <c r="AN110" t="s">
        <v>239</v>
      </c>
      <c r="AO110" t="s">
        <v>119</v>
      </c>
      <c r="AP110" t="e">
        <v>#N/A</v>
      </c>
      <c r="AQ110" t="s">
        <v>383</v>
      </c>
      <c r="AR110" t="str">
        <f t="shared" si="2"/>
        <v>60604005.MOBILAM</v>
      </c>
      <c r="AS110">
        <f t="shared" si="3"/>
        <v>9714173.2699999996</v>
      </c>
      <c r="AT110" t="s">
        <v>82</v>
      </c>
    </row>
    <row r="111" spans="1:46" x14ac:dyDescent="0.35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411</v>
      </c>
      <c r="G111" t="s">
        <v>412</v>
      </c>
      <c r="H111" t="s">
        <v>59</v>
      </c>
      <c r="I111" t="s">
        <v>418</v>
      </c>
      <c r="J111" t="s">
        <v>61</v>
      </c>
      <c r="K111" t="s">
        <v>62</v>
      </c>
      <c r="L111" t="s">
        <v>56</v>
      </c>
      <c r="M111" t="s">
        <v>56</v>
      </c>
      <c r="N111" t="s">
        <v>377</v>
      </c>
      <c r="O111" t="s">
        <v>318</v>
      </c>
      <c r="P111" t="s">
        <v>319</v>
      </c>
      <c r="Q111" t="s">
        <v>419</v>
      </c>
      <c r="R111" t="s">
        <v>67</v>
      </c>
      <c r="S111">
        <v>6500000</v>
      </c>
      <c r="T111">
        <v>-3214173.27</v>
      </c>
      <c r="U111" t="s">
        <v>68</v>
      </c>
      <c r="V111" t="s">
        <v>415</v>
      </c>
      <c r="W111" s="9">
        <v>60604005</v>
      </c>
      <c r="X111" t="s">
        <v>428</v>
      </c>
      <c r="Y111" s="1">
        <v>46071</v>
      </c>
      <c r="Z111" s="1">
        <v>46101</v>
      </c>
      <c r="AA111" s="2">
        <v>1597308.16</v>
      </c>
      <c r="AB111" s="2">
        <v>1353650.98</v>
      </c>
      <c r="AC111" s="2">
        <v>243657.18</v>
      </c>
      <c r="AD111" s="2">
        <v>1597308.16</v>
      </c>
      <c r="AE111" t="s">
        <v>429</v>
      </c>
      <c r="AF111" t="s">
        <v>72</v>
      </c>
      <c r="AG111">
        <v>-23</v>
      </c>
      <c r="AH111" t="s">
        <v>117</v>
      </c>
      <c r="AI111" t="s">
        <v>74</v>
      </c>
      <c r="AJ111" t="s">
        <v>237</v>
      </c>
      <c r="AK111" t="s">
        <v>383</v>
      </c>
      <c r="AL111" t="s">
        <v>118</v>
      </c>
      <c r="AM111" t="s">
        <v>78</v>
      </c>
      <c r="AN111" t="s">
        <v>239</v>
      </c>
      <c r="AO111" t="s">
        <v>119</v>
      </c>
      <c r="AP111" t="e">
        <v>#N/A</v>
      </c>
      <c r="AQ111" t="s">
        <v>383</v>
      </c>
      <c r="AR111" t="str">
        <f t="shared" si="2"/>
        <v>60604005.MOBILAM</v>
      </c>
      <c r="AS111">
        <f t="shared" si="3"/>
        <v>9714173.2699999996</v>
      </c>
      <c r="AT111" t="s">
        <v>82</v>
      </c>
    </row>
    <row r="112" spans="1:46" x14ac:dyDescent="0.35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411</v>
      </c>
      <c r="G112" t="s">
        <v>412</v>
      </c>
      <c r="H112" t="s">
        <v>59</v>
      </c>
      <c r="I112" t="s">
        <v>413</v>
      </c>
      <c r="J112" t="s">
        <v>61</v>
      </c>
      <c r="K112" t="s">
        <v>62</v>
      </c>
      <c r="L112" t="s">
        <v>56</v>
      </c>
      <c r="M112" t="s">
        <v>56</v>
      </c>
      <c r="N112" t="s">
        <v>377</v>
      </c>
      <c r="O112" t="s">
        <v>318</v>
      </c>
      <c r="P112" t="s">
        <v>319</v>
      </c>
      <c r="Q112" t="s">
        <v>414</v>
      </c>
      <c r="R112" t="s">
        <v>67</v>
      </c>
      <c r="S112">
        <v>6500000</v>
      </c>
      <c r="T112">
        <v>-3214173.27</v>
      </c>
      <c r="U112" t="s">
        <v>68</v>
      </c>
      <c r="V112" t="s">
        <v>415</v>
      </c>
      <c r="W112" s="9">
        <v>60604005</v>
      </c>
      <c r="X112" t="s">
        <v>430</v>
      </c>
      <c r="Y112" s="1">
        <v>46071</v>
      </c>
      <c r="Z112" s="1">
        <v>46101</v>
      </c>
      <c r="AA112" s="2">
        <v>1547783.29</v>
      </c>
      <c r="AB112" s="2">
        <v>1311680.75</v>
      </c>
      <c r="AC112" s="2">
        <v>236102.54</v>
      </c>
      <c r="AD112" s="2">
        <v>1547783.29</v>
      </c>
      <c r="AE112" t="s">
        <v>431</v>
      </c>
      <c r="AF112" t="s">
        <v>72</v>
      </c>
      <c r="AG112">
        <v>-23</v>
      </c>
      <c r="AH112" t="s">
        <v>117</v>
      </c>
      <c r="AI112" t="s">
        <v>74</v>
      </c>
      <c r="AJ112" t="s">
        <v>237</v>
      </c>
      <c r="AK112" t="s">
        <v>383</v>
      </c>
      <c r="AL112" t="s">
        <v>118</v>
      </c>
      <c r="AM112" t="s">
        <v>78</v>
      </c>
      <c r="AN112" t="s">
        <v>239</v>
      </c>
      <c r="AO112" t="s">
        <v>119</v>
      </c>
      <c r="AP112" t="e">
        <v>#N/A</v>
      </c>
      <c r="AQ112" t="s">
        <v>383</v>
      </c>
      <c r="AR112" t="str">
        <f t="shared" si="2"/>
        <v>60604005.MOBILAM</v>
      </c>
      <c r="AS112">
        <f t="shared" si="3"/>
        <v>9714173.2699999996</v>
      </c>
      <c r="AT112" t="s">
        <v>82</v>
      </c>
    </row>
    <row r="113" spans="1:46" x14ac:dyDescent="0.35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432</v>
      </c>
      <c r="G113" t="s">
        <v>433</v>
      </c>
      <c r="H113" t="s">
        <v>56</v>
      </c>
      <c r="I113" t="s">
        <v>434</v>
      </c>
      <c r="J113" t="s">
        <v>56</v>
      </c>
      <c r="K113" t="s">
        <v>62</v>
      </c>
      <c r="L113" t="s">
        <v>56</v>
      </c>
      <c r="M113" t="s">
        <v>56</v>
      </c>
      <c r="N113" t="s">
        <v>252</v>
      </c>
      <c r="O113" t="s">
        <v>435</v>
      </c>
      <c r="P113" t="s">
        <v>436</v>
      </c>
      <c r="Q113" t="s">
        <v>114</v>
      </c>
      <c r="R113" t="s">
        <v>88</v>
      </c>
      <c r="T113">
        <v>-284803</v>
      </c>
      <c r="U113" t="s">
        <v>68</v>
      </c>
      <c r="V113" t="s">
        <v>437</v>
      </c>
      <c r="W113" s="9">
        <v>60604303</v>
      </c>
      <c r="X113" t="s">
        <v>438</v>
      </c>
      <c r="Y113" s="1">
        <v>46031</v>
      </c>
      <c r="Z113" s="1">
        <v>46031</v>
      </c>
      <c r="AA113" s="2">
        <v>261520.01</v>
      </c>
      <c r="AB113" s="2">
        <v>221627.12</v>
      </c>
      <c r="AC113" s="2">
        <v>39892.89</v>
      </c>
      <c r="AD113" s="2">
        <v>172608.15</v>
      </c>
      <c r="AE113" t="s">
        <v>439</v>
      </c>
      <c r="AF113" t="s">
        <v>72</v>
      </c>
      <c r="AG113">
        <v>47</v>
      </c>
      <c r="AH113" t="s">
        <v>236</v>
      </c>
      <c r="AI113" t="s">
        <v>74</v>
      </c>
      <c r="AJ113" t="s">
        <v>75</v>
      </c>
      <c r="AK113" t="s">
        <v>76</v>
      </c>
      <c r="AL113" t="s">
        <v>77</v>
      </c>
      <c r="AM113" t="s">
        <v>78</v>
      </c>
      <c r="AN113" t="s">
        <v>104</v>
      </c>
      <c r="AO113" t="s">
        <v>80</v>
      </c>
      <c r="AP113" t="e">
        <v>#N/A</v>
      </c>
      <c r="AQ113" t="s">
        <v>81</v>
      </c>
      <c r="AR113" t="str">
        <f t="shared" si="2"/>
        <v>60604303.STATAM</v>
      </c>
      <c r="AS113">
        <f t="shared" si="3"/>
        <v>284803</v>
      </c>
      <c r="AT113" t="s">
        <v>82</v>
      </c>
    </row>
    <row r="114" spans="1:46" x14ac:dyDescent="0.35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432</v>
      </c>
      <c r="G114" t="s">
        <v>433</v>
      </c>
      <c r="H114" t="s">
        <v>56</v>
      </c>
      <c r="I114" t="s">
        <v>434</v>
      </c>
      <c r="J114" t="s">
        <v>56</v>
      </c>
      <c r="K114" t="s">
        <v>62</v>
      </c>
      <c r="L114" t="s">
        <v>56</v>
      </c>
      <c r="M114" t="s">
        <v>56</v>
      </c>
      <c r="N114" t="s">
        <v>261</v>
      </c>
      <c r="O114" t="s">
        <v>435</v>
      </c>
      <c r="P114" t="s">
        <v>436</v>
      </c>
      <c r="Q114" t="s">
        <v>114</v>
      </c>
      <c r="R114" t="s">
        <v>88</v>
      </c>
      <c r="T114">
        <v>-284803</v>
      </c>
      <c r="U114" t="s">
        <v>68</v>
      </c>
      <c r="V114" t="s">
        <v>437</v>
      </c>
      <c r="W114" s="9">
        <v>60604303</v>
      </c>
      <c r="X114" t="s">
        <v>438</v>
      </c>
      <c r="Y114" s="1">
        <v>46031</v>
      </c>
      <c r="Z114" s="1">
        <v>46031</v>
      </c>
      <c r="AA114" s="2">
        <v>169987.33</v>
      </c>
      <c r="AB114" s="2">
        <v>144057.06</v>
      </c>
      <c r="AC114" s="2">
        <v>25930.27</v>
      </c>
      <c r="AD114" s="2">
        <v>112194.85</v>
      </c>
      <c r="AE114" t="s">
        <v>440</v>
      </c>
      <c r="AF114" t="s">
        <v>72</v>
      </c>
      <c r="AG114">
        <v>47</v>
      </c>
      <c r="AH114" t="s">
        <v>236</v>
      </c>
      <c r="AI114" t="s">
        <v>74</v>
      </c>
      <c r="AJ114" t="s">
        <v>75</v>
      </c>
      <c r="AK114" t="s">
        <v>76</v>
      </c>
      <c r="AL114" t="s">
        <v>77</v>
      </c>
      <c r="AM114" t="s">
        <v>78</v>
      </c>
      <c r="AN114" t="s">
        <v>104</v>
      </c>
      <c r="AO114" t="s">
        <v>80</v>
      </c>
      <c r="AP114" t="e">
        <v>#N/A</v>
      </c>
      <c r="AQ114" t="s">
        <v>81</v>
      </c>
      <c r="AR114" t="str">
        <f t="shared" si="2"/>
        <v>60604303.STATAM</v>
      </c>
      <c r="AS114">
        <f t="shared" si="3"/>
        <v>284803</v>
      </c>
      <c r="AT114" t="s">
        <v>82</v>
      </c>
    </row>
    <row r="115" spans="1:46" x14ac:dyDescent="0.35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441</v>
      </c>
      <c r="G115" t="s">
        <v>442</v>
      </c>
      <c r="H115" t="s">
        <v>56</v>
      </c>
      <c r="I115" t="s">
        <v>443</v>
      </c>
      <c r="J115" t="s">
        <v>56</v>
      </c>
      <c r="K115" t="s">
        <v>62</v>
      </c>
      <c r="L115" t="s">
        <v>56</v>
      </c>
      <c r="M115" t="s">
        <v>56</v>
      </c>
      <c r="N115" t="s">
        <v>252</v>
      </c>
      <c r="O115" t="s">
        <v>435</v>
      </c>
      <c r="P115" t="s">
        <v>436</v>
      </c>
      <c r="Q115" t="s">
        <v>444</v>
      </c>
      <c r="R115" t="s">
        <v>88</v>
      </c>
      <c r="T115">
        <v>-431286.55</v>
      </c>
      <c r="U115" t="s">
        <v>68</v>
      </c>
      <c r="V115" t="s">
        <v>445</v>
      </c>
      <c r="W115" s="9">
        <v>60603004</v>
      </c>
      <c r="X115" t="s">
        <v>446</v>
      </c>
      <c r="Y115" s="1">
        <v>46057</v>
      </c>
      <c r="Z115" s="1">
        <v>46057</v>
      </c>
      <c r="AA115" s="2">
        <v>3431286.55</v>
      </c>
      <c r="AB115" s="2">
        <v>2907869.97</v>
      </c>
      <c r="AC115" s="2">
        <v>523416.58</v>
      </c>
      <c r="AD115" s="2">
        <v>431286.55</v>
      </c>
      <c r="AE115" t="s">
        <v>447</v>
      </c>
      <c r="AF115" t="s">
        <v>72</v>
      </c>
      <c r="AG115">
        <v>21</v>
      </c>
      <c r="AH115" t="s">
        <v>73</v>
      </c>
      <c r="AI115" t="s">
        <v>74</v>
      </c>
      <c r="AJ115" t="s">
        <v>75</v>
      </c>
      <c r="AK115" t="s">
        <v>76</v>
      </c>
      <c r="AL115" t="s">
        <v>77</v>
      </c>
      <c r="AM115" t="s">
        <v>78</v>
      </c>
      <c r="AN115" t="s">
        <v>104</v>
      </c>
      <c r="AO115" t="s">
        <v>80</v>
      </c>
      <c r="AP115" t="e">
        <v>#N/A</v>
      </c>
      <c r="AQ115" t="s">
        <v>81</v>
      </c>
      <c r="AR115" t="str">
        <f t="shared" si="2"/>
        <v>60603004.STATAM</v>
      </c>
      <c r="AS115">
        <f t="shared" si="3"/>
        <v>431286.55</v>
      </c>
      <c r="AT115" t="s">
        <v>82</v>
      </c>
    </row>
    <row r="116" spans="1:46" x14ac:dyDescent="0.35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448</v>
      </c>
      <c r="G116" t="s">
        <v>56</v>
      </c>
      <c r="H116" t="s">
        <v>56</v>
      </c>
      <c r="I116" t="s">
        <v>449</v>
      </c>
      <c r="J116" t="s">
        <v>61</v>
      </c>
      <c r="K116" t="s">
        <v>62</v>
      </c>
      <c r="L116" t="s">
        <v>56</v>
      </c>
      <c r="M116" t="s">
        <v>56</v>
      </c>
      <c r="N116" t="s">
        <v>56</v>
      </c>
      <c r="O116" t="s">
        <v>222</v>
      </c>
      <c r="P116" t="s">
        <v>223</v>
      </c>
      <c r="Q116" t="s">
        <v>87</v>
      </c>
      <c r="R116" t="s">
        <v>88</v>
      </c>
      <c r="T116">
        <v>40288.29</v>
      </c>
      <c r="U116" t="s">
        <v>68</v>
      </c>
      <c r="V116" t="s">
        <v>450</v>
      </c>
      <c r="W116" s="9">
        <v>60603657</v>
      </c>
      <c r="X116" t="s">
        <v>451</v>
      </c>
      <c r="Y116" s="1">
        <v>46007</v>
      </c>
      <c r="Z116" s="1">
        <v>46007</v>
      </c>
      <c r="AA116" s="2">
        <v>-743661</v>
      </c>
      <c r="AB116" s="2">
        <v>-743661</v>
      </c>
      <c r="AC116" s="2">
        <v>0</v>
      </c>
      <c r="AD116" s="2">
        <v>-40288.29</v>
      </c>
      <c r="AE116" t="s">
        <v>451</v>
      </c>
      <c r="AF116" t="s">
        <v>72</v>
      </c>
      <c r="AG116">
        <v>71</v>
      </c>
      <c r="AH116" t="s">
        <v>260</v>
      </c>
      <c r="AI116" t="s">
        <v>74</v>
      </c>
      <c r="AJ116" t="s">
        <v>75</v>
      </c>
      <c r="AK116" t="s">
        <v>76</v>
      </c>
      <c r="AL116" t="s">
        <v>77</v>
      </c>
      <c r="AM116" t="s">
        <v>78</v>
      </c>
      <c r="AN116" t="s">
        <v>104</v>
      </c>
      <c r="AO116" t="s">
        <v>80</v>
      </c>
      <c r="AP116" t="e">
        <v>#N/A</v>
      </c>
      <c r="AQ116" t="s">
        <v>81</v>
      </c>
      <c r="AR116" t="str">
        <f t="shared" si="2"/>
        <v>60603657.STATAM</v>
      </c>
      <c r="AS116">
        <f t="shared" si="3"/>
        <v>-40288.29</v>
      </c>
      <c r="AT116" t="s">
        <v>93</v>
      </c>
    </row>
    <row r="117" spans="1:46" x14ac:dyDescent="0.35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452</v>
      </c>
      <c r="G117" t="s">
        <v>453</v>
      </c>
      <c r="H117" t="s">
        <v>56</v>
      </c>
      <c r="I117" t="s">
        <v>454</v>
      </c>
      <c r="J117" t="s">
        <v>61</v>
      </c>
      <c r="K117" t="s">
        <v>62</v>
      </c>
      <c r="L117" t="s">
        <v>56</v>
      </c>
      <c r="M117" t="s">
        <v>56</v>
      </c>
      <c r="N117" t="s">
        <v>252</v>
      </c>
      <c r="O117" t="s">
        <v>222</v>
      </c>
      <c r="P117" t="s">
        <v>223</v>
      </c>
      <c r="Q117" t="s">
        <v>87</v>
      </c>
      <c r="R117" t="s">
        <v>88</v>
      </c>
      <c r="T117">
        <v>-12335.25</v>
      </c>
      <c r="U117" t="s">
        <v>68</v>
      </c>
      <c r="V117" t="s">
        <v>455</v>
      </c>
      <c r="W117" s="9">
        <v>60603998</v>
      </c>
      <c r="X117" t="s">
        <v>456</v>
      </c>
      <c r="Y117" s="1">
        <v>46051</v>
      </c>
      <c r="Z117" s="1">
        <v>46051</v>
      </c>
      <c r="AA117" s="2">
        <v>24651.9</v>
      </c>
      <c r="AB117" s="2">
        <v>20891.439999999999</v>
      </c>
      <c r="AC117" s="2">
        <v>3760.46</v>
      </c>
      <c r="AD117" s="2">
        <v>12335.25</v>
      </c>
      <c r="AE117" t="s">
        <v>457</v>
      </c>
      <c r="AF117" t="s">
        <v>72</v>
      </c>
      <c r="AG117">
        <v>27</v>
      </c>
      <c r="AH117" t="s">
        <v>73</v>
      </c>
      <c r="AI117" t="s">
        <v>74</v>
      </c>
      <c r="AJ117" t="s">
        <v>75</v>
      </c>
      <c r="AK117" t="s">
        <v>76</v>
      </c>
      <c r="AL117" t="s">
        <v>77</v>
      </c>
      <c r="AM117" t="s">
        <v>78</v>
      </c>
      <c r="AN117" t="s">
        <v>104</v>
      </c>
      <c r="AO117" t="s">
        <v>80</v>
      </c>
      <c r="AP117" t="e">
        <v>#N/A</v>
      </c>
      <c r="AQ117" t="s">
        <v>81</v>
      </c>
      <c r="AR117" t="str">
        <f t="shared" si="2"/>
        <v>60603998.STATAM</v>
      </c>
      <c r="AS117">
        <f t="shared" si="3"/>
        <v>12335.25</v>
      </c>
      <c r="AT117" t="s">
        <v>82</v>
      </c>
    </row>
    <row r="118" spans="1:46" x14ac:dyDescent="0.35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458</v>
      </c>
      <c r="G118" t="s">
        <v>459</v>
      </c>
      <c r="H118" t="s">
        <v>56</v>
      </c>
      <c r="I118" t="s">
        <v>460</v>
      </c>
      <c r="J118" t="s">
        <v>56</v>
      </c>
      <c r="K118" t="s">
        <v>62</v>
      </c>
      <c r="L118" t="s">
        <v>56</v>
      </c>
      <c r="M118" t="s">
        <v>56</v>
      </c>
      <c r="N118" t="s">
        <v>252</v>
      </c>
      <c r="O118" t="s">
        <v>222</v>
      </c>
      <c r="P118" t="s">
        <v>223</v>
      </c>
      <c r="Q118" t="s">
        <v>114</v>
      </c>
      <c r="R118" t="s">
        <v>379</v>
      </c>
      <c r="S118">
        <v>438508</v>
      </c>
      <c r="T118">
        <v>-1465375.83</v>
      </c>
      <c r="U118" t="s">
        <v>68</v>
      </c>
      <c r="V118" t="s">
        <v>461</v>
      </c>
      <c r="W118" s="9">
        <v>60604237</v>
      </c>
      <c r="X118" t="s">
        <v>462</v>
      </c>
      <c r="Y118" s="1">
        <v>46046</v>
      </c>
      <c r="Z118" s="1">
        <v>46091</v>
      </c>
      <c r="AA118" s="2">
        <v>1888000</v>
      </c>
      <c r="AB118" s="2">
        <v>1600000</v>
      </c>
      <c r="AC118" s="2">
        <v>288000</v>
      </c>
      <c r="AD118" s="2">
        <v>943942.12</v>
      </c>
      <c r="AE118" t="s">
        <v>463</v>
      </c>
      <c r="AF118" t="s">
        <v>72</v>
      </c>
      <c r="AG118">
        <v>-13</v>
      </c>
      <c r="AH118" t="s">
        <v>117</v>
      </c>
      <c r="AI118" t="s">
        <v>74</v>
      </c>
      <c r="AJ118" t="s">
        <v>75</v>
      </c>
      <c r="AK118" t="s">
        <v>76</v>
      </c>
      <c r="AL118" t="s">
        <v>118</v>
      </c>
      <c r="AM118" t="s">
        <v>78</v>
      </c>
      <c r="AN118" t="s">
        <v>104</v>
      </c>
      <c r="AO118" t="s">
        <v>119</v>
      </c>
      <c r="AP118" t="e">
        <v>#N/A</v>
      </c>
      <c r="AQ118" t="s">
        <v>81</v>
      </c>
      <c r="AR118" t="str">
        <f t="shared" si="2"/>
        <v>60604237.STATAM</v>
      </c>
      <c r="AS118">
        <f t="shared" si="3"/>
        <v>1903883.83</v>
      </c>
      <c r="AT118" t="s">
        <v>82</v>
      </c>
    </row>
    <row r="119" spans="1:46" x14ac:dyDescent="0.35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458</v>
      </c>
      <c r="G119" t="s">
        <v>464</v>
      </c>
      <c r="H119" t="s">
        <v>59</v>
      </c>
      <c r="I119" t="s">
        <v>465</v>
      </c>
      <c r="J119" t="s">
        <v>61</v>
      </c>
      <c r="K119" t="s">
        <v>62</v>
      </c>
      <c r="L119" t="s">
        <v>56</v>
      </c>
      <c r="M119" t="s">
        <v>56</v>
      </c>
      <c r="N119" t="s">
        <v>63</v>
      </c>
      <c r="O119" t="s">
        <v>222</v>
      </c>
      <c r="P119" t="s">
        <v>223</v>
      </c>
      <c r="Q119" t="s">
        <v>466</v>
      </c>
      <c r="R119" t="s">
        <v>379</v>
      </c>
      <c r="S119">
        <v>438508</v>
      </c>
      <c r="T119">
        <v>-1465375.83</v>
      </c>
      <c r="U119" t="s">
        <v>68</v>
      </c>
      <c r="V119" t="s">
        <v>461</v>
      </c>
      <c r="W119" s="9">
        <v>60604237</v>
      </c>
      <c r="X119" t="s">
        <v>467</v>
      </c>
      <c r="Y119" s="1">
        <v>46067</v>
      </c>
      <c r="Z119" s="1">
        <v>46112</v>
      </c>
      <c r="AA119" s="2">
        <v>959941.71</v>
      </c>
      <c r="AB119" s="2">
        <v>813509.93</v>
      </c>
      <c r="AC119" s="2">
        <v>146431.78</v>
      </c>
      <c r="AD119" s="2">
        <v>959941.71</v>
      </c>
      <c r="AE119" t="s">
        <v>468</v>
      </c>
      <c r="AF119" t="s">
        <v>72</v>
      </c>
      <c r="AG119">
        <v>-34</v>
      </c>
      <c r="AH119" t="s">
        <v>117</v>
      </c>
      <c r="AI119" t="s">
        <v>74</v>
      </c>
      <c r="AJ119" t="s">
        <v>75</v>
      </c>
      <c r="AK119" t="s">
        <v>76</v>
      </c>
      <c r="AL119" t="s">
        <v>118</v>
      </c>
      <c r="AM119" t="s">
        <v>78</v>
      </c>
      <c r="AN119" t="s">
        <v>104</v>
      </c>
      <c r="AO119" t="s">
        <v>119</v>
      </c>
      <c r="AP119" t="e">
        <v>#N/A</v>
      </c>
      <c r="AQ119" t="s">
        <v>81</v>
      </c>
      <c r="AR119" t="str">
        <f t="shared" si="2"/>
        <v>60604237.STATAM</v>
      </c>
      <c r="AS119">
        <f t="shared" si="3"/>
        <v>1903883.83</v>
      </c>
      <c r="AT119" t="s">
        <v>82</v>
      </c>
    </row>
    <row r="120" spans="1:46" x14ac:dyDescent="0.35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469</v>
      </c>
      <c r="G120" t="s">
        <v>56</v>
      </c>
      <c r="H120" t="s">
        <v>56</v>
      </c>
      <c r="I120" t="s">
        <v>470</v>
      </c>
      <c r="J120" t="s">
        <v>61</v>
      </c>
      <c r="K120" t="s">
        <v>243</v>
      </c>
      <c r="L120" t="s">
        <v>56</v>
      </c>
      <c r="M120" t="s">
        <v>56</v>
      </c>
      <c r="N120" t="s">
        <v>56</v>
      </c>
      <c r="O120" t="s">
        <v>435</v>
      </c>
      <c r="P120" t="s">
        <v>436</v>
      </c>
      <c r="Q120" t="s">
        <v>87</v>
      </c>
      <c r="R120" t="s">
        <v>67</v>
      </c>
      <c r="S120">
        <v>6000000</v>
      </c>
      <c r="T120">
        <v>797340.22</v>
      </c>
      <c r="U120" t="s">
        <v>68</v>
      </c>
      <c r="V120" t="s">
        <v>471</v>
      </c>
      <c r="W120" s="9">
        <v>60601125</v>
      </c>
      <c r="X120" t="s">
        <v>472</v>
      </c>
      <c r="Y120" s="1">
        <v>45626</v>
      </c>
      <c r="Z120" s="1">
        <v>45626</v>
      </c>
      <c r="AA120" s="2">
        <v>-135239.04000000001</v>
      </c>
      <c r="AB120" s="2">
        <v>-135239.04000000001</v>
      </c>
      <c r="AC120" s="2">
        <v>0</v>
      </c>
      <c r="AD120" s="2">
        <v>-6032.56</v>
      </c>
      <c r="AE120" t="s">
        <v>472</v>
      </c>
      <c r="AF120" t="s">
        <v>72</v>
      </c>
      <c r="AG120">
        <v>452</v>
      </c>
      <c r="AH120" t="s">
        <v>473</v>
      </c>
      <c r="AI120" t="s">
        <v>74</v>
      </c>
      <c r="AJ120" t="s">
        <v>75</v>
      </c>
      <c r="AK120" t="s">
        <v>76</v>
      </c>
      <c r="AL120" t="s">
        <v>77</v>
      </c>
      <c r="AM120" t="s">
        <v>78</v>
      </c>
      <c r="AN120" t="s">
        <v>104</v>
      </c>
      <c r="AO120" t="s">
        <v>80</v>
      </c>
      <c r="AP120" t="e">
        <v>#N/A</v>
      </c>
      <c r="AQ120" t="s">
        <v>81</v>
      </c>
      <c r="AR120" t="str">
        <f t="shared" si="2"/>
        <v>60601125.STATAM</v>
      </c>
      <c r="AS120">
        <f t="shared" si="3"/>
        <v>-6032.56</v>
      </c>
      <c r="AT120" t="s">
        <v>93</v>
      </c>
    </row>
    <row r="121" spans="1:46" x14ac:dyDescent="0.35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469</v>
      </c>
      <c r="G121" t="s">
        <v>474</v>
      </c>
      <c r="H121" t="s">
        <v>56</v>
      </c>
      <c r="I121" t="s">
        <v>475</v>
      </c>
      <c r="J121" t="s">
        <v>476</v>
      </c>
      <c r="K121" t="s">
        <v>243</v>
      </c>
      <c r="L121" t="s">
        <v>56</v>
      </c>
      <c r="M121" t="s">
        <v>56</v>
      </c>
      <c r="N121" t="s">
        <v>477</v>
      </c>
      <c r="O121" t="s">
        <v>435</v>
      </c>
      <c r="P121" t="s">
        <v>436</v>
      </c>
      <c r="Q121" t="s">
        <v>247</v>
      </c>
      <c r="R121" t="s">
        <v>67</v>
      </c>
      <c r="S121">
        <v>6000000</v>
      </c>
      <c r="T121">
        <v>797340.22</v>
      </c>
      <c r="U121" t="s">
        <v>68</v>
      </c>
      <c r="V121" t="s">
        <v>471</v>
      </c>
      <c r="W121" s="9">
        <v>60601125</v>
      </c>
      <c r="X121" t="s">
        <v>478</v>
      </c>
      <c r="Y121" s="1">
        <v>45994</v>
      </c>
      <c r="Z121" s="1">
        <v>46024</v>
      </c>
      <c r="AA121" s="2">
        <v>846937.07</v>
      </c>
      <c r="AB121" s="2">
        <v>717743.28</v>
      </c>
      <c r="AC121" s="2">
        <v>129193.79</v>
      </c>
      <c r="AD121" s="2">
        <v>846937.07</v>
      </c>
      <c r="AE121" t="s">
        <v>479</v>
      </c>
      <c r="AF121" t="s">
        <v>72</v>
      </c>
      <c r="AG121">
        <v>54</v>
      </c>
      <c r="AH121" t="s">
        <v>236</v>
      </c>
      <c r="AI121" t="s">
        <v>74</v>
      </c>
      <c r="AJ121" t="s">
        <v>237</v>
      </c>
      <c r="AK121" t="s">
        <v>383</v>
      </c>
      <c r="AL121" t="s">
        <v>77</v>
      </c>
      <c r="AM121" t="s">
        <v>78</v>
      </c>
      <c r="AN121" t="s">
        <v>104</v>
      </c>
      <c r="AO121" t="s">
        <v>80</v>
      </c>
      <c r="AP121" t="e">
        <v>#N/A</v>
      </c>
      <c r="AQ121" t="s">
        <v>383</v>
      </c>
      <c r="AR121" t="str">
        <f t="shared" si="2"/>
        <v>60601125.MOBILAM</v>
      </c>
      <c r="AS121">
        <f t="shared" si="3"/>
        <v>3523102.8799999994</v>
      </c>
      <c r="AT121" t="s">
        <v>82</v>
      </c>
    </row>
    <row r="122" spans="1:46" x14ac:dyDescent="0.35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469</v>
      </c>
      <c r="G122" t="s">
        <v>474</v>
      </c>
      <c r="H122" t="s">
        <v>56</v>
      </c>
      <c r="I122" t="s">
        <v>480</v>
      </c>
      <c r="J122" t="s">
        <v>476</v>
      </c>
      <c r="K122" t="s">
        <v>243</v>
      </c>
      <c r="L122" t="s">
        <v>56</v>
      </c>
      <c r="M122" t="s">
        <v>56</v>
      </c>
      <c r="N122" t="s">
        <v>477</v>
      </c>
      <c r="O122" t="s">
        <v>435</v>
      </c>
      <c r="P122" t="s">
        <v>436</v>
      </c>
      <c r="Q122" t="s">
        <v>247</v>
      </c>
      <c r="R122" t="s">
        <v>67</v>
      </c>
      <c r="S122">
        <v>6000000</v>
      </c>
      <c r="T122">
        <v>797340.22</v>
      </c>
      <c r="U122" t="s">
        <v>68</v>
      </c>
      <c r="V122" t="s">
        <v>471</v>
      </c>
      <c r="W122" s="9">
        <v>60601125</v>
      </c>
      <c r="X122" t="s">
        <v>481</v>
      </c>
      <c r="Y122" s="1">
        <v>46018</v>
      </c>
      <c r="Z122" s="1">
        <v>46048</v>
      </c>
      <c r="AA122" s="2">
        <v>126198.57</v>
      </c>
      <c r="AB122" s="2">
        <v>106947.94</v>
      </c>
      <c r="AC122" s="2">
        <v>19250.63</v>
      </c>
      <c r="AD122" s="2">
        <v>126198.57</v>
      </c>
      <c r="AE122" t="s">
        <v>482</v>
      </c>
      <c r="AF122" t="s">
        <v>72</v>
      </c>
      <c r="AG122">
        <v>30</v>
      </c>
      <c r="AH122" t="s">
        <v>73</v>
      </c>
      <c r="AI122" t="s">
        <v>74</v>
      </c>
      <c r="AJ122" t="s">
        <v>237</v>
      </c>
      <c r="AK122" t="s">
        <v>383</v>
      </c>
      <c r="AL122" t="s">
        <v>77</v>
      </c>
      <c r="AM122" t="s">
        <v>78</v>
      </c>
      <c r="AN122" t="s">
        <v>104</v>
      </c>
      <c r="AO122" t="s">
        <v>80</v>
      </c>
      <c r="AP122" t="e">
        <v>#N/A</v>
      </c>
      <c r="AQ122" t="s">
        <v>383</v>
      </c>
      <c r="AR122" t="str">
        <f t="shared" si="2"/>
        <v>60601125.MOBILAM</v>
      </c>
      <c r="AS122">
        <f t="shared" si="3"/>
        <v>3523102.8799999994</v>
      </c>
      <c r="AT122" t="s">
        <v>82</v>
      </c>
    </row>
    <row r="123" spans="1:46" x14ac:dyDescent="0.35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469</v>
      </c>
      <c r="G123" t="s">
        <v>483</v>
      </c>
      <c r="H123" t="s">
        <v>56</v>
      </c>
      <c r="I123" t="s">
        <v>484</v>
      </c>
      <c r="J123" t="s">
        <v>56</v>
      </c>
      <c r="K123" t="s">
        <v>243</v>
      </c>
      <c r="L123" t="s">
        <v>56</v>
      </c>
      <c r="M123" t="s">
        <v>56</v>
      </c>
      <c r="N123" t="s">
        <v>477</v>
      </c>
      <c r="O123" t="s">
        <v>435</v>
      </c>
      <c r="P123" t="s">
        <v>436</v>
      </c>
      <c r="Q123" t="s">
        <v>485</v>
      </c>
      <c r="R123" t="s">
        <v>67</v>
      </c>
      <c r="S123">
        <v>6000000</v>
      </c>
      <c r="T123">
        <v>797340.22</v>
      </c>
      <c r="U123" t="s">
        <v>68</v>
      </c>
      <c r="V123" t="s">
        <v>471</v>
      </c>
      <c r="W123" s="9">
        <v>60601125</v>
      </c>
      <c r="X123" t="s">
        <v>486</v>
      </c>
      <c r="Y123" s="1">
        <v>46024</v>
      </c>
      <c r="Z123" s="1">
        <v>46054</v>
      </c>
      <c r="AA123" s="2">
        <v>2305.12</v>
      </c>
      <c r="AB123" s="2">
        <v>1953.49</v>
      </c>
      <c r="AC123" s="2">
        <v>351.63</v>
      </c>
      <c r="AD123" s="2">
        <v>2305.12</v>
      </c>
      <c r="AE123" t="s">
        <v>487</v>
      </c>
      <c r="AF123" t="s">
        <v>72</v>
      </c>
      <c r="AG123">
        <v>24</v>
      </c>
      <c r="AH123" t="s">
        <v>73</v>
      </c>
      <c r="AI123" t="s">
        <v>74</v>
      </c>
      <c r="AJ123" t="s">
        <v>237</v>
      </c>
      <c r="AK123" t="s">
        <v>383</v>
      </c>
      <c r="AL123" t="s">
        <v>77</v>
      </c>
      <c r="AM123" t="s">
        <v>78</v>
      </c>
      <c r="AN123" t="s">
        <v>104</v>
      </c>
      <c r="AO123" t="s">
        <v>80</v>
      </c>
      <c r="AP123" t="e">
        <v>#N/A</v>
      </c>
      <c r="AQ123" t="s">
        <v>383</v>
      </c>
      <c r="AR123" t="str">
        <f t="shared" si="2"/>
        <v>60601125.MOBILAM</v>
      </c>
      <c r="AS123">
        <f t="shared" si="3"/>
        <v>3523102.8799999994</v>
      </c>
      <c r="AT123" t="s">
        <v>82</v>
      </c>
    </row>
    <row r="124" spans="1:46" x14ac:dyDescent="0.35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469</v>
      </c>
      <c r="G124" t="s">
        <v>488</v>
      </c>
      <c r="H124" t="s">
        <v>56</v>
      </c>
      <c r="I124" t="s">
        <v>489</v>
      </c>
      <c r="J124" t="s">
        <v>476</v>
      </c>
      <c r="K124" t="s">
        <v>243</v>
      </c>
      <c r="L124" t="s">
        <v>56</v>
      </c>
      <c r="M124" t="s">
        <v>56</v>
      </c>
      <c r="N124" t="s">
        <v>477</v>
      </c>
      <c r="O124" t="s">
        <v>435</v>
      </c>
      <c r="P124" t="s">
        <v>436</v>
      </c>
      <c r="Q124" t="s">
        <v>247</v>
      </c>
      <c r="R124" t="s">
        <v>67</v>
      </c>
      <c r="S124">
        <v>6000000</v>
      </c>
      <c r="T124">
        <v>797340.22</v>
      </c>
      <c r="U124" t="s">
        <v>68</v>
      </c>
      <c r="V124" t="s">
        <v>471</v>
      </c>
      <c r="W124" s="9">
        <v>60601125</v>
      </c>
      <c r="X124" t="s">
        <v>490</v>
      </c>
      <c r="Y124" s="1">
        <v>46024</v>
      </c>
      <c r="Z124" s="1">
        <v>46054</v>
      </c>
      <c r="AA124" s="2">
        <v>3708.69</v>
      </c>
      <c r="AB124" s="2">
        <v>3142.96</v>
      </c>
      <c r="AC124" s="2">
        <v>565.73</v>
      </c>
      <c r="AD124" s="2">
        <v>3708.69</v>
      </c>
      <c r="AE124" t="s">
        <v>491</v>
      </c>
      <c r="AF124" t="s">
        <v>72</v>
      </c>
      <c r="AG124">
        <v>24</v>
      </c>
      <c r="AH124" t="s">
        <v>73</v>
      </c>
      <c r="AI124" t="s">
        <v>74</v>
      </c>
      <c r="AJ124" t="s">
        <v>237</v>
      </c>
      <c r="AK124" t="s">
        <v>383</v>
      </c>
      <c r="AL124" t="s">
        <v>77</v>
      </c>
      <c r="AM124" t="s">
        <v>78</v>
      </c>
      <c r="AN124" t="s">
        <v>104</v>
      </c>
      <c r="AO124" t="s">
        <v>80</v>
      </c>
      <c r="AP124" t="e">
        <v>#N/A</v>
      </c>
      <c r="AQ124" t="s">
        <v>383</v>
      </c>
      <c r="AR124" t="str">
        <f t="shared" si="2"/>
        <v>60601125.MOBILAM</v>
      </c>
      <c r="AS124">
        <f t="shared" si="3"/>
        <v>3523102.8799999994</v>
      </c>
      <c r="AT124" t="s">
        <v>82</v>
      </c>
    </row>
    <row r="125" spans="1:46" x14ac:dyDescent="0.35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469</v>
      </c>
      <c r="G125" t="s">
        <v>492</v>
      </c>
      <c r="H125" t="s">
        <v>56</v>
      </c>
      <c r="I125" t="s">
        <v>493</v>
      </c>
      <c r="J125" t="s">
        <v>56</v>
      </c>
      <c r="K125" t="s">
        <v>243</v>
      </c>
      <c r="L125" t="s">
        <v>56</v>
      </c>
      <c r="M125" t="s">
        <v>56</v>
      </c>
      <c r="N125" t="s">
        <v>477</v>
      </c>
      <c r="O125" t="s">
        <v>435</v>
      </c>
      <c r="P125" t="s">
        <v>436</v>
      </c>
      <c r="Q125" t="s">
        <v>494</v>
      </c>
      <c r="R125" t="s">
        <v>67</v>
      </c>
      <c r="S125">
        <v>6000000</v>
      </c>
      <c r="T125">
        <v>797340.22</v>
      </c>
      <c r="U125" t="s">
        <v>68</v>
      </c>
      <c r="V125" t="s">
        <v>471</v>
      </c>
      <c r="W125" s="9">
        <v>60601125</v>
      </c>
      <c r="X125" t="s">
        <v>495</v>
      </c>
      <c r="Y125" s="1">
        <v>46025</v>
      </c>
      <c r="Z125" s="1">
        <v>46055</v>
      </c>
      <c r="AA125" s="2">
        <v>437.33</v>
      </c>
      <c r="AB125" s="2">
        <v>370.62</v>
      </c>
      <c r="AC125" s="2">
        <v>66.709999999999994</v>
      </c>
      <c r="AD125" s="2">
        <v>437.33</v>
      </c>
      <c r="AE125" t="s">
        <v>496</v>
      </c>
      <c r="AF125" t="s">
        <v>72</v>
      </c>
      <c r="AG125">
        <v>23</v>
      </c>
      <c r="AH125" t="s">
        <v>73</v>
      </c>
      <c r="AI125" t="s">
        <v>74</v>
      </c>
      <c r="AJ125" t="s">
        <v>237</v>
      </c>
      <c r="AK125" t="s">
        <v>383</v>
      </c>
      <c r="AL125" t="s">
        <v>77</v>
      </c>
      <c r="AM125" t="s">
        <v>78</v>
      </c>
      <c r="AN125" t="s">
        <v>104</v>
      </c>
      <c r="AO125" t="s">
        <v>80</v>
      </c>
      <c r="AP125" t="e">
        <v>#N/A</v>
      </c>
      <c r="AQ125" t="s">
        <v>383</v>
      </c>
      <c r="AR125" t="str">
        <f t="shared" si="2"/>
        <v>60601125.MOBILAM</v>
      </c>
      <c r="AS125">
        <f t="shared" si="3"/>
        <v>3523102.8799999994</v>
      </c>
      <c r="AT125" t="s">
        <v>82</v>
      </c>
    </row>
    <row r="126" spans="1:46" x14ac:dyDescent="0.35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469</v>
      </c>
      <c r="G126" t="s">
        <v>492</v>
      </c>
      <c r="H126" t="s">
        <v>56</v>
      </c>
      <c r="I126" t="s">
        <v>493</v>
      </c>
      <c r="J126" t="s">
        <v>56</v>
      </c>
      <c r="K126" t="s">
        <v>243</v>
      </c>
      <c r="L126" t="s">
        <v>56</v>
      </c>
      <c r="M126" t="s">
        <v>56</v>
      </c>
      <c r="N126" t="s">
        <v>497</v>
      </c>
      <c r="O126" t="s">
        <v>435</v>
      </c>
      <c r="P126" t="s">
        <v>436</v>
      </c>
      <c r="Q126" t="s">
        <v>494</v>
      </c>
      <c r="R126" t="s">
        <v>67</v>
      </c>
      <c r="S126">
        <v>6000000</v>
      </c>
      <c r="T126">
        <v>797340.22</v>
      </c>
      <c r="U126" t="s">
        <v>68</v>
      </c>
      <c r="V126" t="s">
        <v>471</v>
      </c>
      <c r="W126" s="9">
        <v>60601125</v>
      </c>
      <c r="X126" t="s">
        <v>495</v>
      </c>
      <c r="Y126" s="1">
        <v>46025</v>
      </c>
      <c r="Z126" s="1">
        <v>46055</v>
      </c>
      <c r="AA126" s="2">
        <v>147748.06</v>
      </c>
      <c r="AB126" s="2">
        <v>125210.22</v>
      </c>
      <c r="AC126" s="2">
        <v>22537.84</v>
      </c>
      <c r="AD126" s="2">
        <v>147748.06</v>
      </c>
      <c r="AE126" t="s">
        <v>498</v>
      </c>
      <c r="AF126" t="s">
        <v>72</v>
      </c>
      <c r="AG126">
        <v>23</v>
      </c>
      <c r="AH126" t="s">
        <v>73</v>
      </c>
      <c r="AI126" t="s">
        <v>74</v>
      </c>
      <c r="AJ126" t="s">
        <v>237</v>
      </c>
      <c r="AK126" t="s">
        <v>383</v>
      </c>
      <c r="AL126" t="s">
        <v>77</v>
      </c>
      <c r="AM126" t="s">
        <v>78</v>
      </c>
      <c r="AN126" t="s">
        <v>104</v>
      </c>
      <c r="AO126" t="s">
        <v>80</v>
      </c>
      <c r="AP126" t="e">
        <v>#N/A</v>
      </c>
      <c r="AQ126" t="s">
        <v>383</v>
      </c>
      <c r="AR126" t="str">
        <f t="shared" si="2"/>
        <v>60601125.MOBILAM</v>
      </c>
      <c r="AS126">
        <f t="shared" si="3"/>
        <v>3523102.8799999994</v>
      </c>
      <c r="AT126" t="s">
        <v>82</v>
      </c>
    </row>
    <row r="127" spans="1:46" x14ac:dyDescent="0.35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469</v>
      </c>
      <c r="G127" t="s">
        <v>499</v>
      </c>
      <c r="H127" t="s">
        <v>56</v>
      </c>
      <c r="I127" t="s">
        <v>500</v>
      </c>
      <c r="J127" t="s">
        <v>476</v>
      </c>
      <c r="K127" t="s">
        <v>243</v>
      </c>
      <c r="L127" t="s">
        <v>56</v>
      </c>
      <c r="M127" t="s">
        <v>56</v>
      </c>
      <c r="N127" t="s">
        <v>497</v>
      </c>
      <c r="O127" t="s">
        <v>435</v>
      </c>
      <c r="P127" t="s">
        <v>436</v>
      </c>
      <c r="Q127" t="s">
        <v>247</v>
      </c>
      <c r="R127" t="s">
        <v>67</v>
      </c>
      <c r="S127">
        <v>6000000</v>
      </c>
      <c r="T127">
        <v>797340.22</v>
      </c>
      <c r="U127" t="s">
        <v>68</v>
      </c>
      <c r="V127" t="s">
        <v>471</v>
      </c>
      <c r="W127" s="9">
        <v>60601125</v>
      </c>
      <c r="X127" t="s">
        <v>501</v>
      </c>
      <c r="Y127" s="1">
        <v>46025</v>
      </c>
      <c r="Z127" s="1">
        <v>46055</v>
      </c>
      <c r="AA127" s="2">
        <v>1702.87</v>
      </c>
      <c r="AB127" s="2">
        <v>1443.11</v>
      </c>
      <c r="AC127" s="2">
        <v>259.76</v>
      </c>
      <c r="AD127" s="2">
        <v>1702.87</v>
      </c>
      <c r="AE127" t="s">
        <v>502</v>
      </c>
      <c r="AF127" t="s">
        <v>72</v>
      </c>
      <c r="AG127">
        <v>23</v>
      </c>
      <c r="AH127" t="s">
        <v>73</v>
      </c>
      <c r="AI127" t="s">
        <v>74</v>
      </c>
      <c r="AJ127" t="s">
        <v>237</v>
      </c>
      <c r="AK127" t="s">
        <v>383</v>
      </c>
      <c r="AL127" t="s">
        <v>77</v>
      </c>
      <c r="AM127" t="s">
        <v>78</v>
      </c>
      <c r="AN127" t="s">
        <v>104</v>
      </c>
      <c r="AO127" t="s">
        <v>80</v>
      </c>
      <c r="AP127" t="e">
        <v>#N/A</v>
      </c>
      <c r="AQ127" t="s">
        <v>383</v>
      </c>
      <c r="AR127" t="str">
        <f t="shared" si="2"/>
        <v>60601125.MOBILAM</v>
      </c>
      <c r="AS127">
        <f t="shared" si="3"/>
        <v>3523102.8799999994</v>
      </c>
      <c r="AT127" t="s">
        <v>82</v>
      </c>
    </row>
    <row r="128" spans="1:46" x14ac:dyDescent="0.35">
      <c r="A128" t="s">
        <v>52</v>
      </c>
      <c r="B128" t="s">
        <v>53</v>
      </c>
      <c r="C128" t="s">
        <v>54</v>
      </c>
      <c r="D128" t="s">
        <v>55</v>
      </c>
      <c r="E128" t="s">
        <v>56</v>
      </c>
      <c r="F128" t="s">
        <v>469</v>
      </c>
      <c r="G128" t="s">
        <v>499</v>
      </c>
      <c r="H128" t="s">
        <v>56</v>
      </c>
      <c r="I128" t="s">
        <v>500</v>
      </c>
      <c r="J128" t="s">
        <v>476</v>
      </c>
      <c r="K128" t="s">
        <v>243</v>
      </c>
      <c r="L128" t="s">
        <v>56</v>
      </c>
      <c r="M128" t="s">
        <v>56</v>
      </c>
      <c r="N128" t="s">
        <v>477</v>
      </c>
      <c r="O128" t="s">
        <v>435</v>
      </c>
      <c r="P128" t="s">
        <v>436</v>
      </c>
      <c r="Q128" t="s">
        <v>247</v>
      </c>
      <c r="R128" t="s">
        <v>67</v>
      </c>
      <c r="S128">
        <v>6000000</v>
      </c>
      <c r="T128">
        <v>797340.22</v>
      </c>
      <c r="U128" t="s">
        <v>68</v>
      </c>
      <c r="V128" t="s">
        <v>471</v>
      </c>
      <c r="W128" s="9">
        <v>60601125</v>
      </c>
      <c r="X128" t="s">
        <v>501</v>
      </c>
      <c r="Y128" s="1">
        <v>46025</v>
      </c>
      <c r="Z128" s="1">
        <v>46055</v>
      </c>
      <c r="AA128" s="2">
        <v>55747.77</v>
      </c>
      <c r="AB128" s="2">
        <v>47243.86</v>
      </c>
      <c r="AC128" s="2">
        <v>8503.91</v>
      </c>
      <c r="AD128" s="2">
        <v>55747.77</v>
      </c>
      <c r="AE128" t="s">
        <v>503</v>
      </c>
      <c r="AF128" t="s">
        <v>72</v>
      </c>
      <c r="AG128">
        <v>23</v>
      </c>
      <c r="AH128" t="s">
        <v>73</v>
      </c>
      <c r="AI128" t="s">
        <v>74</v>
      </c>
      <c r="AJ128" t="s">
        <v>237</v>
      </c>
      <c r="AK128" t="s">
        <v>383</v>
      </c>
      <c r="AL128" t="s">
        <v>77</v>
      </c>
      <c r="AM128" t="s">
        <v>78</v>
      </c>
      <c r="AN128" t="s">
        <v>104</v>
      </c>
      <c r="AO128" t="s">
        <v>80</v>
      </c>
      <c r="AP128" t="e">
        <v>#N/A</v>
      </c>
      <c r="AQ128" t="s">
        <v>383</v>
      </c>
      <c r="AR128" t="str">
        <f t="shared" si="2"/>
        <v>60601125.MOBILAM</v>
      </c>
      <c r="AS128">
        <f t="shared" si="3"/>
        <v>3523102.8799999994</v>
      </c>
      <c r="AT128" t="s">
        <v>82</v>
      </c>
    </row>
    <row r="129" spans="1:46" x14ac:dyDescent="0.35">
      <c r="A129" t="s">
        <v>52</v>
      </c>
      <c r="B129" t="s">
        <v>53</v>
      </c>
      <c r="C129" t="s">
        <v>54</v>
      </c>
      <c r="D129" t="s">
        <v>55</v>
      </c>
      <c r="E129" t="s">
        <v>56</v>
      </c>
      <c r="F129" t="s">
        <v>469</v>
      </c>
      <c r="G129" t="s">
        <v>499</v>
      </c>
      <c r="H129" t="s">
        <v>56</v>
      </c>
      <c r="I129" t="s">
        <v>504</v>
      </c>
      <c r="J129" t="s">
        <v>476</v>
      </c>
      <c r="K129" t="s">
        <v>243</v>
      </c>
      <c r="L129" t="s">
        <v>56</v>
      </c>
      <c r="M129" t="s">
        <v>56</v>
      </c>
      <c r="N129" t="s">
        <v>477</v>
      </c>
      <c r="O129" t="s">
        <v>435</v>
      </c>
      <c r="P129" t="s">
        <v>436</v>
      </c>
      <c r="Q129" t="s">
        <v>247</v>
      </c>
      <c r="R129" t="s">
        <v>67</v>
      </c>
      <c r="S129">
        <v>6000000</v>
      </c>
      <c r="T129">
        <v>797340.22</v>
      </c>
      <c r="U129" t="s">
        <v>68</v>
      </c>
      <c r="V129" t="s">
        <v>471</v>
      </c>
      <c r="W129" s="9">
        <v>60601125</v>
      </c>
      <c r="X129" t="s">
        <v>505</v>
      </c>
      <c r="Y129" s="1">
        <v>46035</v>
      </c>
      <c r="Z129" s="1">
        <v>46065</v>
      </c>
      <c r="AA129" s="2">
        <v>651327.96</v>
      </c>
      <c r="AB129" s="2">
        <v>551972.85</v>
      </c>
      <c r="AC129" s="2">
        <v>99355.11</v>
      </c>
      <c r="AD129" s="2">
        <v>651327.96</v>
      </c>
      <c r="AE129" t="s">
        <v>506</v>
      </c>
      <c r="AF129" t="s">
        <v>72</v>
      </c>
      <c r="AG129">
        <v>13</v>
      </c>
      <c r="AH129" t="s">
        <v>73</v>
      </c>
      <c r="AI129" t="s">
        <v>74</v>
      </c>
      <c r="AJ129" t="s">
        <v>237</v>
      </c>
      <c r="AK129" t="s">
        <v>383</v>
      </c>
      <c r="AL129" t="s">
        <v>77</v>
      </c>
      <c r="AM129" t="s">
        <v>78</v>
      </c>
      <c r="AN129" t="s">
        <v>104</v>
      </c>
      <c r="AO129" t="s">
        <v>80</v>
      </c>
      <c r="AP129" t="e">
        <v>#N/A</v>
      </c>
      <c r="AQ129" t="s">
        <v>383</v>
      </c>
      <c r="AR129" t="str">
        <f t="shared" si="2"/>
        <v>60601125.MOBILAM</v>
      </c>
      <c r="AS129">
        <f t="shared" si="3"/>
        <v>3523102.8799999994</v>
      </c>
      <c r="AT129" t="s">
        <v>82</v>
      </c>
    </row>
    <row r="130" spans="1:46" x14ac:dyDescent="0.35">
      <c r="A130" t="s">
        <v>52</v>
      </c>
      <c r="B130" t="s">
        <v>53</v>
      </c>
      <c r="C130" t="s">
        <v>54</v>
      </c>
      <c r="D130" t="s">
        <v>55</v>
      </c>
      <c r="E130" t="s">
        <v>56</v>
      </c>
      <c r="F130" t="s">
        <v>469</v>
      </c>
      <c r="G130" t="s">
        <v>507</v>
      </c>
      <c r="H130" t="s">
        <v>56</v>
      </c>
      <c r="I130" t="s">
        <v>508</v>
      </c>
      <c r="J130" t="s">
        <v>476</v>
      </c>
      <c r="K130" t="s">
        <v>243</v>
      </c>
      <c r="L130" t="s">
        <v>56</v>
      </c>
      <c r="M130" t="s">
        <v>56</v>
      </c>
      <c r="N130" t="s">
        <v>477</v>
      </c>
      <c r="O130" t="s">
        <v>435</v>
      </c>
      <c r="P130" t="s">
        <v>436</v>
      </c>
      <c r="Q130" t="s">
        <v>247</v>
      </c>
      <c r="R130" t="s">
        <v>67</v>
      </c>
      <c r="S130">
        <v>6000000</v>
      </c>
      <c r="T130">
        <v>797340.22</v>
      </c>
      <c r="U130" t="s">
        <v>68</v>
      </c>
      <c r="V130" t="s">
        <v>471</v>
      </c>
      <c r="W130" s="9">
        <v>60601125</v>
      </c>
      <c r="X130" t="s">
        <v>509</v>
      </c>
      <c r="Y130" s="1">
        <v>46035</v>
      </c>
      <c r="Z130" s="1">
        <v>46065</v>
      </c>
      <c r="AA130" s="2">
        <v>31618.77</v>
      </c>
      <c r="AB130" s="2">
        <v>26795.56</v>
      </c>
      <c r="AC130" s="2">
        <v>4823.21</v>
      </c>
      <c r="AD130" s="2">
        <v>31618.77</v>
      </c>
      <c r="AE130" t="s">
        <v>510</v>
      </c>
      <c r="AF130" t="s">
        <v>72</v>
      </c>
      <c r="AG130">
        <v>13</v>
      </c>
      <c r="AH130" t="s">
        <v>73</v>
      </c>
      <c r="AI130" t="s">
        <v>74</v>
      </c>
      <c r="AJ130" t="s">
        <v>237</v>
      </c>
      <c r="AK130" t="s">
        <v>383</v>
      </c>
      <c r="AL130" t="s">
        <v>77</v>
      </c>
      <c r="AM130" t="s">
        <v>78</v>
      </c>
      <c r="AN130" t="s">
        <v>104</v>
      </c>
      <c r="AO130" t="s">
        <v>80</v>
      </c>
      <c r="AP130" t="e">
        <v>#N/A</v>
      </c>
      <c r="AQ130" t="s">
        <v>383</v>
      </c>
      <c r="AR130" t="str">
        <f t="shared" si="2"/>
        <v>60601125.MOBILAM</v>
      </c>
      <c r="AS130">
        <f t="shared" si="3"/>
        <v>3523102.8799999994</v>
      </c>
      <c r="AT130" t="s">
        <v>82</v>
      </c>
    </row>
    <row r="131" spans="1:46" x14ac:dyDescent="0.35">
      <c r="A131" t="s">
        <v>52</v>
      </c>
      <c r="B131" t="s">
        <v>53</v>
      </c>
      <c r="C131" t="s">
        <v>54</v>
      </c>
      <c r="D131" t="s">
        <v>55</v>
      </c>
      <c r="E131" t="s">
        <v>56</v>
      </c>
      <c r="F131" t="s">
        <v>469</v>
      </c>
      <c r="G131" t="s">
        <v>507</v>
      </c>
      <c r="H131" t="s">
        <v>56</v>
      </c>
      <c r="I131" t="s">
        <v>508</v>
      </c>
      <c r="J131" t="s">
        <v>476</v>
      </c>
      <c r="K131" t="s">
        <v>243</v>
      </c>
      <c r="L131" t="s">
        <v>56</v>
      </c>
      <c r="M131" t="s">
        <v>56</v>
      </c>
      <c r="N131" t="s">
        <v>497</v>
      </c>
      <c r="O131" t="s">
        <v>435</v>
      </c>
      <c r="P131" t="s">
        <v>436</v>
      </c>
      <c r="Q131" t="s">
        <v>247</v>
      </c>
      <c r="R131" t="s">
        <v>67</v>
      </c>
      <c r="S131">
        <v>6000000</v>
      </c>
      <c r="T131">
        <v>797340.22</v>
      </c>
      <c r="U131" t="s">
        <v>68</v>
      </c>
      <c r="V131" t="s">
        <v>471</v>
      </c>
      <c r="W131" s="9">
        <v>60601125</v>
      </c>
      <c r="X131" t="s">
        <v>509</v>
      </c>
      <c r="Y131" s="1">
        <v>46035</v>
      </c>
      <c r="Z131" s="1">
        <v>46065</v>
      </c>
      <c r="AA131" s="2">
        <v>2723.15</v>
      </c>
      <c r="AB131" s="2">
        <v>2307.75</v>
      </c>
      <c r="AC131" s="2">
        <v>415.4</v>
      </c>
      <c r="AD131" s="2">
        <v>2723.15</v>
      </c>
      <c r="AE131" t="s">
        <v>511</v>
      </c>
      <c r="AF131" t="s">
        <v>72</v>
      </c>
      <c r="AG131">
        <v>13</v>
      </c>
      <c r="AH131" t="s">
        <v>73</v>
      </c>
      <c r="AI131" t="s">
        <v>74</v>
      </c>
      <c r="AJ131" t="s">
        <v>237</v>
      </c>
      <c r="AK131" t="s">
        <v>383</v>
      </c>
      <c r="AL131" t="s">
        <v>77</v>
      </c>
      <c r="AM131" t="s">
        <v>78</v>
      </c>
      <c r="AN131" t="s">
        <v>104</v>
      </c>
      <c r="AO131" t="s">
        <v>80</v>
      </c>
      <c r="AP131" t="e">
        <v>#N/A</v>
      </c>
      <c r="AQ131" t="s">
        <v>383</v>
      </c>
      <c r="AR131" t="str">
        <f t="shared" si="2"/>
        <v>60601125.MOBILAM</v>
      </c>
      <c r="AS131">
        <f t="shared" si="3"/>
        <v>3523102.8799999994</v>
      </c>
      <c r="AT131" t="s">
        <v>82</v>
      </c>
    </row>
    <row r="132" spans="1:46" x14ac:dyDescent="0.35">
      <c r="A132" t="s">
        <v>52</v>
      </c>
      <c r="B132" t="s">
        <v>53</v>
      </c>
      <c r="C132" t="s">
        <v>54</v>
      </c>
      <c r="D132" t="s">
        <v>55</v>
      </c>
      <c r="E132" t="s">
        <v>56</v>
      </c>
      <c r="F132" t="s">
        <v>469</v>
      </c>
      <c r="G132" t="s">
        <v>512</v>
      </c>
      <c r="H132" t="s">
        <v>56</v>
      </c>
      <c r="I132" t="s">
        <v>513</v>
      </c>
      <c r="J132" t="s">
        <v>514</v>
      </c>
      <c r="K132" t="s">
        <v>243</v>
      </c>
      <c r="L132" t="s">
        <v>56</v>
      </c>
      <c r="M132" t="s">
        <v>56</v>
      </c>
      <c r="N132" t="s">
        <v>477</v>
      </c>
      <c r="O132" t="s">
        <v>435</v>
      </c>
      <c r="P132" t="s">
        <v>436</v>
      </c>
      <c r="Q132" t="s">
        <v>515</v>
      </c>
      <c r="R132" t="s">
        <v>67</v>
      </c>
      <c r="S132">
        <v>6000000</v>
      </c>
      <c r="T132">
        <v>797340.22</v>
      </c>
      <c r="U132" t="s">
        <v>68</v>
      </c>
      <c r="V132" t="s">
        <v>471</v>
      </c>
      <c r="W132" s="9">
        <v>60601125</v>
      </c>
      <c r="X132" t="s">
        <v>516</v>
      </c>
      <c r="Y132" s="1">
        <v>46060</v>
      </c>
      <c r="Z132" s="1">
        <v>46090</v>
      </c>
      <c r="AA132" s="2">
        <v>9478.52</v>
      </c>
      <c r="AB132" s="2">
        <v>8032.64</v>
      </c>
      <c r="AC132" s="2">
        <v>1445.88</v>
      </c>
      <c r="AD132" s="2">
        <v>9478.52</v>
      </c>
      <c r="AE132" t="s">
        <v>517</v>
      </c>
      <c r="AF132" t="s">
        <v>72</v>
      </c>
      <c r="AG132">
        <v>-12</v>
      </c>
      <c r="AH132" t="s">
        <v>117</v>
      </c>
      <c r="AI132" t="s">
        <v>74</v>
      </c>
      <c r="AJ132" t="s">
        <v>237</v>
      </c>
      <c r="AK132" t="s">
        <v>383</v>
      </c>
      <c r="AL132" t="s">
        <v>118</v>
      </c>
      <c r="AM132" t="s">
        <v>78</v>
      </c>
      <c r="AN132" t="s">
        <v>104</v>
      </c>
      <c r="AO132" t="s">
        <v>119</v>
      </c>
      <c r="AP132" t="e">
        <v>#N/A</v>
      </c>
      <c r="AQ132" t="s">
        <v>383</v>
      </c>
      <c r="AR132" t="str">
        <f t="shared" si="2"/>
        <v>60601125.MOBILAM</v>
      </c>
      <c r="AS132">
        <f t="shared" si="3"/>
        <v>3523102.8799999994</v>
      </c>
      <c r="AT132" t="s">
        <v>82</v>
      </c>
    </row>
    <row r="133" spans="1:46" x14ac:dyDescent="0.35">
      <c r="A133" t="s">
        <v>52</v>
      </c>
      <c r="B133" t="s">
        <v>53</v>
      </c>
      <c r="C133" t="s">
        <v>54</v>
      </c>
      <c r="D133" t="s">
        <v>55</v>
      </c>
      <c r="E133" t="s">
        <v>56</v>
      </c>
      <c r="F133" t="s">
        <v>469</v>
      </c>
      <c r="G133" t="s">
        <v>518</v>
      </c>
      <c r="H133" t="s">
        <v>56</v>
      </c>
      <c r="I133" t="s">
        <v>519</v>
      </c>
      <c r="J133" t="s">
        <v>476</v>
      </c>
      <c r="K133" t="s">
        <v>243</v>
      </c>
      <c r="L133" t="s">
        <v>56</v>
      </c>
      <c r="M133" t="s">
        <v>56</v>
      </c>
      <c r="N133" t="s">
        <v>520</v>
      </c>
      <c r="O133" t="s">
        <v>435</v>
      </c>
      <c r="P133" t="s">
        <v>436</v>
      </c>
      <c r="Q133" t="s">
        <v>247</v>
      </c>
      <c r="R133" t="s">
        <v>67</v>
      </c>
      <c r="S133">
        <v>6000000</v>
      </c>
      <c r="T133">
        <v>797340.22</v>
      </c>
      <c r="U133" t="s">
        <v>68</v>
      </c>
      <c r="V133" t="s">
        <v>471</v>
      </c>
      <c r="W133" s="9">
        <v>60601125</v>
      </c>
      <c r="X133" t="s">
        <v>521</v>
      </c>
      <c r="Y133" s="1">
        <v>46060</v>
      </c>
      <c r="Z133" s="1">
        <v>46090</v>
      </c>
      <c r="AA133" s="2">
        <v>33039.82</v>
      </c>
      <c r="AB133" s="2">
        <v>27999.84</v>
      </c>
      <c r="AC133" s="2">
        <v>5039.9799999999996</v>
      </c>
      <c r="AD133" s="2">
        <v>33039.82</v>
      </c>
      <c r="AE133" t="s">
        <v>522</v>
      </c>
      <c r="AF133" t="s">
        <v>72</v>
      </c>
      <c r="AG133">
        <v>-12</v>
      </c>
      <c r="AH133" t="s">
        <v>117</v>
      </c>
      <c r="AI133" t="s">
        <v>74</v>
      </c>
      <c r="AJ133" t="s">
        <v>237</v>
      </c>
      <c r="AK133" t="s">
        <v>383</v>
      </c>
      <c r="AL133" t="s">
        <v>118</v>
      </c>
      <c r="AM133" t="s">
        <v>78</v>
      </c>
      <c r="AN133" t="s">
        <v>104</v>
      </c>
      <c r="AO133" t="s">
        <v>119</v>
      </c>
      <c r="AP133" t="e">
        <v>#N/A</v>
      </c>
      <c r="AQ133" t="s">
        <v>383</v>
      </c>
      <c r="AR133" t="str">
        <f t="shared" si="2"/>
        <v>60601125.MOBILAM</v>
      </c>
      <c r="AS133">
        <f t="shared" si="3"/>
        <v>3523102.8799999994</v>
      </c>
      <c r="AT133" t="s">
        <v>82</v>
      </c>
    </row>
    <row r="134" spans="1:46" x14ac:dyDescent="0.35">
      <c r="A134" t="s">
        <v>52</v>
      </c>
      <c r="B134" t="s">
        <v>53</v>
      </c>
      <c r="C134" t="s">
        <v>54</v>
      </c>
      <c r="D134" t="s">
        <v>55</v>
      </c>
      <c r="E134" t="s">
        <v>56</v>
      </c>
      <c r="F134" t="s">
        <v>469</v>
      </c>
      <c r="G134" t="s">
        <v>518</v>
      </c>
      <c r="H134" t="s">
        <v>56</v>
      </c>
      <c r="I134" t="s">
        <v>519</v>
      </c>
      <c r="J134" t="s">
        <v>476</v>
      </c>
      <c r="K134" t="s">
        <v>243</v>
      </c>
      <c r="L134" t="s">
        <v>56</v>
      </c>
      <c r="M134" t="s">
        <v>56</v>
      </c>
      <c r="N134" t="s">
        <v>477</v>
      </c>
      <c r="O134" t="s">
        <v>435</v>
      </c>
      <c r="P134" t="s">
        <v>436</v>
      </c>
      <c r="Q134" t="s">
        <v>247</v>
      </c>
      <c r="R134" t="s">
        <v>67</v>
      </c>
      <c r="S134">
        <v>6000000</v>
      </c>
      <c r="T134">
        <v>797340.22</v>
      </c>
      <c r="U134" t="s">
        <v>68</v>
      </c>
      <c r="V134" t="s">
        <v>471</v>
      </c>
      <c r="W134" s="9">
        <v>60601125</v>
      </c>
      <c r="X134" t="s">
        <v>521</v>
      </c>
      <c r="Y134" s="1">
        <v>46060</v>
      </c>
      <c r="Z134" s="1">
        <v>46090</v>
      </c>
      <c r="AA134" s="2">
        <v>5176.42</v>
      </c>
      <c r="AB134" s="2">
        <v>4386.8</v>
      </c>
      <c r="AC134" s="2">
        <v>789.62</v>
      </c>
      <c r="AD134" s="2">
        <v>5176.42</v>
      </c>
      <c r="AE134" t="s">
        <v>523</v>
      </c>
      <c r="AF134" t="s">
        <v>72</v>
      </c>
      <c r="AG134">
        <v>-12</v>
      </c>
      <c r="AH134" t="s">
        <v>117</v>
      </c>
      <c r="AI134" t="s">
        <v>74</v>
      </c>
      <c r="AJ134" t="s">
        <v>237</v>
      </c>
      <c r="AK134" t="s">
        <v>383</v>
      </c>
      <c r="AL134" t="s">
        <v>118</v>
      </c>
      <c r="AM134" t="s">
        <v>78</v>
      </c>
      <c r="AN134" t="s">
        <v>104</v>
      </c>
      <c r="AO134" t="s">
        <v>119</v>
      </c>
      <c r="AP134" t="e">
        <v>#N/A</v>
      </c>
      <c r="AQ134" t="s">
        <v>383</v>
      </c>
      <c r="AR134" t="str">
        <f t="shared" si="2"/>
        <v>60601125.MOBILAM</v>
      </c>
      <c r="AS134">
        <f t="shared" si="3"/>
        <v>3523102.8799999994</v>
      </c>
      <c r="AT134" t="s">
        <v>82</v>
      </c>
    </row>
    <row r="135" spans="1:46" x14ac:dyDescent="0.35">
      <c r="A135" t="s">
        <v>52</v>
      </c>
      <c r="B135" t="s">
        <v>53</v>
      </c>
      <c r="C135" t="s">
        <v>54</v>
      </c>
      <c r="D135" t="s">
        <v>55</v>
      </c>
      <c r="E135" t="s">
        <v>56</v>
      </c>
      <c r="F135" t="s">
        <v>469</v>
      </c>
      <c r="G135" t="s">
        <v>518</v>
      </c>
      <c r="H135" t="s">
        <v>56</v>
      </c>
      <c r="I135" t="s">
        <v>519</v>
      </c>
      <c r="J135" t="s">
        <v>476</v>
      </c>
      <c r="K135" t="s">
        <v>243</v>
      </c>
      <c r="L135" t="s">
        <v>56</v>
      </c>
      <c r="M135" t="s">
        <v>56</v>
      </c>
      <c r="N135" t="s">
        <v>497</v>
      </c>
      <c r="O135" t="s">
        <v>435</v>
      </c>
      <c r="P135" t="s">
        <v>436</v>
      </c>
      <c r="Q135" t="s">
        <v>247</v>
      </c>
      <c r="R135" t="s">
        <v>67</v>
      </c>
      <c r="S135">
        <v>6000000</v>
      </c>
      <c r="T135">
        <v>797340.22</v>
      </c>
      <c r="U135" t="s">
        <v>68</v>
      </c>
      <c r="V135" t="s">
        <v>471</v>
      </c>
      <c r="W135" s="9">
        <v>60601125</v>
      </c>
      <c r="X135" t="s">
        <v>521</v>
      </c>
      <c r="Y135" s="1">
        <v>46060</v>
      </c>
      <c r="Z135" s="1">
        <v>46090</v>
      </c>
      <c r="AA135" s="2">
        <v>43064.53</v>
      </c>
      <c r="AB135" s="2">
        <v>36495.360000000001</v>
      </c>
      <c r="AC135" s="2">
        <v>6569.17</v>
      </c>
      <c r="AD135" s="2">
        <v>43064.53</v>
      </c>
      <c r="AE135" t="s">
        <v>524</v>
      </c>
      <c r="AF135" t="s">
        <v>72</v>
      </c>
      <c r="AG135">
        <v>-12</v>
      </c>
      <c r="AH135" t="s">
        <v>117</v>
      </c>
      <c r="AI135" t="s">
        <v>74</v>
      </c>
      <c r="AJ135" t="s">
        <v>237</v>
      </c>
      <c r="AK135" t="s">
        <v>383</v>
      </c>
      <c r="AL135" t="s">
        <v>118</v>
      </c>
      <c r="AM135" t="s">
        <v>78</v>
      </c>
      <c r="AN135" t="s">
        <v>104</v>
      </c>
      <c r="AO135" t="s">
        <v>119</v>
      </c>
      <c r="AP135" t="e">
        <v>#N/A</v>
      </c>
      <c r="AQ135" t="s">
        <v>383</v>
      </c>
      <c r="AR135" t="str">
        <f t="shared" si="2"/>
        <v>60601125.MOBILAM</v>
      </c>
      <c r="AS135">
        <f t="shared" si="3"/>
        <v>3523102.8799999994</v>
      </c>
      <c r="AT135" t="s">
        <v>82</v>
      </c>
    </row>
    <row r="136" spans="1:46" x14ac:dyDescent="0.35">
      <c r="A136" t="s">
        <v>52</v>
      </c>
      <c r="B136" t="s">
        <v>53</v>
      </c>
      <c r="C136" t="s">
        <v>54</v>
      </c>
      <c r="D136" t="s">
        <v>55</v>
      </c>
      <c r="E136" t="s">
        <v>56</v>
      </c>
      <c r="F136" t="s">
        <v>469</v>
      </c>
      <c r="G136" t="s">
        <v>525</v>
      </c>
      <c r="H136" t="s">
        <v>56</v>
      </c>
      <c r="I136" t="s">
        <v>526</v>
      </c>
      <c r="J136" t="s">
        <v>61</v>
      </c>
      <c r="K136" t="s">
        <v>243</v>
      </c>
      <c r="L136" t="s">
        <v>56</v>
      </c>
      <c r="M136" t="s">
        <v>56</v>
      </c>
      <c r="N136" t="s">
        <v>477</v>
      </c>
      <c r="O136" t="s">
        <v>435</v>
      </c>
      <c r="P136" t="s">
        <v>436</v>
      </c>
      <c r="Q136" t="s">
        <v>527</v>
      </c>
      <c r="R136" t="s">
        <v>67</v>
      </c>
      <c r="S136">
        <v>6000000</v>
      </c>
      <c r="T136">
        <v>797340.22</v>
      </c>
      <c r="U136" t="s">
        <v>68</v>
      </c>
      <c r="V136" t="s">
        <v>471</v>
      </c>
      <c r="W136" s="9">
        <v>60601125</v>
      </c>
      <c r="X136" t="s">
        <v>528</v>
      </c>
      <c r="Y136" s="1">
        <v>46060</v>
      </c>
      <c r="Z136" s="1">
        <v>46090</v>
      </c>
      <c r="AA136" s="2">
        <v>63217.66</v>
      </c>
      <c r="AB136" s="2">
        <v>53574.29</v>
      </c>
      <c r="AC136" s="2">
        <v>9643.3700000000008</v>
      </c>
      <c r="AD136" s="2">
        <v>63217.66</v>
      </c>
      <c r="AE136" t="s">
        <v>529</v>
      </c>
      <c r="AF136" t="s">
        <v>72</v>
      </c>
      <c r="AG136">
        <v>-12</v>
      </c>
      <c r="AH136" t="s">
        <v>117</v>
      </c>
      <c r="AI136" t="s">
        <v>74</v>
      </c>
      <c r="AJ136" t="s">
        <v>237</v>
      </c>
      <c r="AK136" t="s">
        <v>383</v>
      </c>
      <c r="AL136" t="s">
        <v>118</v>
      </c>
      <c r="AM136" t="s">
        <v>78</v>
      </c>
      <c r="AN136" t="s">
        <v>104</v>
      </c>
      <c r="AO136" t="s">
        <v>119</v>
      </c>
      <c r="AP136" t="e">
        <v>#N/A</v>
      </c>
      <c r="AQ136" t="s">
        <v>383</v>
      </c>
      <c r="AR136" t="str">
        <f t="shared" ref="AR136:AR199" si="4">W136&amp;"."&amp;AQ136</f>
        <v>60601125.MOBILAM</v>
      </c>
      <c r="AS136">
        <f t="shared" ref="AS136:AS199" si="5">SUMIFS(AD:AD,AQ:AQ,AQ136,W:W,W136)</f>
        <v>3523102.8799999994</v>
      </c>
      <c r="AT136" t="s">
        <v>82</v>
      </c>
    </row>
    <row r="137" spans="1:46" x14ac:dyDescent="0.35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469</v>
      </c>
      <c r="G137" t="s">
        <v>530</v>
      </c>
      <c r="H137" t="s">
        <v>56</v>
      </c>
      <c r="I137" t="s">
        <v>531</v>
      </c>
      <c r="J137" t="s">
        <v>56</v>
      </c>
      <c r="K137" t="s">
        <v>243</v>
      </c>
      <c r="L137" t="s">
        <v>56</v>
      </c>
      <c r="M137" t="s">
        <v>56</v>
      </c>
      <c r="N137" t="s">
        <v>477</v>
      </c>
      <c r="O137" t="s">
        <v>435</v>
      </c>
      <c r="P137" t="s">
        <v>436</v>
      </c>
      <c r="Q137" t="s">
        <v>494</v>
      </c>
      <c r="R137" t="s">
        <v>67</v>
      </c>
      <c r="S137">
        <v>6000000</v>
      </c>
      <c r="T137">
        <v>797340.22</v>
      </c>
      <c r="U137" t="s">
        <v>68</v>
      </c>
      <c r="V137" t="s">
        <v>471</v>
      </c>
      <c r="W137" s="9">
        <v>60601125</v>
      </c>
      <c r="X137" t="s">
        <v>532</v>
      </c>
      <c r="Y137" s="1">
        <v>46060</v>
      </c>
      <c r="Z137" s="1">
        <v>46090</v>
      </c>
      <c r="AA137" s="2">
        <v>38373.040000000001</v>
      </c>
      <c r="AB137" s="2">
        <v>32519.52</v>
      </c>
      <c r="AC137" s="2">
        <v>5853.52</v>
      </c>
      <c r="AD137" s="2">
        <v>38373.040000000001</v>
      </c>
      <c r="AE137" t="s">
        <v>533</v>
      </c>
      <c r="AF137" t="s">
        <v>72</v>
      </c>
      <c r="AG137">
        <v>-12</v>
      </c>
      <c r="AH137" t="s">
        <v>117</v>
      </c>
      <c r="AI137" t="s">
        <v>74</v>
      </c>
      <c r="AJ137" t="s">
        <v>237</v>
      </c>
      <c r="AK137" t="s">
        <v>383</v>
      </c>
      <c r="AL137" t="s">
        <v>118</v>
      </c>
      <c r="AM137" t="s">
        <v>78</v>
      </c>
      <c r="AN137" t="s">
        <v>104</v>
      </c>
      <c r="AO137" t="s">
        <v>119</v>
      </c>
      <c r="AP137" t="e">
        <v>#N/A</v>
      </c>
      <c r="AQ137" t="s">
        <v>383</v>
      </c>
      <c r="AR137" t="str">
        <f t="shared" si="4"/>
        <v>60601125.MOBILAM</v>
      </c>
      <c r="AS137">
        <f t="shared" si="5"/>
        <v>3523102.8799999994</v>
      </c>
      <c r="AT137" t="s">
        <v>82</v>
      </c>
    </row>
    <row r="138" spans="1:46" x14ac:dyDescent="0.35">
      <c r="A138" t="s">
        <v>52</v>
      </c>
      <c r="B138" t="s">
        <v>53</v>
      </c>
      <c r="C138" t="s">
        <v>54</v>
      </c>
      <c r="D138" t="s">
        <v>55</v>
      </c>
      <c r="E138" t="s">
        <v>56</v>
      </c>
      <c r="F138" t="s">
        <v>469</v>
      </c>
      <c r="G138" t="s">
        <v>534</v>
      </c>
      <c r="H138" t="s">
        <v>56</v>
      </c>
      <c r="I138" t="s">
        <v>535</v>
      </c>
      <c r="J138" t="s">
        <v>476</v>
      </c>
      <c r="K138" t="s">
        <v>243</v>
      </c>
      <c r="L138" t="s">
        <v>56</v>
      </c>
      <c r="M138" t="s">
        <v>56</v>
      </c>
      <c r="N138" t="s">
        <v>497</v>
      </c>
      <c r="O138" t="s">
        <v>435</v>
      </c>
      <c r="P138" t="s">
        <v>436</v>
      </c>
      <c r="Q138" t="s">
        <v>247</v>
      </c>
      <c r="R138" t="s">
        <v>67</v>
      </c>
      <c r="S138">
        <v>6000000</v>
      </c>
      <c r="T138">
        <v>797340.22</v>
      </c>
      <c r="U138" t="s">
        <v>68</v>
      </c>
      <c r="V138" t="s">
        <v>471</v>
      </c>
      <c r="W138" s="9">
        <v>60601125</v>
      </c>
      <c r="X138" t="s">
        <v>536</v>
      </c>
      <c r="Y138" s="1">
        <v>46070</v>
      </c>
      <c r="Z138" s="1">
        <v>46100</v>
      </c>
      <c r="AA138" s="2">
        <v>147748.06</v>
      </c>
      <c r="AB138" s="2">
        <v>125210.22</v>
      </c>
      <c r="AC138" s="2">
        <v>22537.84</v>
      </c>
      <c r="AD138" s="2">
        <v>147748.06</v>
      </c>
      <c r="AE138" t="s">
        <v>537</v>
      </c>
      <c r="AF138" t="s">
        <v>72</v>
      </c>
      <c r="AG138">
        <v>-22</v>
      </c>
      <c r="AH138" t="s">
        <v>117</v>
      </c>
      <c r="AI138" t="s">
        <v>74</v>
      </c>
      <c r="AJ138" t="s">
        <v>237</v>
      </c>
      <c r="AK138" t="s">
        <v>383</v>
      </c>
      <c r="AL138" t="s">
        <v>118</v>
      </c>
      <c r="AM138" t="s">
        <v>78</v>
      </c>
      <c r="AN138" t="s">
        <v>104</v>
      </c>
      <c r="AO138" t="s">
        <v>119</v>
      </c>
      <c r="AP138" t="e">
        <v>#N/A</v>
      </c>
      <c r="AQ138" t="s">
        <v>383</v>
      </c>
      <c r="AR138" t="str">
        <f t="shared" si="4"/>
        <v>60601125.MOBILAM</v>
      </c>
      <c r="AS138">
        <f t="shared" si="5"/>
        <v>3523102.8799999994</v>
      </c>
      <c r="AT138" t="s">
        <v>82</v>
      </c>
    </row>
    <row r="139" spans="1:46" x14ac:dyDescent="0.35">
      <c r="A139" t="s">
        <v>52</v>
      </c>
      <c r="B139" t="s">
        <v>53</v>
      </c>
      <c r="C139" t="s">
        <v>54</v>
      </c>
      <c r="D139" t="s">
        <v>55</v>
      </c>
      <c r="E139" t="s">
        <v>56</v>
      </c>
      <c r="F139" t="s">
        <v>469</v>
      </c>
      <c r="G139" t="s">
        <v>538</v>
      </c>
      <c r="H139" t="s">
        <v>56</v>
      </c>
      <c r="I139" t="s">
        <v>539</v>
      </c>
      <c r="J139" t="s">
        <v>56</v>
      </c>
      <c r="K139" t="s">
        <v>243</v>
      </c>
      <c r="L139" t="s">
        <v>56</v>
      </c>
      <c r="M139" t="s">
        <v>56</v>
      </c>
      <c r="N139" t="s">
        <v>497</v>
      </c>
      <c r="O139" t="s">
        <v>435</v>
      </c>
      <c r="P139" t="s">
        <v>436</v>
      </c>
      <c r="Q139" t="s">
        <v>485</v>
      </c>
      <c r="R139" t="s">
        <v>67</v>
      </c>
      <c r="S139">
        <v>6000000</v>
      </c>
      <c r="T139">
        <v>797340.22</v>
      </c>
      <c r="U139" t="s">
        <v>68</v>
      </c>
      <c r="V139" t="s">
        <v>471</v>
      </c>
      <c r="W139" s="9">
        <v>60601125</v>
      </c>
      <c r="X139" t="s">
        <v>540</v>
      </c>
      <c r="Y139" s="1">
        <v>46070</v>
      </c>
      <c r="Z139" s="1">
        <v>46100</v>
      </c>
      <c r="AA139" s="2">
        <v>147748.06</v>
      </c>
      <c r="AB139" s="2">
        <v>125210.22</v>
      </c>
      <c r="AC139" s="2">
        <v>22537.84</v>
      </c>
      <c r="AD139" s="2">
        <v>147748.06</v>
      </c>
      <c r="AE139" t="s">
        <v>541</v>
      </c>
      <c r="AF139" t="s">
        <v>72</v>
      </c>
      <c r="AG139">
        <v>-22</v>
      </c>
      <c r="AH139" t="s">
        <v>117</v>
      </c>
      <c r="AI139" t="s">
        <v>74</v>
      </c>
      <c r="AJ139" t="s">
        <v>237</v>
      </c>
      <c r="AK139" t="s">
        <v>383</v>
      </c>
      <c r="AL139" t="s">
        <v>118</v>
      </c>
      <c r="AM139" t="s">
        <v>78</v>
      </c>
      <c r="AN139" t="s">
        <v>104</v>
      </c>
      <c r="AO139" t="s">
        <v>119</v>
      </c>
      <c r="AP139" t="e">
        <v>#N/A</v>
      </c>
      <c r="AQ139" t="s">
        <v>383</v>
      </c>
      <c r="AR139" t="str">
        <f t="shared" si="4"/>
        <v>60601125.MOBILAM</v>
      </c>
      <c r="AS139">
        <f t="shared" si="5"/>
        <v>3523102.8799999994</v>
      </c>
      <c r="AT139" t="s">
        <v>82</v>
      </c>
    </row>
    <row r="140" spans="1:46" x14ac:dyDescent="0.35">
      <c r="A140" t="s">
        <v>52</v>
      </c>
      <c r="B140" t="s">
        <v>53</v>
      </c>
      <c r="C140" t="s">
        <v>54</v>
      </c>
      <c r="D140" t="s">
        <v>55</v>
      </c>
      <c r="E140" t="s">
        <v>56</v>
      </c>
      <c r="F140" t="s">
        <v>469</v>
      </c>
      <c r="G140" t="s">
        <v>542</v>
      </c>
      <c r="H140" t="s">
        <v>56</v>
      </c>
      <c r="I140" t="s">
        <v>543</v>
      </c>
      <c r="J140" t="s">
        <v>61</v>
      </c>
      <c r="K140" t="s">
        <v>243</v>
      </c>
      <c r="L140" t="s">
        <v>56</v>
      </c>
      <c r="M140" t="s">
        <v>56</v>
      </c>
      <c r="N140" t="s">
        <v>477</v>
      </c>
      <c r="O140" t="s">
        <v>435</v>
      </c>
      <c r="P140" t="s">
        <v>436</v>
      </c>
      <c r="Q140" t="s">
        <v>527</v>
      </c>
      <c r="R140" t="s">
        <v>67</v>
      </c>
      <c r="S140">
        <v>6000000</v>
      </c>
      <c r="T140">
        <v>797340.22</v>
      </c>
      <c r="U140" t="s">
        <v>68</v>
      </c>
      <c r="V140" t="s">
        <v>471</v>
      </c>
      <c r="W140" s="9">
        <v>60601125</v>
      </c>
      <c r="X140" t="s">
        <v>544</v>
      </c>
      <c r="Y140" s="1">
        <v>46074</v>
      </c>
      <c r="Z140" s="1">
        <v>46104</v>
      </c>
      <c r="AA140" s="2">
        <v>550343.41</v>
      </c>
      <c r="AB140" s="2">
        <v>466392.72</v>
      </c>
      <c r="AC140" s="2">
        <v>83950.69</v>
      </c>
      <c r="AD140" s="2">
        <v>550343.41</v>
      </c>
      <c r="AE140" t="s">
        <v>545</v>
      </c>
      <c r="AF140" t="s">
        <v>72</v>
      </c>
      <c r="AG140">
        <v>-26</v>
      </c>
      <c r="AH140" t="s">
        <v>117</v>
      </c>
      <c r="AI140" t="s">
        <v>74</v>
      </c>
      <c r="AJ140" t="s">
        <v>237</v>
      </c>
      <c r="AK140" t="s">
        <v>383</v>
      </c>
      <c r="AL140" t="s">
        <v>118</v>
      </c>
      <c r="AM140" t="s">
        <v>78</v>
      </c>
      <c r="AN140" t="s">
        <v>104</v>
      </c>
      <c r="AO140" t="s">
        <v>119</v>
      </c>
      <c r="AP140" t="e">
        <v>#N/A</v>
      </c>
      <c r="AQ140" t="s">
        <v>383</v>
      </c>
      <c r="AR140" t="str">
        <f t="shared" si="4"/>
        <v>60601125.MOBILAM</v>
      </c>
      <c r="AS140">
        <f t="shared" si="5"/>
        <v>3523102.8799999994</v>
      </c>
      <c r="AT140" t="s">
        <v>82</v>
      </c>
    </row>
    <row r="141" spans="1:46" x14ac:dyDescent="0.35">
      <c r="A141" t="s">
        <v>52</v>
      </c>
      <c r="B141" t="s">
        <v>53</v>
      </c>
      <c r="C141" t="s">
        <v>54</v>
      </c>
      <c r="D141" t="s">
        <v>55</v>
      </c>
      <c r="E141" t="s">
        <v>56</v>
      </c>
      <c r="F141" t="s">
        <v>469</v>
      </c>
      <c r="G141" t="s">
        <v>518</v>
      </c>
      <c r="H141" t="s">
        <v>56</v>
      </c>
      <c r="I141" t="s">
        <v>546</v>
      </c>
      <c r="J141" t="s">
        <v>476</v>
      </c>
      <c r="K141" t="s">
        <v>243</v>
      </c>
      <c r="L141" t="s">
        <v>56</v>
      </c>
      <c r="M141" t="s">
        <v>56</v>
      </c>
      <c r="N141" t="s">
        <v>477</v>
      </c>
      <c r="O141" t="s">
        <v>435</v>
      </c>
      <c r="P141" t="s">
        <v>436</v>
      </c>
      <c r="Q141" t="s">
        <v>247</v>
      </c>
      <c r="R141" t="s">
        <v>67</v>
      </c>
      <c r="S141">
        <v>6000000</v>
      </c>
      <c r="T141">
        <v>797340.22</v>
      </c>
      <c r="U141" t="s">
        <v>68</v>
      </c>
      <c r="V141" t="s">
        <v>471</v>
      </c>
      <c r="W141" s="9">
        <v>60601125</v>
      </c>
      <c r="X141" t="s">
        <v>547</v>
      </c>
      <c r="Y141" s="1">
        <v>46074</v>
      </c>
      <c r="Z141" s="1">
        <v>46104</v>
      </c>
      <c r="AA141" s="2">
        <v>252843.16</v>
      </c>
      <c r="AB141" s="2">
        <v>214273.86</v>
      </c>
      <c r="AC141" s="2">
        <v>38569.300000000003</v>
      </c>
      <c r="AD141" s="2">
        <v>252843.16</v>
      </c>
      <c r="AE141" t="s">
        <v>548</v>
      </c>
      <c r="AF141" t="s">
        <v>72</v>
      </c>
      <c r="AG141">
        <v>-26</v>
      </c>
      <c r="AH141" t="s">
        <v>117</v>
      </c>
      <c r="AI141" t="s">
        <v>74</v>
      </c>
      <c r="AJ141" t="s">
        <v>237</v>
      </c>
      <c r="AK141" t="s">
        <v>383</v>
      </c>
      <c r="AL141" t="s">
        <v>118</v>
      </c>
      <c r="AM141" t="s">
        <v>78</v>
      </c>
      <c r="AN141" t="s">
        <v>104</v>
      </c>
      <c r="AO141" t="s">
        <v>119</v>
      </c>
      <c r="AP141" t="e">
        <v>#N/A</v>
      </c>
      <c r="AQ141" t="s">
        <v>383</v>
      </c>
      <c r="AR141" t="str">
        <f t="shared" si="4"/>
        <v>60601125.MOBILAM</v>
      </c>
      <c r="AS141">
        <f t="shared" si="5"/>
        <v>3523102.8799999994</v>
      </c>
      <c r="AT141" t="s">
        <v>82</v>
      </c>
    </row>
    <row r="142" spans="1:46" x14ac:dyDescent="0.35">
      <c r="A142" t="s">
        <v>52</v>
      </c>
      <c r="B142" t="s">
        <v>53</v>
      </c>
      <c r="C142" t="s">
        <v>54</v>
      </c>
      <c r="D142" t="s">
        <v>55</v>
      </c>
      <c r="E142" t="s">
        <v>56</v>
      </c>
      <c r="F142" t="s">
        <v>469</v>
      </c>
      <c r="G142" t="s">
        <v>549</v>
      </c>
      <c r="H142" t="s">
        <v>56</v>
      </c>
      <c r="I142" t="s">
        <v>550</v>
      </c>
      <c r="J142" t="s">
        <v>61</v>
      </c>
      <c r="K142" t="s">
        <v>243</v>
      </c>
      <c r="L142" t="s">
        <v>56</v>
      </c>
      <c r="M142" t="s">
        <v>56</v>
      </c>
      <c r="N142" t="s">
        <v>497</v>
      </c>
      <c r="O142" t="s">
        <v>435</v>
      </c>
      <c r="P142" t="s">
        <v>436</v>
      </c>
      <c r="Q142" t="s">
        <v>527</v>
      </c>
      <c r="R142" t="s">
        <v>67</v>
      </c>
      <c r="S142">
        <v>6000000</v>
      </c>
      <c r="T142">
        <v>797340.22</v>
      </c>
      <c r="U142" t="s">
        <v>68</v>
      </c>
      <c r="V142" t="s">
        <v>471</v>
      </c>
      <c r="W142" s="9">
        <v>60601125</v>
      </c>
      <c r="X142" t="s">
        <v>551</v>
      </c>
      <c r="Y142" s="1">
        <v>46074</v>
      </c>
      <c r="Z142" s="1">
        <v>46104</v>
      </c>
      <c r="AA142" s="2">
        <v>147748.06</v>
      </c>
      <c r="AB142" s="2">
        <v>125210.22</v>
      </c>
      <c r="AC142" s="2">
        <v>22537.84</v>
      </c>
      <c r="AD142" s="2">
        <v>147748.06</v>
      </c>
      <c r="AE142" t="s">
        <v>552</v>
      </c>
      <c r="AF142" t="s">
        <v>72</v>
      </c>
      <c r="AG142">
        <v>-26</v>
      </c>
      <c r="AH142" t="s">
        <v>117</v>
      </c>
      <c r="AI142" t="s">
        <v>74</v>
      </c>
      <c r="AJ142" t="s">
        <v>237</v>
      </c>
      <c r="AK142" t="s">
        <v>383</v>
      </c>
      <c r="AL142" t="s">
        <v>118</v>
      </c>
      <c r="AM142" t="s">
        <v>78</v>
      </c>
      <c r="AN142" t="s">
        <v>104</v>
      </c>
      <c r="AO142" t="s">
        <v>119</v>
      </c>
      <c r="AP142" t="e">
        <v>#N/A</v>
      </c>
      <c r="AQ142" t="s">
        <v>383</v>
      </c>
      <c r="AR142" t="str">
        <f t="shared" si="4"/>
        <v>60601125.MOBILAM</v>
      </c>
      <c r="AS142">
        <f t="shared" si="5"/>
        <v>3523102.8799999994</v>
      </c>
      <c r="AT142" t="s">
        <v>82</v>
      </c>
    </row>
    <row r="143" spans="1:46" x14ac:dyDescent="0.35">
      <c r="A143" t="s">
        <v>52</v>
      </c>
      <c r="B143" t="s">
        <v>53</v>
      </c>
      <c r="C143" t="s">
        <v>54</v>
      </c>
      <c r="D143" t="s">
        <v>55</v>
      </c>
      <c r="E143" t="s">
        <v>56</v>
      </c>
      <c r="F143" t="s">
        <v>469</v>
      </c>
      <c r="G143" t="s">
        <v>553</v>
      </c>
      <c r="H143" t="s">
        <v>56</v>
      </c>
      <c r="I143" t="s">
        <v>554</v>
      </c>
      <c r="J143" t="s">
        <v>56</v>
      </c>
      <c r="K143" t="s">
        <v>243</v>
      </c>
      <c r="L143" t="s">
        <v>56</v>
      </c>
      <c r="M143" t="s">
        <v>56</v>
      </c>
      <c r="N143" t="s">
        <v>477</v>
      </c>
      <c r="O143" t="s">
        <v>435</v>
      </c>
      <c r="P143" t="s">
        <v>436</v>
      </c>
      <c r="Q143" t="s">
        <v>494</v>
      </c>
      <c r="R143" t="s">
        <v>67</v>
      </c>
      <c r="S143">
        <v>6000000</v>
      </c>
      <c r="T143">
        <v>797340.22</v>
      </c>
      <c r="U143" t="s">
        <v>68</v>
      </c>
      <c r="V143" t="s">
        <v>471</v>
      </c>
      <c r="W143" s="9">
        <v>60601125</v>
      </c>
      <c r="X143" t="s">
        <v>555</v>
      </c>
      <c r="Y143" s="1">
        <v>46074</v>
      </c>
      <c r="Z143" s="1">
        <v>46104</v>
      </c>
      <c r="AA143" s="2">
        <v>373.82</v>
      </c>
      <c r="AB143" s="2">
        <v>316.79000000000002</v>
      </c>
      <c r="AC143" s="2">
        <v>57.03</v>
      </c>
      <c r="AD143" s="2">
        <v>373.82</v>
      </c>
      <c r="AE143" t="s">
        <v>556</v>
      </c>
      <c r="AF143" t="s">
        <v>72</v>
      </c>
      <c r="AG143">
        <v>-26</v>
      </c>
      <c r="AH143" t="s">
        <v>117</v>
      </c>
      <c r="AI143" t="s">
        <v>74</v>
      </c>
      <c r="AJ143" t="s">
        <v>237</v>
      </c>
      <c r="AK143" t="s">
        <v>383</v>
      </c>
      <c r="AL143" t="s">
        <v>118</v>
      </c>
      <c r="AM143" t="s">
        <v>78</v>
      </c>
      <c r="AN143" t="s">
        <v>104</v>
      </c>
      <c r="AO143" t="s">
        <v>119</v>
      </c>
      <c r="AP143" t="e">
        <v>#N/A</v>
      </c>
      <c r="AQ143" t="s">
        <v>383</v>
      </c>
      <c r="AR143" t="str">
        <f t="shared" si="4"/>
        <v>60601125.MOBILAM</v>
      </c>
      <c r="AS143">
        <f t="shared" si="5"/>
        <v>3523102.8799999994</v>
      </c>
      <c r="AT143" t="s">
        <v>82</v>
      </c>
    </row>
    <row r="144" spans="1:46" x14ac:dyDescent="0.35">
      <c r="A144" t="s">
        <v>52</v>
      </c>
      <c r="B144" t="s">
        <v>53</v>
      </c>
      <c r="C144" t="s">
        <v>54</v>
      </c>
      <c r="D144" t="s">
        <v>55</v>
      </c>
      <c r="E144" t="s">
        <v>56</v>
      </c>
      <c r="F144" t="s">
        <v>469</v>
      </c>
      <c r="G144" t="s">
        <v>530</v>
      </c>
      <c r="H144" t="s">
        <v>56</v>
      </c>
      <c r="I144" t="s">
        <v>557</v>
      </c>
      <c r="J144" t="s">
        <v>56</v>
      </c>
      <c r="K144" t="s">
        <v>243</v>
      </c>
      <c r="L144" t="s">
        <v>56</v>
      </c>
      <c r="M144" t="s">
        <v>56</v>
      </c>
      <c r="N144" t="s">
        <v>477</v>
      </c>
      <c r="O144" t="s">
        <v>435</v>
      </c>
      <c r="P144" t="s">
        <v>436</v>
      </c>
      <c r="Q144" t="s">
        <v>494</v>
      </c>
      <c r="R144" t="s">
        <v>67</v>
      </c>
      <c r="S144">
        <v>6000000</v>
      </c>
      <c r="T144">
        <v>797340.22</v>
      </c>
      <c r="U144" t="s">
        <v>68</v>
      </c>
      <c r="V144" t="s">
        <v>471</v>
      </c>
      <c r="W144" s="9">
        <v>60601125</v>
      </c>
      <c r="X144" t="s">
        <v>558</v>
      </c>
      <c r="Y144" s="1">
        <v>46074</v>
      </c>
      <c r="Z144" s="1">
        <v>46104</v>
      </c>
      <c r="AA144" s="2">
        <v>24149.03</v>
      </c>
      <c r="AB144" s="2">
        <v>20465.28</v>
      </c>
      <c r="AC144" s="2">
        <v>3683.75</v>
      </c>
      <c r="AD144" s="2">
        <v>24149.03</v>
      </c>
      <c r="AE144" t="s">
        <v>559</v>
      </c>
      <c r="AF144" t="s">
        <v>72</v>
      </c>
      <c r="AG144">
        <v>-26</v>
      </c>
      <c r="AH144" t="s">
        <v>117</v>
      </c>
      <c r="AI144" t="s">
        <v>74</v>
      </c>
      <c r="AJ144" t="s">
        <v>237</v>
      </c>
      <c r="AK144" t="s">
        <v>383</v>
      </c>
      <c r="AL144" t="s">
        <v>118</v>
      </c>
      <c r="AM144" t="s">
        <v>78</v>
      </c>
      <c r="AN144" t="s">
        <v>104</v>
      </c>
      <c r="AO144" t="s">
        <v>119</v>
      </c>
      <c r="AP144" t="e">
        <v>#N/A</v>
      </c>
      <c r="AQ144" t="s">
        <v>383</v>
      </c>
      <c r="AR144" t="str">
        <f t="shared" si="4"/>
        <v>60601125.MOBILAM</v>
      </c>
      <c r="AS144">
        <f t="shared" si="5"/>
        <v>3523102.8799999994</v>
      </c>
      <c r="AT144" t="s">
        <v>82</v>
      </c>
    </row>
    <row r="145" spans="1:46" x14ac:dyDescent="0.35">
      <c r="A145" t="s">
        <v>52</v>
      </c>
      <c r="B145" t="s">
        <v>53</v>
      </c>
      <c r="C145" t="s">
        <v>54</v>
      </c>
      <c r="D145" t="s">
        <v>55</v>
      </c>
      <c r="E145" t="s">
        <v>56</v>
      </c>
      <c r="F145" t="s">
        <v>469</v>
      </c>
      <c r="G145" t="s">
        <v>560</v>
      </c>
      <c r="H145" t="s">
        <v>56</v>
      </c>
      <c r="I145" t="s">
        <v>561</v>
      </c>
      <c r="J145" t="s">
        <v>476</v>
      </c>
      <c r="K145" t="s">
        <v>243</v>
      </c>
      <c r="L145" t="s">
        <v>56</v>
      </c>
      <c r="M145" t="s">
        <v>56</v>
      </c>
      <c r="N145" t="s">
        <v>477</v>
      </c>
      <c r="O145" t="s">
        <v>435</v>
      </c>
      <c r="P145" t="s">
        <v>436</v>
      </c>
      <c r="Q145" t="s">
        <v>562</v>
      </c>
      <c r="R145" t="s">
        <v>67</v>
      </c>
      <c r="S145">
        <v>6000000</v>
      </c>
      <c r="T145">
        <v>797340.22</v>
      </c>
      <c r="U145" t="s">
        <v>68</v>
      </c>
      <c r="V145" t="s">
        <v>471</v>
      </c>
      <c r="W145" s="9">
        <v>60601125</v>
      </c>
      <c r="X145" t="s">
        <v>563</v>
      </c>
      <c r="Y145" s="1">
        <v>46076</v>
      </c>
      <c r="Z145" s="1">
        <v>46106</v>
      </c>
      <c r="AA145" s="2">
        <v>27456.1</v>
      </c>
      <c r="AB145" s="2">
        <v>23267.88</v>
      </c>
      <c r="AC145" s="2">
        <v>4188.22</v>
      </c>
      <c r="AD145" s="2">
        <v>27456.1</v>
      </c>
      <c r="AE145" t="s">
        <v>564</v>
      </c>
      <c r="AF145" t="s">
        <v>72</v>
      </c>
      <c r="AG145">
        <v>-28</v>
      </c>
      <c r="AH145" t="s">
        <v>117</v>
      </c>
      <c r="AI145" t="s">
        <v>74</v>
      </c>
      <c r="AJ145" t="s">
        <v>237</v>
      </c>
      <c r="AK145" t="s">
        <v>383</v>
      </c>
      <c r="AL145" t="s">
        <v>118</v>
      </c>
      <c r="AM145" t="s">
        <v>78</v>
      </c>
      <c r="AN145" t="s">
        <v>104</v>
      </c>
      <c r="AO145" t="s">
        <v>119</v>
      </c>
      <c r="AP145" t="e">
        <v>#N/A</v>
      </c>
      <c r="AQ145" t="s">
        <v>383</v>
      </c>
      <c r="AR145" t="str">
        <f t="shared" si="4"/>
        <v>60601125.MOBILAM</v>
      </c>
      <c r="AS145">
        <f t="shared" si="5"/>
        <v>3523102.8799999994</v>
      </c>
      <c r="AT145" t="s">
        <v>82</v>
      </c>
    </row>
    <row r="146" spans="1:46" x14ac:dyDescent="0.35">
      <c r="A146" t="s">
        <v>52</v>
      </c>
      <c r="B146" t="s">
        <v>53</v>
      </c>
      <c r="C146" t="s">
        <v>54</v>
      </c>
      <c r="D146" t="s">
        <v>55</v>
      </c>
      <c r="E146" t="s">
        <v>56</v>
      </c>
      <c r="F146" t="s">
        <v>469</v>
      </c>
      <c r="G146" t="s">
        <v>507</v>
      </c>
      <c r="H146" t="s">
        <v>56</v>
      </c>
      <c r="I146" t="s">
        <v>565</v>
      </c>
      <c r="J146" t="s">
        <v>476</v>
      </c>
      <c r="K146" t="s">
        <v>243</v>
      </c>
      <c r="L146" t="s">
        <v>56</v>
      </c>
      <c r="M146" t="s">
        <v>56</v>
      </c>
      <c r="N146" t="s">
        <v>477</v>
      </c>
      <c r="O146" t="s">
        <v>435</v>
      </c>
      <c r="P146" t="s">
        <v>436</v>
      </c>
      <c r="Q146" t="s">
        <v>247</v>
      </c>
      <c r="R146" t="s">
        <v>67</v>
      </c>
      <c r="S146">
        <v>6000000</v>
      </c>
      <c r="T146">
        <v>797340.22</v>
      </c>
      <c r="U146" t="s">
        <v>68</v>
      </c>
      <c r="V146" t="s">
        <v>471</v>
      </c>
      <c r="W146" s="9">
        <v>60601125</v>
      </c>
      <c r="X146" t="s">
        <v>566</v>
      </c>
      <c r="Y146" s="1">
        <v>46076</v>
      </c>
      <c r="Z146" s="1">
        <v>46106</v>
      </c>
      <c r="AA146" s="2">
        <v>36964.82</v>
      </c>
      <c r="AB146" s="2">
        <v>31326.12</v>
      </c>
      <c r="AC146" s="2">
        <v>5638.7</v>
      </c>
      <c r="AD146" s="2">
        <v>36964.82</v>
      </c>
      <c r="AE146" t="s">
        <v>567</v>
      </c>
      <c r="AF146" t="s">
        <v>72</v>
      </c>
      <c r="AG146">
        <v>-28</v>
      </c>
      <c r="AH146" t="s">
        <v>117</v>
      </c>
      <c r="AI146" t="s">
        <v>74</v>
      </c>
      <c r="AJ146" t="s">
        <v>237</v>
      </c>
      <c r="AK146" t="s">
        <v>383</v>
      </c>
      <c r="AL146" t="s">
        <v>118</v>
      </c>
      <c r="AM146" t="s">
        <v>78</v>
      </c>
      <c r="AN146" t="s">
        <v>104</v>
      </c>
      <c r="AO146" t="s">
        <v>119</v>
      </c>
      <c r="AP146" t="e">
        <v>#N/A</v>
      </c>
      <c r="AQ146" t="s">
        <v>383</v>
      </c>
      <c r="AR146" t="str">
        <f t="shared" si="4"/>
        <v>60601125.MOBILAM</v>
      </c>
      <c r="AS146">
        <f t="shared" si="5"/>
        <v>3523102.8799999994</v>
      </c>
      <c r="AT146" t="s">
        <v>82</v>
      </c>
    </row>
    <row r="147" spans="1:46" x14ac:dyDescent="0.35">
      <c r="A147" t="s">
        <v>52</v>
      </c>
      <c r="B147" t="s">
        <v>53</v>
      </c>
      <c r="C147" t="s">
        <v>54</v>
      </c>
      <c r="D147" t="s">
        <v>55</v>
      </c>
      <c r="E147" t="s">
        <v>56</v>
      </c>
      <c r="F147" t="s">
        <v>469</v>
      </c>
      <c r="G147" t="s">
        <v>568</v>
      </c>
      <c r="H147" t="s">
        <v>56</v>
      </c>
      <c r="I147" t="s">
        <v>569</v>
      </c>
      <c r="J147" t="s">
        <v>56</v>
      </c>
      <c r="K147" t="s">
        <v>243</v>
      </c>
      <c r="L147" t="s">
        <v>56</v>
      </c>
      <c r="M147" t="s">
        <v>56</v>
      </c>
      <c r="N147" t="s">
        <v>477</v>
      </c>
      <c r="O147" t="s">
        <v>435</v>
      </c>
      <c r="P147" t="s">
        <v>436</v>
      </c>
      <c r="Q147" t="s">
        <v>570</v>
      </c>
      <c r="R147" t="s">
        <v>67</v>
      </c>
      <c r="S147">
        <v>6000000</v>
      </c>
      <c r="T147">
        <v>797340.22</v>
      </c>
      <c r="U147" t="s">
        <v>68</v>
      </c>
      <c r="V147" t="s">
        <v>471</v>
      </c>
      <c r="W147" s="9">
        <v>60601125</v>
      </c>
      <c r="X147" t="s">
        <v>571</v>
      </c>
      <c r="Y147" s="1">
        <v>46076</v>
      </c>
      <c r="Z147" s="1">
        <v>46106</v>
      </c>
      <c r="AA147" s="2">
        <v>124923.01</v>
      </c>
      <c r="AB147" s="2">
        <v>105866.96</v>
      </c>
      <c r="AC147" s="2">
        <v>19056.05</v>
      </c>
      <c r="AD147" s="2">
        <v>124923.01</v>
      </c>
      <c r="AE147" t="s">
        <v>572</v>
      </c>
      <c r="AF147" t="s">
        <v>72</v>
      </c>
      <c r="AG147">
        <v>-28</v>
      </c>
      <c r="AH147" t="s">
        <v>117</v>
      </c>
      <c r="AI147" t="s">
        <v>74</v>
      </c>
      <c r="AJ147" t="s">
        <v>237</v>
      </c>
      <c r="AK147" t="s">
        <v>383</v>
      </c>
      <c r="AL147" t="s">
        <v>118</v>
      </c>
      <c r="AM147" t="s">
        <v>78</v>
      </c>
      <c r="AN147" t="s">
        <v>104</v>
      </c>
      <c r="AO147" t="s">
        <v>119</v>
      </c>
      <c r="AP147" t="e">
        <v>#N/A</v>
      </c>
      <c r="AQ147" t="s">
        <v>383</v>
      </c>
      <c r="AR147" t="str">
        <f t="shared" si="4"/>
        <v>60601125.MOBILAM</v>
      </c>
      <c r="AS147">
        <f t="shared" si="5"/>
        <v>3523102.8799999994</v>
      </c>
      <c r="AT147" t="s">
        <v>82</v>
      </c>
    </row>
    <row r="148" spans="1:46" x14ac:dyDescent="0.35">
      <c r="A148" t="s">
        <v>52</v>
      </c>
      <c r="B148" t="s">
        <v>53</v>
      </c>
      <c r="C148" t="s">
        <v>54</v>
      </c>
      <c r="D148" t="s">
        <v>55</v>
      </c>
      <c r="E148" t="s">
        <v>56</v>
      </c>
      <c r="F148" t="s">
        <v>573</v>
      </c>
      <c r="G148" t="s">
        <v>574</v>
      </c>
      <c r="H148" t="s">
        <v>153</v>
      </c>
      <c r="I148" t="s">
        <v>575</v>
      </c>
      <c r="J148" t="s">
        <v>56</v>
      </c>
      <c r="K148" t="s">
        <v>62</v>
      </c>
      <c r="L148" t="s">
        <v>56</v>
      </c>
      <c r="M148" t="s">
        <v>56</v>
      </c>
      <c r="N148" t="s">
        <v>155</v>
      </c>
      <c r="O148" t="s">
        <v>230</v>
      </c>
      <c r="P148" t="s">
        <v>231</v>
      </c>
      <c r="Q148" t="s">
        <v>114</v>
      </c>
      <c r="R148" t="s">
        <v>232</v>
      </c>
      <c r="T148">
        <v>-80239999.780000001</v>
      </c>
      <c r="U148" t="s">
        <v>68</v>
      </c>
      <c r="V148" t="s">
        <v>576</v>
      </c>
      <c r="W148" s="9">
        <v>60604420</v>
      </c>
      <c r="X148" t="s">
        <v>577</v>
      </c>
      <c r="Y148" s="1">
        <v>46030</v>
      </c>
      <c r="Z148" s="1">
        <v>46165</v>
      </c>
      <c r="AA148" s="2">
        <v>2889879</v>
      </c>
      <c r="AB148" s="2">
        <v>2449050</v>
      </c>
      <c r="AC148" s="2">
        <v>440829</v>
      </c>
      <c r="AD148" s="2">
        <v>2889879</v>
      </c>
      <c r="AE148" t="s">
        <v>578</v>
      </c>
      <c r="AF148" t="s">
        <v>72</v>
      </c>
      <c r="AG148">
        <v>-87</v>
      </c>
      <c r="AH148" t="s">
        <v>117</v>
      </c>
      <c r="AI148" t="s">
        <v>74</v>
      </c>
      <c r="AJ148" t="s">
        <v>75</v>
      </c>
      <c r="AK148" t="s">
        <v>102</v>
      </c>
      <c r="AL148" t="s">
        <v>118</v>
      </c>
      <c r="AM148" t="s">
        <v>103</v>
      </c>
      <c r="AN148" t="s">
        <v>239</v>
      </c>
      <c r="AO148" t="s">
        <v>119</v>
      </c>
      <c r="AP148" t="e">
        <v>#N/A</v>
      </c>
      <c r="AQ148" t="s">
        <v>105</v>
      </c>
      <c r="AR148" t="str">
        <f t="shared" si="4"/>
        <v>60604420.STATEQ</v>
      </c>
      <c r="AS148">
        <f t="shared" si="5"/>
        <v>25310244.579999998</v>
      </c>
      <c r="AT148" t="s">
        <v>82</v>
      </c>
    </row>
    <row r="149" spans="1:46" x14ac:dyDescent="0.35">
      <c r="A149" t="s">
        <v>52</v>
      </c>
      <c r="B149" t="s">
        <v>53</v>
      </c>
      <c r="C149" t="s">
        <v>54</v>
      </c>
      <c r="D149" t="s">
        <v>55</v>
      </c>
      <c r="E149" t="s">
        <v>56</v>
      </c>
      <c r="F149" t="s">
        <v>573</v>
      </c>
      <c r="G149" t="s">
        <v>574</v>
      </c>
      <c r="H149" t="s">
        <v>153</v>
      </c>
      <c r="I149" t="s">
        <v>575</v>
      </c>
      <c r="J149" t="s">
        <v>56</v>
      </c>
      <c r="K149" t="s">
        <v>62</v>
      </c>
      <c r="L149" t="s">
        <v>56</v>
      </c>
      <c r="M149" t="s">
        <v>56</v>
      </c>
      <c r="N149" t="s">
        <v>155</v>
      </c>
      <c r="O149" t="s">
        <v>230</v>
      </c>
      <c r="P149" t="s">
        <v>231</v>
      </c>
      <c r="Q149" t="s">
        <v>114</v>
      </c>
      <c r="R149" t="s">
        <v>232</v>
      </c>
      <c r="T149">
        <v>-80239999.780000001</v>
      </c>
      <c r="U149" t="s">
        <v>68</v>
      </c>
      <c r="V149" t="s">
        <v>576</v>
      </c>
      <c r="W149" s="9">
        <v>60604420</v>
      </c>
      <c r="X149" t="s">
        <v>579</v>
      </c>
      <c r="Y149" s="1">
        <v>46036</v>
      </c>
      <c r="Z149" s="1">
        <v>46165</v>
      </c>
      <c r="AA149" s="2">
        <v>1205937.58</v>
      </c>
      <c r="AB149" s="2">
        <v>1021981</v>
      </c>
      <c r="AC149" s="2">
        <v>183956.58</v>
      </c>
      <c r="AD149" s="2">
        <v>1205937.58</v>
      </c>
      <c r="AE149" t="s">
        <v>580</v>
      </c>
      <c r="AF149" t="s">
        <v>72</v>
      </c>
      <c r="AG149">
        <v>-87</v>
      </c>
      <c r="AH149" t="s">
        <v>117</v>
      </c>
      <c r="AI149" t="s">
        <v>74</v>
      </c>
      <c r="AJ149" t="s">
        <v>75</v>
      </c>
      <c r="AK149" t="s">
        <v>102</v>
      </c>
      <c r="AL149" t="s">
        <v>118</v>
      </c>
      <c r="AM149" t="s">
        <v>103</v>
      </c>
      <c r="AN149" t="s">
        <v>239</v>
      </c>
      <c r="AO149" t="s">
        <v>119</v>
      </c>
      <c r="AP149" t="e">
        <v>#N/A</v>
      </c>
      <c r="AQ149" t="s">
        <v>105</v>
      </c>
      <c r="AR149" t="str">
        <f t="shared" si="4"/>
        <v>60604420.STATEQ</v>
      </c>
      <c r="AS149">
        <f t="shared" si="5"/>
        <v>25310244.579999998</v>
      </c>
      <c r="AT149" t="s">
        <v>82</v>
      </c>
    </row>
    <row r="150" spans="1:46" x14ac:dyDescent="0.35">
      <c r="A150" t="s">
        <v>52</v>
      </c>
      <c r="B150" t="s">
        <v>53</v>
      </c>
      <c r="C150" t="s">
        <v>54</v>
      </c>
      <c r="D150" t="s">
        <v>55</v>
      </c>
      <c r="E150" t="s">
        <v>56</v>
      </c>
      <c r="F150" t="s">
        <v>573</v>
      </c>
      <c r="G150" t="s">
        <v>574</v>
      </c>
      <c r="H150" t="s">
        <v>111</v>
      </c>
      <c r="I150" t="s">
        <v>581</v>
      </c>
      <c r="J150" t="s">
        <v>56</v>
      </c>
      <c r="K150" t="s">
        <v>62</v>
      </c>
      <c r="L150" t="s">
        <v>56</v>
      </c>
      <c r="M150" t="s">
        <v>56</v>
      </c>
      <c r="N150" t="s">
        <v>229</v>
      </c>
      <c r="O150" t="s">
        <v>230</v>
      </c>
      <c r="P150" t="s">
        <v>231</v>
      </c>
      <c r="Q150" t="s">
        <v>114</v>
      </c>
      <c r="R150" t="s">
        <v>232</v>
      </c>
      <c r="T150">
        <v>-80239999.780000001</v>
      </c>
      <c r="U150" t="s">
        <v>68</v>
      </c>
      <c r="V150" t="s">
        <v>576</v>
      </c>
      <c r="W150" s="9">
        <v>60604420</v>
      </c>
      <c r="X150" t="s">
        <v>582</v>
      </c>
      <c r="Y150" s="1">
        <v>46036</v>
      </c>
      <c r="Z150" s="1">
        <v>46165</v>
      </c>
      <c r="AA150" s="2">
        <v>21830000</v>
      </c>
      <c r="AB150" s="2">
        <v>18500000</v>
      </c>
      <c r="AC150" s="2">
        <v>3330000</v>
      </c>
      <c r="AD150" s="2">
        <v>21830000</v>
      </c>
      <c r="AE150" t="s">
        <v>583</v>
      </c>
      <c r="AF150" t="s">
        <v>72</v>
      </c>
      <c r="AG150">
        <v>-87</v>
      </c>
      <c r="AH150" t="s">
        <v>117</v>
      </c>
      <c r="AI150" t="s">
        <v>74</v>
      </c>
      <c r="AJ150" t="s">
        <v>237</v>
      </c>
      <c r="AK150" t="s">
        <v>238</v>
      </c>
      <c r="AL150" t="s">
        <v>118</v>
      </c>
      <c r="AM150" t="s">
        <v>103</v>
      </c>
      <c r="AN150" t="s">
        <v>239</v>
      </c>
      <c r="AO150" t="s">
        <v>119</v>
      </c>
      <c r="AP150" t="e">
        <v>#N/A</v>
      </c>
      <c r="AQ150" t="s">
        <v>238</v>
      </c>
      <c r="AR150" t="str">
        <f t="shared" si="4"/>
        <v>60604420.MOBILEQ</v>
      </c>
      <c r="AS150">
        <f t="shared" si="5"/>
        <v>53690000</v>
      </c>
      <c r="AT150" t="s">
        <v>82</v>
      </c>
    </row>
    <row r="151" spans="1:46" x14ac:dyDescent="0.35">
      <c r="A151" t="s">
        <v>52</v>
      </c>
      <c r="B151" t="s">
        <v>53</v>
      </c>
      <c r="C151" t="s">
        <v>54</v>
      </c>
      <c r="D151" t="s">
        <v>55</v>
      </c>
      <c r="E151" t="s">
        <v>56</v>
      </c>
      <c r="F151" t="s">
        <v>573</v>
      </c>
      <c r="G151" t="s">
        <v>574</v>
      </c>
      <c r="H151" t="s">
        <v>111</v>
      </c>
      <c r="I151" t="s">
        <v>584</v>
      </c>
      <c r="J151" t="s">
        <v>56</v>
      </c>
      <c r="K151" t="s">
        <v>62</v>
      </c>
      <c r="L151" t="s">
        <v>56</v>
      </c>
      <c r="M151" t="s">
        <v>56</v>
      </c>
      <c r="N151" t="s">
        <v>229</v>
      </c>
      <c r="O151" t="s">
        <v>230</v>
      </c>
      <c r="P151" t="s">
        <v>231</v>
      </c>
      <c r="Q151" t="s">
        <v>114</v>
      </c>
      <c r="R151" t="s">
        <v>232</v>
      </c>
      <c r="T151">
        <v>-80239999.780000001</v>
      </c>
      <c r="U151" t="s">
        <v>68</v>
      </c>
      <c r="V151" t="s">
        <v>576</v>
      </c>
      <c r="W151" s="9">
        <v>60604420</v>
      </c>
      <c r="X151" t="s">
        <v>585</v>
      </c>
      <c r="Y151" s="1">
        <v>46036</v>
      </c>
      <c r="Z151" s="1">
        <v>46165</v>
      </c>
      <c r="AA151" s="2">
        <v>17110000</v>
      </c>
      <c r="AB151" s="2">
        <v>14500000</v>
      </c>
      <c r="AC151" s="2">
        <v>2610000</v>
      </c>
      <c r="AD151" s="2">
        <v>17110000</v>
      </c>
      <c r="AE151" t="s">
        <v>586</v>
      </c>
      <c r="AF151" t="s">
        <v>72</v>
      </c>
      <c r="AG151">
        <v>-87</v>
      </c>
      <c r="AH151" t="s">
        <v>117</v>
      </c>
      <c r="AI151" t="s">
        <v>74</v>
      </c>
      <c r="AJ151" t="s">
        <v>237</v>
      </c>
      <c r="AK151" t="s">
        <v>238</v>
      </c>
      <c r="AL151" t="s">
        <v>118</v>
      </c>
      <c r="AM151" t="s">
        <v>103</v>
      </c>
      <c r="AN151" t="s">
        <v>239</v>
      </c>
      <c r="AO151" t="s">
        <v>119</v>
      </c>
      <c r="AP151" t="e">
        <v>#N/A</v>
      </c>
      <c r="AQ151" t="s">
        <v>238</v>
      </c>
      <c r="AR151" t="str">
        <f t="shared" si="4"/>
        <v>60604420.MOBILEQ</v>
      </c>
      <c r="AS151">
        <f t="shared" si="5"/>
        <v>53690000</v>
      </c>
      <c r="AT151" t="s">
        <v>82</v>
      </c>
    </row>
    <row r="152" spans="1:46" x14ac:dyDescent="0.35">
      <c r="A152" t="s">
        <v>52</v>
      </c>
      <c r="B152" t="s">
        <v>53</v>
      </c>
      <c r="C152" t="s">
        <v>54</v>
      </c>
      <c r="D152" t="s">
        <v>55</v>
      </c>
      <c r="E152" t="s">
        <v>56</v>
      </c>
      <c r="F152" t="s">
        <v>573</v>
      </c>
      <c r="G152" t="s">
        <v>574</v>
      </c>
      <c r="H152" t="s">
        <v>153</v>
      </c>
      <c r="I152" t="s">
        <v>575</v>
      </c>
      <c r="J152" t="s">
        <v>56</v>
      </c>
      <c r="K152" t="s">
        <v>62</v>
      </c>
      <c r="L152" t="s">
        <v>56</v>
      </c>
      <c r="M152" t="s">
        <v>56</v>
      </c>
      <c r="N152" t="s">
        <v>155</v>
      </c>
      <c r="O152" t="s">
        <v>230</v>
      </c>
      <c r="P152" t="s">
        <v>231</v>
      </c>
      <c r="Q152" t="s">
        <v>114</v>
      </c>
      <c r="R152" t="s">
        <v>232</v>
      </c>
      <c r="T152">
        <v>-80239999.780000001</v>
      </c>
      <c r="U152" t="s">
        <v>68</v>
      </c>
      <c r="V152" t="s">
        <v>576</v>
      </c>
      <c r="W152" s="9">
        <v>60604420</v>
      </c>
      <c r="X152" t="s">
        <v>587</v>
      </c>
      <c r="Y152" s="1">
        <v>46038</v>
      </c>
      <c r="Z152" s="1">
        <v>46165</v>
      </c>
      <c r="AA152" s="2">
        <v>1098355.8</v>
      </c>
      <c r="AB152" s="2">
        <v>930810</v>
      </c>
      <c r="AC152" s="2">
        <v>167545.79999999999</v>
      </c>
      <c r="AD152" s="2">
        <v>1098355.8</v>
      </c>
      <c r="AE152" t="s">
        <v>588</v>
      </c>
      <c r="AF152" t="s">
        <v>72</v>
      </c>
      <c r="AG152">
        <v>-87</v>
      </c>
      <c r="AH152" t="s">
        <v>117</v>
      </c>
      <c r="AI152" t="s">
        <v>74</v>
      </c>
      <c r="AJ152" t="s">
        <v>75</v>
      </c>
      <c r="AK152" t="s">
        <v>102</v>
      </c>
      <c r="AL152" t="s">
        <v>118</v>
      </c>
      <c r="AM152" t="s">
        <v>103</v>
      </c>
      <c r="AN152" t="s">
        <v>239</v>
      </c>
      <c r="AO152" t="s">
        <v>119</v>
      </c>
      <c r="AP152" t="e">
        <v>#N/A</v>
      </c>
      <c r="AQ152" t="s">
        <v>105</v>
      </c>
      <c r="AR152" t="str">
        <f t="shared" si="4"/>
        <v>60604420.STATEQ</v>
      </c>
      <c r="AS152">
        <f t="shared" si="5"/>
        <v>25310244.579999998</v>
      </c>
      <c r="AT152" t="s">
        <v>82</v>
      </c>
    </row>
    <row r="153" spans="1:46" x14ac:dyDescent="0.35">
      <c r="A153" t="s">
        <v>52</v>
      </c>
      <c r="B153" t="s">
        <v>53</v>
      </c>
      <c r="C153" t="s">
        <v>54</v>
      </c>
      <c r="D153" t="s">
        <v>55</v>
      </c>
      <c r="E153" t="s">
        <v>56</v>
      </c>
      <c r="F153" t="s">
        <v>573</v>
      </c>
      <c r="G153" t="s">
        <v>574</v>
      </c>
      <c r="H153" t="s">
        <v>153</v>
      </c>
      <c r="I153" t="s">
        <v>575</v>
      </c>
      <c r="J153" t="s">
        <v>56</v>
      </c>
      <c r="K153" t="s">
        <v>62</v>
      </c>
      <c r="L153" t="s">
        <v>56</v>
      </c>
      <c r="M153" t="s">
        <v>56</v>
      </c>
      <c r="N153" t="s">
        <v>155</v>
      </c>
      <c r="O153" t="s">
        <v>230</v>
      </c>
      <c r="P153" t="s">
        <v>231</v>
      </c>
      <c r="Q153" t="s">
        <v>114</v>
      </c>
      <c r="R153" t="s">
        <v>232</v>
      </c>
      <c r="T153">
        <v>-80239999.780000001</v>
      </c>
      <c r="U153" t="s">
        <v>68</v>
      </c>
      <c r="V153" t="s">
        <v>576</v>
      </c>
      <c r="W153" s="9">
        <v>60604420</v>
      </c>
      <c r="X153" t="s">
        <v>589</v>
      </c>
      <c r="Y153" s="1">
        <v>46038</v>
      </c>
      <c r="Z153" s="1">
        <v>46165</v>
      </c>
      <c r="AA153" s="2">
        <v>1697135</v>
      </c>
      <c r="AB153" s="2">
        <v>1438250</v>
      </c>
      <c r="AC153" s="2">
        <v>258885</v>
      </c>
      <c r="AD153" s="2">
        <v>1697135</v>
      </c>
      <c r="AE153" t="s">
        <v>590</v>
      </c>
      <c r="AF153" t="s">
        <v>72</v>
      </c>
      <c r="AG153">
        <v>-87</v>
      </c>
      <c r="AH153" t="s">
        <v>117</v>
      </c>
      <c r="AI153" t="s">
        <v>74</v>
      </c>
      <c r="AJ153" t="s">
        <v>75</v>
      </c>
      <c r="AK153" t="s">
        <v>102</v>
      </c>
      <c r="AL153" t="s">
        <v>118</v>
      </c>
      <c r="AM153" t="s">
        <v>103</v>
      </c>
      <c r="AN153" t="s">
        <v>239</v>
      </c>
      <c r="AO153" t="s">
        <v>119</v>
      </c>
      <c r="AP153" t="e">
        <v>#N/A</v>
      </c>
      <c r="AQ153" t="s">
        <v>105</v>
      </c>
      <c r="AR153" t="str">
        <f t="shared" si="4"/>
        <v>60604420.STATEQ</v>
      </c>
      <c r="AS153">
        <f t="shared" si="5"/>
        <v>25310244.579999998</v>
      </c>
      <c r="AT153" t="s">
        <v>82</v>
      </c>
    </row>
    <row r="154" spans="1:46" x14ac:dyDescent="0.35">
      <c r="A154" t="s">
        <v>52</v>
      </c>
      <c r="B154" t="s">
        <v>53</v>
      </c>
      <c r="C154" t="s">
        <v>54</v>
      </c>
      <c r="D154" t="s">
        <v>55</v>
      </c>
      <c r="E154" t="s">
        <v>56</v>
      </c>
      <c r="F154" t="s">
        <v>573</v>
      </c>
      <c r="G154" t="s">
        <v>574</v>
      </c>
      <c r="H154" t="s">
        <v>153</v>
      </c>
      <c r="I154" t="s">
        <v>575</v>
      </c>
      <c r="J154" t="s">
        <v>56</v>
      </c>
      <c r="K154" t="s">
        <v>62</v>
      </c>
      <c r="L154" t="s">
        <v>56</v>
      </c>
      <c r="M154" t="s">
        <v>56</v>
      </c>
      <c r="N154" t="s">
        <v>155</v>
      </c>
      <c r="O154" t="s">
        <v>230</v>
      </c>
      <c r="P154" t="s">
        <v>231</v>
      </c>
      <c r="Q154" t="s">
        <v>114</v>
      </c>
      <c r="R154" t="s">
        <v>232</v>
      </c>
      <c r="T154">
        <v>-80239999.780000001</v>
      </c>
      <c r="U154" t="s">
        <v>68</v>
      </c>
      <c r="V154" t="s">
        <v>576</v>
      </c>
      <c r="W154" s="9">
        <v>60604420</v>
      </c>
      <c r="X154" t="s">
        <v>591</v>
      </c>
      <c r="Y154" s="1">
        <v>46041</v>
      </c>
      <c r="Z154" s="1">
        <v>46165</v>
      </c>
      <c r="AA154" s="2">
        <v>2060857.73</v>
      </c>
      <c r="AB154" s="2">
        <v>1746489.6</v>
      </c>
      <c r="AC154" s="2">
        <v>314368.13</v>
      </c>
      <c r="AD154" s="2">
        <v>2060857.73</v>
      </c>
      <c r="AE154" t="s">
        <v>592</v>
      </c>
      <c r="AF154" t="s">
        <v>72</v>
      </c>
      <c r="AG154">
        <v>-87</v>
      </c>
      <c r="AH154" t="s">
        <v>117</v>
      </c>
      <c r="AI154" t="s">
        <v>74</v>
      </c>
      <c r="AJ154" t="s">
        <v>75</v>
      </c>
      <c r="AK154" t="s">
        <v>102</v>
      </c>
      <c r="AL154" t="s">
        <v>118</v>
      </c>
      <c r="AM154" t="s">
        <v>103</v>
      </c>
      <c r="AN154" t="s">
        <v>239</v>
      </c>
      <c r="AO154" t="s">
        <v>119</v>
      </c>
      <c r="AP154" t="e">
        <v>#N/A</v>
      </c>
      <c r="AQ154" t="s">
        <v>105</v>
      </c>
      <c r="AR154" t="str">
        <f t="shared" si="4"/>
        <v>60604420.STATEQ</v>
      </c>
      <c r="AS154">
        <f t="shared" si="5"/>
        <v>25310244.579999998</v>
      </c>
      <c r="AT154" t="s">
        <v>82</v>
      </c>
    </row>
    <row r="155" spans="1:46" x14ac:dyDescent="0.35">
      <c r="A155" t="s">
        <v>52</v>
      </c>
      <c r="B155" t="s">
        <v>53</v>
      </c>
      <c r="C155" t="s">
        <v>54</v>
      </c>
      <c r="D155" t="s">
        <v>55</v>
      </c>
      <c r="E155" t="s">
        <v>56</v>
      </c>
      <c r="F155" t="s">
        <v>573</v>
      </c>
      <c r="G155" t="s">
        <v>574</v>
      </c>
      <c r="H155" t="s">
        <v>153</v>
      </c>
      <c r="I155" t="s">
        <v>575</v>
      </c>
      <c r="J155" t="s">
        <v>56</v>
      </c>
      <c r="K155" t="s">
        <v>62</v>
      </c>
      <c r="L155" t="s">
        <v>56</v>
      </c>
      <c r="M155" t="s">
        <v>56</v>
      </c>
      <c r="N155" t="s">
        <v>593</v>
      </c>
      <c r="O155" t="s">
        <v>230</v>
      </c>
      <c r="P155" t="s">
        <v>231</v>
      </c>
      <c r="Q155" t="s">
        <v>114</v>
      </c>
      <c r="R155" t="s">
        <v>232</v>
      </c>
      <c r="T155">
        <v>-80239999.780000001</v>
      </c>
      <c r="U155" t="s">
        <v>68</v>
      </c>
      <c r="V155" t="s">
        <v>576</v>
      </c>
      <c r="W155" s="9">
        <v>60604420</v>
      </c>
      <c r="X155" t="s">
        <v>594</v>
      </c>
      <c r="Y155" s="1">
        <v>46044</v>
      </c>
      <c r="Z155" s="1">
        <v>46165</v>
      </c>
      <c r="AA155" s="2">
        <v>258376.34</v>
      </c>
      <c r="AB155" s="2">
        <v>218963</v>
      </c>
      <c r="AC155" s="2">
        <v>39413.339999999997</v>
      </c>
      <c r="AD155" s="2">
        <v>258376.34</v>
      </c>
      <c r="AE155" t="s">
        <v>595</v>
      </c>
      <c r="AF155" t="s">
        <v>72</v>
      </c>
      <c r="AG155">
        <v>-87</v>
      </c>
      <c r="AH155" t="s">
        <v>117</v>
      </c>
      <c r="AI155" t="s">
        <v>74</v>
      </c>
      <c r="AJ155" t="s">
        <v>75</v>
      </c>
      <c r="AK155" t="s">
        <v>102</v>
      </c>
      <c r="AL155" t="s">
        <v>118</v>
      </c>
      <c r="AM155" t="s">
        <v>103</v>
      </c>
      <c r="AN155" t="s">
        <v>239</v>
      </c>
      <c r="AO155" t="s">
        <v>119</v>
      </c>
      <c r="AP155" t="e">
        <v>#N/A</v>
      </c>
      <c r="AQ155" t="s">
        <v>105</v>
      </c>
      <c r="AR155" t="str">
        <f t="shared" si="4"/>
        <v>60604420.STATEQ</v>
      </c>
      <c r="AS155">
        <f t="shared" si="5"/>
        <v>25310244.579999998</v>
      </c>
      <c r="AT155" t="s">
        <v>82</v>
      </c>
    </row>
    <row r="156" spans="1:46" x14ac:dyDescent="0.35">
      <c r="A156" t="s">
        <v>52</v>
      </c>
      <c r="B156" t="s">
        <v>53</v>
      </c>
      <c r="C156" t="s">
        <v>54</v>
      </c>
      <c r="D156" t="s">
        <v>55</v>
      </c>
      <c r="E156" t="s">
        <v>56</v>
      </c>
      <c r="F156" t="s">
        <v>573</v>
      </c>
      <c r="G156" t="s">
        <v>574</v>
      </c>
      <c r="H156" t="s">
        <v>153</v>
      </c>
      <c r="I156" t="s">
        <v>575</v>
      </c>
      <c r="J156" t="s">
        <v>56</v>
      </c>
      <c r="K156" t="s">
        <v>62</v>
      </c>
      <c r="L156" t="s">
        <v>56</v>
      </c>
      <c r="M156" t="s">
        <v>56</v>
      </c>
      <c r="N156" t="s">
        <v>155</v>
      </c>
      <c r="O156" t="s">
        <v>230</v>
      </c>
      <c r="P156" t="s">
        <v>231</v>
      </c>
      <c r="Q156" t="s">
        <v>114</v>
      </c>
      <c r="R156" t="s">
        <v>232</v>
      </c>
      <c r="T156">
        <v>-80239999.780000001</v>
      </c>
      <c r="U156" t="s">
        <v>68</v>
      </c>
      <c r="V156" t="s">
        <v>576</v>
      </c>
      <c r="W156" s="9">
        <v>60604420</v>
      </c>
      <c r="X156" t="s">
        <v>594</v>
      </c>
      <c r="Y156" s="1">
        <v>46044</v>
      </c>
      <c r="Z156" s="1">
        <v>46165</v>
      </c>
      <c r="AA156" s="2">
        <v>516752.68</v>
      </c>
      <c r="AB156" s="2">
        <v>437926</v>
      </c>
      <c r="AC156" s="2">
        <v>78826.679999999993</v>
      </c>
      <c r="AD156" s="2">
        <v>516752.68</v>
      </c>
      <c r="AE156" t="s">
        <v>596</v>
      </c>
      <c r="AF156" t="s">
        <v>72</v>
      </c>
      <c r="AG156">
        <v>-87</v>
      </c>
      <c r="AH156" t="s">
        <v>117</v>
      </c>
      <c r="AI156" t="s">
        <v>74</v>
      </c>
      <c r="AJ156" t="s">
        <v>75</v>
      </c>
      <c r="AK156" t="s">
        <v>102</v>
      </c>
      <c r="AL156" t="s">
        <v>118</v>
      </c>
      <c r="AM156" t="s">
        <v>103</v>
      </c>
      <c r="AN156" t="s">
        <v>239</v>
      </c>
      <c r="AO156" t="s">
        <v>119</v>
      </c>
      <c r="AP156" t="e">
        <v>#N/A</v>
      </c>
      <c r="AQ156" t="s">
        <v>105</v>
      </c>
      <c r="AR156" t="str">
        <f t="shared" si="4"/>
        <v>60604420.STATEQ</v>
      </c>
      <c r="AS156">
        <f t="shared" si="5"/>
        <v>25310244.579999998</v>
      </c>
      <c r="AT156" t="s">
        <v>82</v>
      </c>
    </row>
    <row r="157" spans="1:46" x14ac:dyDescent="0.35">
      <c r="A157" t="s">
        <v>52</v>
      </c>
      <c r="B157" t="s">
        <v>53</v>
      </c>
      <c r="C157" t="s">
        <v>54</v>
      </c>
      <c r="D157" t="s">
        <v>55</v>
      </c>
      <c r="E157" t="s">
        <v>56</v>
      </c>
      <c r="F157" t="s">
        <v>573</v>
      </c>
      <c r="G157" t="s">
        <v>574</v>
      </c>
      <c r="H157" t="s">
        <v>153</v>
      </c>
      <c r="I157" t="s">
        <v>575</v>
      </c>
      <c r="J157" t="s">
        <v>56</v>
      </c>
      <c r="K157" t="s">
        <v>62</v>
      </c>
      <c r="L157" t="s">
        <v>56</v>
      </c>
      <c r="M157" t="s">
        <v>56</v>
      </c>
      <c r="N157" t="s">
        <v>155</v>
      </c>
      <c r="O157" t="s">
        <v>230</v>
      </c>
      <c r="P157" t="s">
        <v>231</v>
      </c>
      <c r="Q157" t="s">
        <v>114</v>
      </c>
      <c r="R157" t="s">
        <v>232</v>
      </c>
      <c r="T157">
        <v>-80239999.780000001</v>
      </c>
      <c r="U157" t="s">
        <v>68</v>
      </c>
      <c r="V157" t="s">
        <v>576</v>
      </c>
      <c r="W157" s="9">
        <v>60604420</v>
      </c>
      <c r="X157" t="s">
        <v>597</v>
      </c>
      <c r="Y157" s="1">
        <v>46044</v>
      </c>
      <c r="Z157" s="1">
        <v>46134</v>
      </c>
      <c r="AA157" s="2">
        <v>1140277.78</v>
      </c>
      <c r="AB157" s="2">
        <v>966337.1</v>
      </c>
      <c r="AC157" s="2">
        <v>173940.68</v>
      </c>
      <c r="AD157" s="2">
        <v>1140277.78</v>
      </c>
      <c r="AE157" t="s">
        <v>598</v>
      </c>
      <c r="AF157" t="s">
        <v>72</v>
      </c>
      <c r="AG157">
        <v>-56</v>
      </c>
      <c r="AH157" t="s">
        <v>117</v>
      </c>
      <c r="AI157" t="s">
        <v>74</v>
      </c>
      <c r="AJ157" t="s">
        <v>75</v>
      </c>
      <c r="AK157" t="s">
        <v>102</v>
      </c>
      <c r="AL157" t="s">
        <v>118</v>
      </c>
      <c r="AM157" t="s">
        <v>103</v>
      </c>
      <c r="AN157" t="s">
        <v>239</v>
      </c>
      <c r="AO157" t="s">
        <v>119</v>
      </c>
      <c r="AP157" t="e">
        <v>#N/A</v>
      </c>
      <c r="AQ157" t="s">
        <v>105</v>
      </c>
      <c r="AR157" t="str">
        <f t="shared" si="4"/>
        <v>60604420.STATEQ</v>
      </c>
      <c r="AS157">
        <f t="shared" si="5"/>
        <v>25310244.579999998</v>
      </c>
      <c r="AT157" t="s">
        <v>82</v>
      </c>
    </row>
    <row r="158" spans="1:46" x14ac:dyDescent="0.35">
      <c r="A158" t="s">
        <v>52</v>
      </c>
      <c r="B158" t="s">
        <v>53</v>
      </c>
      <c r="C158" t="s">
        <v>54</v>
      </c>
      <c r="D158" t="s">
        <v>55</v>
      </c>
      <c r="E158" t="s">
        <v>56</v>
      </c>
      <c r="F158" t="s">
        <v>573</v>
      </c>
      <c r="G158" t="s">
        <v>574</v>
      </c>
      <c r="H158" t="s">
        <v>153</v>
      </c>
      <c r="I158" t="s">
        <v>575</v>
      </c>
      <c r="J158" t="s">
        <v>56</v>
      </c>
      <c r="K158" t="s">
        <v>62</v>
      </c>
      <c r="L158" t="s">
        <v>56</v>
      </c>
      <c r="M158" t="s">
        <v>56</v>
      </c>
      <c r="N158" t="s">
        <v>155</v>
      </c>
      <c r="O158" t="s">
        <v>230</v>
      </c>
      <c r="P158" t="s">
        <v>231</v>
      </c>
      <c r="Q158" t="s">
        <v>114</v>
      </c>
      <c r="R158" t="s">
        <v>232</v>
      </c>
      <c r="T158">
        <v>-80239999.780000001</v>
      </c>
      <c r="U158" t="s">
        <v>68</v>
      </c>
      <c r="V158" t="s">
        <v>576</v>
      </c>
      <c r="W158" s="9">
        <v>60604420</v>
      </c>
      <c r="X158" t="s">
        <v>599</v>
      </c>
      <c r="Y158" s="1">
        <v>46045</v>
      </c>
      <c r="Z158" s="1">
        <v>46165</v>
      </c>
      <c r="AA158" s="2">
        <v>2078194.76</v>
      </c>
      <c r="AB158" s="2">
        <v>1761182</v>
      </c>
      <c r="AC158" s="2">
        <v>317012.76</v>
      </c>
      <c r="AD158" s="2">
        <v>2078194.76</v>
      </c>
      <c r="AE158" t="s">
        <v>600</v>
      </c>
      <c r="AF158" t="s">
        <v>72</v>
      </c>
      <c r="AG158">
        <v>-87</v>
      </c>
      <c r="AH158" t="s">
        <v>117</v>
      </c>
      <c r="AI158" t="s">
        <v>74</v>
      </c>
      <c r="AJ158" t="s">
        <v>75</v>
      </c>
      <c r="AK158" t="s">
        <v>102</v>
      </c>
      <c r="AL158" t="s">
        <v>118</v>
      </c>
      <c r="AM158" t="s">
        <v>103</v>
      </c>
      <c r="AN158" t="s">
        <v>239</v>
      </c>
      <c r="AO158" t="s">
        <v>119</v>
      </c>
      <c r="AP158" t="e">
        <v>#N/A</v>
      </c>
      <c r="AQ158" t="s">
        <v>105</v>
      </c>
      <c r="AR158" t="str">
        <f t="shared" si="4"/>
        <v>60604420.STATEQ</v>
      </c>
      <c r="AS158">
        <f t="shared" si="5"/>
        <v>25310244.579999998</v>
      </c>
      <c r="AT158" t="s">
        <v>82</v>
      </c>
    </row>
    <row r="159" spans="1:46" x14ac:dyDescent="0.35">
      <c r="A159" t="s">
        <v>52</v>
      </c>
      <c r="B159" t="s">
        <v>53</v>
      </c>
      <c r="C159" t="s">
        <v>54</v>
      </c>
      <c r="D159" t="s">
        <v>55</v>
      </c>
      <c r="E159" t="s">
        <v>56</v>
      </c>
      <c r="F159" t="s">
        <v>573</v>
      </c>
      <c r="G159" t="s">
        <v>574</v>
      </c>
      <c r="H159" t="s">
        <v>153</v>
      </c>
      <c r="I159" t="s">
        <v>575</v>
      </c>
      <c r="J159" t="s">
        <v>56</v>
      </c>
      <c r="K159" t="s">
        <v>62</v>
      </c>
      <c r="L159" t="s">
        <v>56</v>
      </c>
      <c r="M159" t="s">
        <v>56</v>
      </c>
      <c r="N159" t="s">
        <v>155</v>
      </c>
      <c r="O159" t="s">
        <v>230</v>
      </c>
      <c r="P159" t="s">
        <v>231</v>
      </c>
      <c r="Q159" t="s">
        <v>114</v>
      </c>
      <c r="R159" t="s">
        <v>232</v>
      </c>
      <c r="T159">
        <v>-80239999.780000001</v>
      </c>
      <c r="U159" t="s">
        <v>68</v>
      </c>
      <c r="V159" t="s">
        <v>576</v>
      </c>
      <c r="W159" s="9">
        <v>60604420</v>
      </c>
      <c r="X159" t="s">
        <v>601</v>
      </c>
      <c r="Y159" s="1">
        <v>46049</v>
      </c>
      <c r="Z159" s="1">
        <v>46165</v>
      </c>
      <c r="AA159" s="2">
        <v>2362077.58</v>
      </c>
      <c r="AB159" s="2">
        <v>2001760.66</v>
      </c>
      <c r="AC159" s="2">
        <v>360316.92</v>
      </c>
      <c r="AD159" s="2">
        <v>2362077.58</v>
      </c>
      <c r="AE159" t="s">
        <v>602</v>
      </c>
      <c r="AF159" t="s">
        <v>72</v>
      </c>
      <c r="AG159">
        <v>-87</v>
      </c>
      <c r="AH159" t="s">
        <v>117</v>
      </c>
      <c r="AI159" t="s">
        <v>74</v>
      </c>
      <c r="AJ159" t="s">
        <v>75</v>
      </c>
      <c r="AK159" t="s">
        <v>102</v>
      </c>
      <c r="AL159" t="s">
        <v>118</v>
      </c>
      <c r="AM159" t="s">
        <v>103</v>
      </c>
      <c r="AN159" t="s">
        <v>239</v>
      </c>
      <c r="AO159" t="s">
        <v>119</v>
      </c>
      <c r="AP159" t="e">
        <v>#N/A</v>
      </c>
      <c r="AQ159" t="s">
        <v>105</v>
      </c>
      <c r="AR159" t="str">
        <f t="shared" si="4"/>
        <v>60604420.STATEQ</v>
      </c>
      <c r="AS159">
        <f t="shared" si="5"/>
        <v>25310244.579999998</v>
      </c>
      <c r="AT159" t="s">
        <v>82</v>
      </c>
    </row>
    <row r="160" spans="1:46" x14ac:dyDescent="0.35">
      <c r="A160" t="s">
        <v>52</v>
      </c>
      <c r="B160" t="s">
        <v>53</v>
      </c>
      <c r="C160" t="s">
        <v>54</v>
      </c>
      <c r="D160" t="s">
        <v>55</v>
      </c>
      <c r="E160" t="s">
        <v>56</v>
      </c>
      <c r="F160" t="s">
        <v>573</v>
      </c>
      <c r="G160" t="s">
        <v>574</v>
      </c>
      <c r="H160" t="s">
        <v>153</v>
      </c>
      <c r="I160" t="s">
        <v>575</v>
      </c>
      <c r="J160" t="s">
        <v>56</v>
      </c>
      <c r="K160" t="s">
        <v>62</v>
      </c>
      <c r="L160" t="s">
        <v>56</v>
      </c>
      <c r="M160" t="s">
        <v>56</v>
      </c>
      <c r="N160" t="s">
        <v>155</v>
      </c>
      <c r="O160" t="s">
        <v>230</v>
      </c>
      <c r="P160" t="s">
        <v>231</v>
      </c>
      <c r="Q160" t="s">
        <v>114</v>
      </c>
      <c r="R160" t="s">
        <v>232</v>
      </c>
      <c r="T160">
        <v>-80239999.780000001</v>
      </c>
      <c r="U160" t="s">
        <v>68</v>
      </c>
      <c r="V160" t="s">
        <v>576</v>
      </c>
      <c r="W160" s="9">
        <v>60604420</v>
      </c>
      <c r="X160" t="s">
        <v>603</v>
      </c>
      <c r="Y160" s="1">
        <v>46052</v>
      </c>
      <c r="Z160" s="1">
        <v>46142</v>
      </c>
      <c r="AA160" s="2">
        <v>3548850</v>
      </c>
      <c r="AB160" s="2">
        <v>3007500</v>
      </c>
      <c r="AC160" s="2">
        <v>541350</v>
      </c>
      <c r="AD160" s="2">
        <v>3548850</v>
      </c>
      <c r="AE160" t="s">
        <v>604</v>
      </c>
      <c r="AF160" t="s">
        <v>72</v>
      </c>
      <c r="AG160">
        <v>-64</v>
      </c>
      <c r="AH160" t="s">
        <v>117</v>
      </c>
      <c r="AI160" t="s">
        <v>74</v>
      </c>
      <c r="AJ160" t="s">
        <v>75</v>
      </c>
      <c r="AK160" t="s">
        <v>102</v>
      </c>
      <c r="AL160" t="s">
        <v>118</v>
      </c>
      <c r="AM160" t="s">
        <v>103</v>
      </c>
      <c r="AN160" t="s">
        <v>239</v>
      </c>
      <c r="AO160" t="s">
        <v>119</v>
      </c>
      <c r="AP160" t="e">
        <v>#N/A</v>
      </c>
      <c r="AQ160" t="s">
        <v>105</v>
      </c>
      <c r="AR160" t="str">
        <f t="shared" si="4"/>
        <v>60604420.STATEQ</v>
      </c>
      <c r="AS160">
        <f t="shared" si="5"/>
        <v>25310244.579999998</v>
      </c>
      <c r="AT160" t="s">
        <v>82</v>
      </c>
    </row>
    <row r="161" spans="1:46" x14ac:dyDescent="0.35">
      <c r="A161" t="s">
        <v>52</v>
      </c>
      <c r="B161" t="s">
        <v>53</v>
      </c>
      <c r="C161" t="s">
        <v>54</v>
      </c>
      <c r="D161" t="s">
        <v>55</v>
      </c>
      <c r="E161" t="s">
        <v>56</v>
      </c>
      <c r="F161" t="s">
        <v>573</v>
      </c>
      <c r="G161" t="s">
        <v>574</v>
      </c>
      <c r="H161" t="s">
        <v>153</v>
      </c>
      <c r="I161" t="s">
        <v>575</v>
      </c>
      <c r="J161" t="s">
        <v>56</v>
      </c>
      <c r="K161" t="s">
        <v>62</v>
      </c>
      <c r="L161" t="s">
        <v>56</v>
      </c>
      <c r="M161" t="s">
        <v>56</v>
      </c>
      <c r="N161" t="s">
        <v>155</v>
      </c>
      <c r="O161" t="s">
        <v>230</v>
      </c>
      <c r="P161" t="s">
        <v>231</v>
      </c>
      <c r="Q161" t="s">
        <v>114</v>
      </c>
      <c r="R161" t="s">
        <v>232</v>
      </c>
      <c r="T161">
        <v>-80239999.780000001</v>
      </c>
      <c r="U161" t="s">
        <v>68</v>
      </c>
      <c r="V161" t="s">
        <v>576</v>
      </c>
      <c r="W161" s="9">
        <v>60604420</v>
      </c>
      <c r="X161" t="s">
        <v>605</v>
      </c>
      <c r="Y161" s="1">
        <v>46055</v>
      </c>
      <c r="Z161" s="1">
        <v>46145</v>
      </c>
      <c r="AA161" s="2">
        <v>2068540</v>
      </c>
      <c r="AB161" s="2">
        <v>1753000</v>
      </c>
      <c r="AC161" s="2">
        <v>315540</v>
      </c>
      <c r="AD161" s="2">
        <v>2068540</v>
      </c>
      <c r="AE161" t="s">
        <v>606</v>
      </c>
      <c r="AF161" t="s">
        <v>72</v>
      </c>
      <c r="AG161">
        <v>-67</v>
      </c>
      <c r="AH161" t="s">
        <v>117</v>
      </c>
      <c r="AI161" t="s">
        <v>74</v>
      </c>
      <c r="AJ161" t="s">
        <v>75</v>
      </c>
      <c r="AK161" t="s">
        <v>102</v>
      </c>
      <c r="AL161" t="s">
        <v>118</v>
      </c>
      <c r="AM161" t="s">
        <v>103</v>
      </c>
      <c r="AN161" t="s">
        <v>239</v>
      </c>
      <c r="AO161" t="s">
        <v>119</v>
      </c>
      <c r="AP161" t="e">
        <v>#N/A</v>
      </c>
      <c r="AQ161" t="s">
        <v>105</v>
      </c>
      <c r="AR161" t="str">
        <f t="shared" si="4"/>
        <v>60604420.STATEQ</v>
      </c>
      <c r="AS161">
        <f t="shared" si="5"/>
        <v>25310244.579999998</v>
      </c>
      <c r="AT161" t="s">
        <v>82</v>
      </c>
    </row>
    <row r="162" spans="1:46" x14ac:dyDescent="0.35">
      <c r="A162" t="s">
        <v>52</v>
      </c>
      <c r="B162" t="s">
        <v>53</v>
      </c>
      <c r="C162" t="s">
        <v>54</v>
      </c>
      <c r="D162" t="s">
        <v>55</v>
      </c>
      <c r="E162" t="s">
        <v>56</v>
      </c>
      <c r="F162" t="s">
        <v>573</v>
      </c>
      <c r="G162" t="s">
        <v>574</v>
      </c>
      <c r="H162" t="s">
        <v>111</v>
      </c>
      <c r="I162" t="s">
        <v>607</v>
      </c>
      <c r="J162" t="s">
        <v>56</v>
      </c>
      <c r="K162" t="s">
        <v>62</v>
      </c>
      <c r="L162" t="s">
        <v>56</v>
      </c>
      <c r="M162" t="s">
        <v>56</v>
      </c>
      <c r="N162" t="s">
        <v>174</v>
      </c>
      <c r="O162" t="s">
        <v>230</v>
      </c>
      <c r="P162" t="s">
        <v>231</v>
      </c>
      <c r="Q162" t="s">
        <v>114</v>
      </c>
      <c r="R162" t="s">
        <v>232</v>
      </c>
      <c r="T162">
        <v>-80239999.780000001</v>
      </c>
      <c r="U162" t="s">
        <v>68</v>
      </c>
      <c r="V162" t="s">
        <v>576</v>
      </c>
      <c r="W162" s="9">
        <v>60604420</v>
      </c>
      <c r="X162" t="s">
        <v>608</v>
      </c>
      <c r="Y162" s="1">
        <v>46063</v>
      </c>
      <c r="Z162" s="1">
        <v>46153</v>
      </c>
      <c r="AA162" s="2">
        <v>619877.6</v>
      </c>
      <c r="AB162" s="2">
        <v>525320</v>
      </c>
      <c r="AC162" s="2">
        <v>94557.6</v>
      </c>
      <c r="AD162" s="2">
        <v>619877.6</v>
      </c>
      <c r="AE162" t="s">
        <v>609</v>
      </c>
      <c r="AF162" t="s">
        <v>72</v>
      </c>
      <c r="AG162">
        <v>-75</v>
      </c>
      <c r="AH162" t="s">
        <v>117</v>
      </c>
      <c r="AI162" t="s">
        <v>74</v>
      </c>
      <c r="AJ162" t="s">
        <v>127</v>
      </c>
      <c r="AK162" t="s">
        <v>128</v>
      </c>
      <c r="AL162" t="s">
        <v>118</v>
      </c>
      <c r="AM162" t="s">
        <v>103</v>
      </c>
      <c r="AN162" t="s">
        <v>239</v>
      </c>
      <c r="AO162" t="s">
        <v>119</v>
      </c>
      <c r="AP162" t="e">
        <v>#N/A</v>
      </c>
      <c r="AQ162" t="s">
        <v>129</v>
      </c>
      <c r="AR162" t="str">
        <f t="shared" si="4"/>
        <v>60604420.SPMINEQ</v>
      </c>
      <c r="AS162">
        <f t="shared" si="5"/>
        <v>1239755.2</v>
      </c>
      <c r="AT162" t="s">
        <v>82</v>
      </c>
    </row>
    <row r="163" spans="1:46" x14ac:dyDescent="0.35">
      <c r="A163" t="s">
        <v>52</v>
      </c>
      <c r="B163" t="s">
        <v>53</v>
      </c>
      <c r="C163" t="s">
        <v>54</v>
      </c>
      <c r="D163" t="s">
        <v>55</v>
      </c>
      <c r="E163" t="s">
        <v>56</v>
      </c>
      <c r="F163" t="s">
        <v>573</v>
      </c>
      <c r="G163" t="s">
        <v>574</v>
      </c>
      <c r="H163" t="s">
        <v>111</v>
      </c>
      <c r="I163" t="s">
        <v>610</v>
      </c>
      <c r="J163" t="s">
        <v>56</v>
      </c>
      <c r="K163" t="s">
        <v>62</v>
      </c>
      <c r="L163" t="s">
        <v>56</v>
      </c>
      <c r="M163" t="s">
        <v>56</v>
      </c>
      <c r="N163" t="s">
        <v>174</v>
      </c>
      <c r="O163" t="s">
        <v>230</v>
      </c>
      <c r="P163" t="s">
        <v>231</v>
      </c>
      <c r="Q163" t="s">
        <v>114</v>
      </c>
      <c r="R163" t="s">
        <v>232</v>
      </c>
      <c r="T163">
        <v>-80239999.780000001</v>
      </c>
      <c r="U163" t="s">
        <v>68</v>
      </c>
      <c r="V163" t="s">
        <v>576</v>
      </c>
      <c r="W163" s="9">
        <v>60604420</v>
      </c>
      <c r="X163" t="s">
        <v>611</v>
      </c>
      <c r="Y163" s="1">
        <v>46063</v>
      </c>
      <c r="Z163" s="1">
        <v>46153</v>
      </c>
      <c r="AA163" s="2">
        <v>619877.6</v>
      </c>
      <c r="AB163" s="2">
        <v>525320</v>
      </c>
      <c r="AC163" s="2">
        <v>94557.6</v>
      </c>
      <c r="AD163" s="2">
        <v>619877.6</v>
      </c>
      <c r="AE163" t="s">
        <v>612</v>
      </c>
      <c r="AF163" t="s">
        <v>72</v>
      </c>
      <c r="AG163">
        <v>-75</v>
      </c>
      <c r="AH163" t="s">
        <v>117</v>
      </c>
      <c r="AI163" t="s">
        <v>74</v>
      </c>
      <c r="AJ163" t="s">
        <v>127</v>
      </c>
      <c r="AK163" t="s">
        <v>128</v>
      </c>
      <c r="AL163" t="s">
        <v>118</v>
      </c>
      <c r="AM163" t="s">
        <v>103</v>
      </c>
      <c r="AN163" t="s">
        <v>239</v>
      </c>
      <c r="AO163" t="s">
        <v>119</v>
      </c>
      <c r="AP163" t="e">
        <v>#N/A</v>
      </c>
      <c r="AQ163" t="s">
        <v>129</v>
      </c>
      <c r="AR163" t="str">
        <f t="shared" si="4"/>
        <v>60604420.SPMINEQ</v>
      </c>
      <c r="AS163">
        <f t="shared" si="5"/>
        <v>1239755.2</v>
      </c>
      <c r="AT163" t="s">
        <v>82</v>
      </c>
    </row>
    <row r="164" spans="1:46" x14ac:dyDescent="0.35">
      <c r="A164" t="s">
        <v>52</v>
      </c>
      <c r="B164" t="s">
        <v>53</v>
      </c>
      <c r="C164" t="s">
        <v>54</v>
      </c>
      <c r="D164" t="s">
        <v>55</v>
      </c>
      <c r="E164" t="s">
        <v>56</v>
      </c>
      <c r="F164" t="s">
        <v>573</v>
      </c>
      <c r="G164" t="s">
        <v>574</v>
      </c>
      <c r="H164" t="s">
        <v>111</v>
      </c>
      <c r="I164" t="s">
        <v>613</v>
      </c>
      <c r="J164" t="s">
        <v>56</v>
      </c>
      <c r="K164" t="s">
        <v>62</v>
      </c>
      <c r="L164" t="s">
        <v>56</v>
      </c>
      <c r="M164" t="s">
        <v>56</v>
      </c>
      <c r="N164" t="s">
        <v>229</v>
      </c>
      <c r="O164" t="s">
        <v>230</v>
      </c>
      <c r="P164" t="s">
        <v>231</v>
      </c>
      <c r="Q164" t="s">
        <v>114</v>
      </c>
      <c r="R164" t="s">
        <v>232</v>
      </c>
      <c r="T164">
        <v>-80239999.780000001</v>
      </c>
      <c r="U164" t="s">
        <v>68</v>
      </c>
      <c r="V164" t="s">
        <v>576</v>
      </c>
      <c r="W164" s="9">
        <v>60604420</v>
      </c>
      <c r="X164" t="s">
        <v>614</v>
      </c>
      <c r="Y164" s="1">
        <v>46063</v>
      </c>
      <c r="Z164" s="1">
        <v>46153</v>
      </c>
      <c r="AA164" s="2">
        <v>14750000</v>
      </c>
      <c r="AB164" s="2">
        <v>12500000</v>
      </c>
      <c r="AC164" s="2">
        <v>2250000</v>
      </c>
      <c r="AD164" s="2">
        <v>14750000</v>
      </c>
      <c r="AE164" t="s">
        <v>615</v>
      </c>
      <c r="AF164" t="s">
        <v>72</v>
      </c>
      <c r="AG164">
        <v>-75</v>
      </c>
      <c r="AH164" t="s">
        <v>117</v>
      </c>
      <c r="AI164" t="s">
        <v>74</v>
      </c>
      <c r="AJ164" t="s">
        <v>237</v>
      </c>
      <c r="AK164" t="s">
        <v>238</v>
      </c>
      <c r="AL164" t="s">
        <v>118</v>
      </c>
      <c r="AM164" t="s">
        <v>103</v>
      </c>
      <c r="AN164" t="s">
        <v>239</v>
      </c>
      <c r="AO164" t="s">
        <v>119</v>
      </c>
      <c r="AP164" t="e">
        <v>#N/A</v>
      </c>
      <c r="AQ164" t="s">
        <v>238</v>
      </c>
      <c r="AR164" t="str">
        <f t="shared" si="4"/>
        <v>60604420.MOBILEQ</v>
      </c>
      <c r="AS164">
        <f t="shared" si="5"/>
        <v>53690000</v>
      </c>
      <c r="AT164" t="s">
        <v>82</v>
      </c>
    </row>
    <row r="165" spans="1:46" x14ac:dyDescent="0.35">
      <c r="A165" t="s">
        <v>52</v>
      </c>
      <c r="B165" t="s">
        <v>53</v>
      </c>
      <c r="C165" t="s">
        <v>54</v>
      </c>
      <c r="D165" t="s">
        <v>55</v>
      </c>
      <c r="E165" t="s">
        <v>56</v>
      </c>
      <c r="F165" t="s">
        <v>573</v>
      </c>
      <c r="G165" t="s">
        <v>574</v>
      </c>
      <c r="H165" t="s">
        <v>153</v>
      </c>
      <c r="I165" t="s">
        <v>575</v>
      </c>
      <c r="J165" t="s">
        <v>56</v>
      </c>
      <c r="K165" t="s">
        <v>62</v>
      </c>
      <c r="L165" t="s">
        <v>56</v>
      </c>
      <c r="M165" t="s">
        <v>56</v>
      </c>
      <c r="N165" t="s">
        <v>155</v>
      </c>
      <c r="O165" t="s">
        <v>230</v>
      </c>
      <c r="P165" t="s">
        <v>231</v>
      </c>
      <c r="Q165" t="s">
        <v>114</v>
      </c>
      <c r="R165" t="s">
        <v>232</v>
      </c>
      <c r="T165">
        <v>-80239999.780000001</v>
      </c>
      <c r="U165" t="s">
        <v>68</v>
      </c>
      <c r="V165" t="s">
        <v>576</v>
      </c>
      <c r="W165" s="9">
        <v>60604420</v>
      </c>
      <c r="X165" t="s">
        <v>616</v>
      </c>
      <c r="Y165" s="1">
        <v>46065</v>
      </c>
      <c r="Z165" s="1">
        <v>46155</v>
      </c>
      <c r="AA165" s="2">
        <v>3677010.33</v>
      </c>
      <c r="AB165" s="2">
        <v>3116110.45</v>
      </c>
      <c r="AC165" s="2">
        <v>560899.88</v>
      </c>
      <c r="AD165" s="2">
        <v>3677010.33</v>
      </c>
      <c r="AE165" t="s">
        <v>617</v>
      </c>
      <c r="AF165" t="s">
        <v>72</v>
      </c>
      <c r="AG165">
        <v>-77</v>
      </c>
      <c r="AH165" t="s">
        <v>117</v>
      </c>
      <c r="AI165" t="s">
        <v>74</v>
      </c>
      <c r="AJ165" t="s">
        <v>75</v>
      </c>
      <c r="AK165" t="s">
        <v>102</v>
      </c>
      <c r="AL165" t="s">
        <v>118</v>
      </c>
      <c r="AM165" t="s">
        <v>103</v>
      </c>
      <c r="AN165" t="s">
        <v>239</v>
      </c>
      <c r="AO165" t="s">
        <v>119</v>
      </c>
      <c r="AP165" t="e">
        <v>#N/A</v>
      </c>
      <c r="AQ165" t="s">
        <v>105</v>
      </c>
      <c r="AR165" t="str">
        <f t="shared" si="4"/>
        <v>60604420.STATEQ</v>
      </c>
      <c r="AS165">
        <f t="shared" si="5"/>
        <v>25310244.579999998</v>
      </c>
      <c r="AT165" t="s">
        <v>82</v>
      </c>
    </row>
    <row r="166" spans="1:46" x14ac:dyDescent="0.35">
      <c r="A166" t="s">
        <v>52</v>
      </c>
      <c r="B166" t="s">
        <v>53</v>
      </c>
      <c r="C166" t="s">
        <v>54</v>
      </c>
      <c r="D166" t="s">
        <v>55</v>
      </c>
      <c r="E166" t="s">
        <v>56</v>
      </c>
      <c r="F166" t="s">
        <v>573</v>
      </c>
      <c r="G166" t="s">
        <v>574</v>
      </c>
      <c r="H166" t="s">
        <v>153</v>
      </c>
      <c r="I166" t="s">
        <v>618</v>
      </c>
      <c r="J166" t="s">
        <v>56</v>
      </c>
      <c r="K166" t="s">
        <v>62</v>
      </c>
      <c r="L166" t="s">
        <v>56</v>
      </c>
      <c r="M166" t="s">
        <v>56</v>
      </c>
      <c r="N166" t="s">
        <v>155</v>
      </c>
      <c r="O166" t="s">
        <v>230</v>
      </c>
      <c r="P166" t="s">
        <v>231</v>
      </c>
      <c r="Q166" t="s">
        <v>114</v>
      </c>
      <c r="R166" t="s">
        <v>232</v>
      </c>
      <c r="T166">
        <v>-80239999.780000001</v>
      </c>
      <c r="U166" t="s">
        <v>68</v>
      </c>
      <c r="V166" t="s">
        <v>576</v>
      </c>
      <c r="W166" s="9">
        <v>60604420</v>
      </c>
      <c r="X166" t="s">
        <v>619</v>
      </c>
      <c r="Y166" s="1">
        <v>46073</v>
      </c>
      <c r="Z166" s="1">
        <v>46163</v>
      </c>
      <c r="AA166" s="2">
        <v>708000</v>
      </c>
      <c r="AB166" s="2">
        <v>600000</v>
      </c>
      <c r="AC166" s="2">
        <v>108000</v>
      </c>
      <c r="AD166" s="2">
        <v>708000</v>
      </c>
      <c r="AE166" t="s">
        <v>620</v>
      </c>
      <c r="AF166" t="s">
        <v>72</v>
      </c>
      <c r="AG166">
        <v>-85</v>
      </c>
      <c r="AH166" t="s">
        <v>117</v>
      </c>
      <c r="AI166" t="s">
        <v>74</v>
      </c>
      <c r="AJ166" t="s">
        <v>75</v>
      </c>
      <c r="AK166" t="s">
        <v>102</v>
      </c>
      <c r="AL166" t="s">
        <v>118</v>
      </c>
      <c r="AM166" t="s">
        <v>103</v>
      </c>
      <c r="AN166" t="s">
        <v>239</v>
      </c>
      <c r="AO166" t="s">
        <v>119</v>
      </c>
      <c r="AP166" t="e">
        <v>#N/A</v>
      </c>
      <c r="AQ166" t="s">
        <v>105</v>
      </c>
      <c r="AR166" t="str">
        <f t="shared" si="4"/>
        <v>60604420.STATEQ</v>
      </c>
      <c r="AS166">
        <f t="shared" si="5"/>
        <v>25310244.579999998</v>
      </c>
      <c r="AT166" t="s">
        <v>82</v>
      </c>
    </row>
    <row r="167" spans="1:46" x14ac:dyDescent="0.35">
      <c r="A167" t="s">
        <v>52</v>
      </c>
      <c r="B167" t="s">
        <v>53</v>
      </c>
      <c r="C167" t="s">
        <v>621</v>
      </c>
      <c r="D167" t="s">
        <v>55</v>
      </c>
      <c r="E167" t="s">
        <v>56</v>
      </c>
      <c r="F167" t="s">
        <v>622</v>
      </c>
      <c r="G167" t="s">
        <v>56</v>
      </c>
      <c r="H167" t="s">
        <v>56</v>
      </c>
      <c r="I167" t="s">
        <v>623</v>
      </c>
      <c r="J167" t="s">
        <v>61</v>
      </c>
      <c r="K167" t="s">
        <v>62</v>
      </c>
      <c r="L167" t="s">
        <v>56</v>
      </c>
      <c r="M167" t="s">
        <v>56</v>
      </c>
      <c r="N167" t="s">
        <v>624</v>
      </c>
      <c r="O167" t="s">
        <v>406</v>
      </c>
      <c r="P167" t="s">
        <v>407</v>
      </c>
      <c r="Q167" t="s">
        <v>87</v>
      </c>
      <c r="R167" t="s">
        <v>88</v>
      </c>
      <c r="T167">
        <v>336.22</v>
      </c>
      <c r="U167" t="s">
        <v>68</v>
      </c>
      <c r="V167" t="s">
        <v>625</v>
      </c>
      <c r="W167" s="9">
        <v>60604396</v>
      </c>
      <c r="X167" t="s">
        <v>626</v>
      </c>
      <c r="Y167" s="1">
        <v>45957</v>
      </c>
      <c r="Z167" s="1">
        <v>45957</v>
      </c>
      <c r="AA167" s="2">
        <v>-336918</v>
      </c>
      <c r="AB167" s="2">
        <v>-336918</v>
      </c>
      <c r="AC167" s="2">
        <v>0</v>
      </c>
      <c r="AD167" s="2">
        <v>-336.22</v>
      </c>
      <c r="AE167" t="s">
        <v>627</v>
      </c>
      <c r="AF167" t="s">
        <v>72</v>
      </c>
      <c r="AG167">
        <v>121</v>
      </c>
      <c r="AH167" t="s">
        <v>91</v>
      </c>
      <c r="AI167" t="s">
        <v>74</v>
      </c>
      <c r="AJ167" t="s">
        <v>75</v>
      </c>
      <c r="AK167" t="s">
        <v>76</v>
      </c>
      <c r="AL167" t="s">
        <v>77</v>
      </c>
      <c r="AM167" t="s">
        <v>78</v>
      </c>
      <c r="AN167" t="s">
        <v>104</v>
      </c>
      <c r="AO167" t="s">
        <v>80</v>
      </c>
      <c r="AP167" t="e">
        <v>#N/A</v>
      </c>
      <c r="AQ167" t="s">
        <v>81</v>
      </c>
      <c r="AR167" t="str">
        <f t="shared" si="4"/>
        <v>60604396.STATAM</v>
      </c>
      <c r="AS167">
        <f t="shared" si="5"/>
        <v>-336.22</v>
      </c>
      <c r="AT167" t="s">
        <v>93</v>
      </c>
    </row>
    <row r="168" spans="1:46" x14ac:dyDescent="0.35">
      <c r="A168" t="s">
        <v>52</v>
      </c>
      <c r="B168" t="s">
        <v>53</v>
      </c>
      <c r="C168" t="s">
        <v>54</v>
      </c>
      <c r="D168" t="s">
        <v>55</v>
      </c>
      <c r="E168" t="s">
        <v>56</v>
      </c>
      <c r="F168" t="s">
        <v>628</v>
      </c>
      <c r="G168" t="s">
        <v>629</v>
      </c>
      <c r="H168" t="s">
        <v>59</v>
      </c>
      <c r="I168" t="s">
        <v>630</v>
      </c>
      <c r="J168" t="s">
        <v>61</v>
      </c>
      <c r="K168" t="s">
        <v>62</v>
      </c>
      <c r="L168" t="s">
        <v>56</v>
      </c>
      <c r="M168" t="s">
        <v>56</v>
      </c>
      <c r="N168" t="s">
        <v>63</v>
      </c>
      <c r="O168" t="s">
        <v>64</v>
      </c>
      <c r="P168" t="s">
        <v>65</v>
      </c>
      <c r="Q168" t="s">
        <v>631</v>
      </c>
      <c r="R168" t="s">
        <v>67</v>
      </c>
      <c r="S168">
        <v>57683500</v>
      </c>
      <c r="T168">
        <v>54899297.079999998</v>
      </c>
      <c r="U168" t="s">
        <v>68</v>
      </c>
      <c r="V168" t="s">
        <v>632</v>
      </c>
      <c r="W168" s="9">
        <v>60604253</v>
      </c>
      <c r="X168" t="s">
        <v>633</v>
      </c>
      <c r="Y168" s="1">
        <v>46041</v>
      </c>
      <c r="Z168" s="1">
        <v>46071</v>
      </c>
      <c r="AA168" s="2">
        <v>1628236.32</v>
      </c>
      <c r="AB168" s="2">
        <v>1379861.28</v>
      </c>
      <c r="AC168" s="2">
        <v>248375.04000000001</v>
      </c>
      <c r="AD168" s="2">
        <v>1628236.32</v>
      </c>
      <c r="AE168" t="s">
        <v>634</v>
      </c>
      <c r="AF168" t="s">
        <v>72</v>
      </c>
      <c r="AG168">
        <v>7</v>
      </c>
      <c r="AH168" t="s">
        <v>73</v>
      </c>
      <c r="AI168" t="s">
        <v>74</v>
      </c>
      <c r="AJ168" t="s">
        <v>75</v>
      </c>
      <c r="AK168" t="s">
        <v>76</v>
      </c>
      <c r="AL168" t="s">
        <v>77</v>
      </c>
      <c r="AM168" t="s">
        <v>78</v>
      </c>
      <c r="AN168" t="s">
        <v>79</v>
      </c>
      <c r="AO168" t="s">
        <v>80</v>
      </c>
      <c r="AP168" t="e">
        <v>#N/A</v>
      </c>
      <c r="AQ168" t="s">
        <v>81</v>
      </c>
      <c r="AR168" t="str">
        <f t="shared" si="4"/>
        <v>60604253.STATAM</v>
      </c>
      <c r="AS168">
        <f t="shared" si="5"/>
        <v>2784202.92</v>
      </c>
      <c r="AT168" t="s">
        <v>82</v>
      </c>
    </row>
    <row r="169" spans="1:46" x14ac:dyDescent="0.35">
      <c r="A169" t="s">
        <v>52</v>
      </c>
      <c r="B169" t="s">
        <v>53</v>
      </c>
      <c r="C169" t="s">
        <v>54</v>
      </c>
      <c r="D169" t="s">
        <v>55</v>
      </c>
      <c r="E169" t="s">
        <v>56</v>
      </c>
      <c r="F169" t="s">
        <v>628</v>
      </c>
      <c r="G169" t="s">
        <v>629</v>
      </c>
      <c r="H169" t="s">
        <v>59</v>
      </c>
      <c r="I169" t="s">
        <v>630</v>
      </c>
      <c r="J169" t="s">
        <v>61</v>
      </c>
      <c r="K169" t="s">
        <v>62</v>
      </c>
      <c r="L169" t="s">
        <v>56</v>
      </c>
      <c r="M169" t="s">
        <v>56</v>
      </c>
      <c r="N169" t="s">
        <v>63</v>
      </c>
      <c r="O169" t="s">
        <v>64</v>
      </c>
      <c r="P169" t="s">
        <v>65</v>
      </c>
      <c r="Q169" t="s">
        <v>631</v>
      </c>
      <c r="R169" t="s">
        <v>67</v>
      </c>
      <c r="S169">
        <v>57683500</v>
      </c>
      <c r="T169">
        <v>54899297.079999998</v>
      </c>
      <c r="U169" t="s">
        <v>68</v>
      </c>
      <c r="V169" t="s">
        <v>632</v>
      </c>
      <c r="W169" s="9">
        <v>60604253</v>
      </c>
      <c r="X169" t="s">
        <v>635</v>
      </c>
      <c r="Y169" s="1">
        <v>46067</v>
      </c>
      <c r="Z169" s="1">
        <v>46097</v>
      </c>
      <c r="AA169" s="2">
        <v>1155966.6000000001</v>
      </c>
      <c r="AB169" s="2">
        <v>979632.72</v>
      </c>
      <c r="AC169" s="2">
        <v>176333.88</v>
      </c>
      <c r="AD169" s="2">
        <v>1155966.6000000001</v>
      </c>
      <c r="AE169" t="s">
        <v>636</v>
      </c>
      <c r="AF169" t="s">
        <v>72</v>
      </c>
      <c r="AG169">
        <v>-19</v>
      </c>
      <c r="AH169" t="s">
        <v>117</v>
      </c>
      <c r="AI169" t="s">
        <v>74</v>
      </c>
      <c r="AJ169" t="s">
        <v>75</v>
      </c>
      <c r="AK169" t="s">
        <v>76</v>
      </c>
      <c r="AL169" t="s">
        <v>118</v>
      </c>
      <c r="AM169" t="s">
        <v>78</v>
      </c>
      <c r="AN169" t="s">
        <v>79</v>
      </c>
      <c r="AO169" t="s">
        <v>119</v>
      </c>
      <c r="AP169" t="e">
        <v>#N/A</v>
      </c>
      <c r="AQ169" t="s">
        <v>81</v>
      </c>
      <c r="AR169" t="str">
        <f t="shared" si="4"/>
        <v>60604253.STATAM</v>
      </c>
      <c r="AS169">
        <f t="shared" si="5"/>
        <v>2784202.92</v>
      </c>
      <c r="AT169" t="s">
        <v>82</v>
      </c>
    </row>
    <row r="170" spans="1:46" x14ac:dyDescent="0.35">
      <c r="A170" t="s">
        <v>52</v>
      </c>
      <c r="B170" t="s">
        <v>53</v>
      </c>
      <c r="C170" t="s">
        <v>54</v>
      </c>
      <c r="D170" t="s">
        <v>55</v>
      </c>
      <c r="E170" t="s">
        <v>56</v>
      </c>
      <c r="F170" t="s">
        <v>637</v>
      </c>
      <c r="G170" t="s">
        <v>638</v>
      </c>
      <c r="H170" t="s">
        <v>56</v>
      </c>
      <c r="I170" t="s">
        <v>639</v>
      </c>
      <c r="J170" t="s">
        <v>61</v>
      </c>
      <c r="K170" t="s">
        <v>640</v>
      </c>
      <c r="L170" t="s">
        <v>56</v>
      </c>
      <c r="M170" t="s">
        <v>56</v>
      </c>
      <c r="N170" t="s">
        <v>254</v>
      </c>
      <c r="O170" t="s">
        <v>64</v>
      </c>
      <c r="P170" t="s">
        <v>65</v>
      </c>
      <c r="Q170" t="s">
        <v>641</v>
      </c>
      <c r="R170" t="s">
        <v>248</v>
      </c>
      <c r="S170">
        <v>5000000</v>
      </c>
      <c r="T170">
        <v>-542419.91</v>
      </c>
      <c r="U170" t="s">
        <v>68</v>
      </c>
      <c r="V170" t="s">
        <v>642</v>
      </c>
      <c r="W170" s="9">
        <v>60602554</v>
      </c>
      <c r="X170" t="s">
        <v>643</v>
      </c>
      <c r="Y170" s="1">
        <v>46050</v>
      </c>
      <c r="Z170" s="1">
        <v>46110</v>
      </c>
      <c r="AA170" s="2">
        <v>444691.26</v>
      </c>
      <c r="AB170" s="2">
        <v>376857</v>
      </c>
      <c r="AC170" s="2">
        <v>67834.259999999995</v>
      </c>
      <c r="AD170" s="2">
        <v>145652.01</v>
      </c>
      <c r="AE170" t="s">
        <v>644</v>
      </c>
      <c r="AF170" t="s">
        <v>72</v>
      </c>
      <c r="AG170">
        <v>-32</v>
      </c>
      <c r="AH170" t="s">
        <v>117</v>
      </c>
      <c r="AI170" t="s">
        <v>74</v>
      </c>
      <c r="AJ170" t="s">
        <v>75</v>
      </c>
      <c r="AK170" t="s">
        <v>76</v>
      </c>
      <c r="AL170" t="s">
        <v>118</v>
      </c>
      <c r="AM170" t="s">
        <v>78</v>
      </c>
      <c r="AN170" t="s">
        <v>79</v>
      </c>
      <c r="AO170" t="s">
        <v>119</v>
      </c>
      <c r="AP170" t="s">
        <v>46</v>
      </c>
      <c r="AQ170" t="s">
        <v>81</v>
      </c>
      <c r="AR170" t="str">
        <f t="shared" si="4"/>
        <v>60602554.STATAM</v>
      </c>
      <c r="AS170">
        <f t="shared" si="5"/>
        <v>4437747.5000000009</v>
      </c>
      <c r="AT170" t="s">
        <v>82</v>
      </c>
    </row>
    <row r="171" spans="1:46" x14ac:dyDescent="0.35">
      <c r="A171" t="s">
        <v>52</v>
      </c>
      <c r="B171" t="s">
        <v>53</v>
      </c>
      <c r="C171" t="s">
        <v>54</v>
      </c>
      <c r="D171" t="s">
        <v>55</v>
      </c>
      <c r="E171" t="s">
        <v>56</v>
      </c>
      <c r="F171" t="s">
        <v>637</v>
      </c>
      <c r="G171" t="s">
        <v>645</v>
      </c>
      <c r="H171" t="s">
        <v>56</v>
      </c>
      <c r="I171" t="s">
        <v>646</v>
      </c>
      <c r="J171" t="s">
        <v>61</v>
      </c>
      <c r="K171" t="s">
        <v>640</v>
      </c>
      <c r="L171" t="s">
        <v>56</v>
      </c>
      <c r="M171" t="s">
        <v>56</v>
      </c>
      <c r="N171" t="s">
        <v>254</v>
      </c>
      <c r="O171" t="s">
        <v>64</v>
      </c>
      <c r="P171" t="s">
        <v>65</v>
      </c>
      <c r="Q171" t="s">
        <v>641</v>
      </c>
      <c r="R171" t="s">
        <v>248</v>
      </c>
      <c r="S171">
        <v>5000000</v>
      </c>
      <c r="T171">
        <v>-542419.91</v>
      </c>
      <c r="U171" t="s">
        <v>68</v>
      </c>
      <c r="V171" t="s">
        <v>642</v>
      </c>
      <c r="W171" s="9">
        <v>60602554</v>
      </c>
      <c r="X171" t="s">
        <v>647</v>
      </c>
      <c r="Y171" s="1">
        <v>46050</v>
      </c>
      <c r="Z171" s="1">
        <v>46110</v>
      </c>
      <c r="AA171" s="2">
        <v>622497.19999999995</v>
      </c>
      <c r="AB171" s="2">
        <v>527540</v>
      </c>
      <c r="AC171" s="2">
        <v>94957.2</v>
      </c>
      <c r="AD171" s="2">
        <v>622497.19999999995</v>
      </c>
      <c r="AE171" t="s">
        <v>648</v>
      </c>
      <c r="AF171" t="s">
        <v>72</v>
      </c>
      <c r="AG171">
        <v>-32</v>
      </c>
      <c r="AH171" t="s">
        <v>117</v>
      </c>
      <c r="AI171" t="s">
        <v>74</v>
      </c>
      <c r="AJ171" t="s">
        <v>75</v>
      </c>
      <c r="AK171" t="s">
        <v>76</v>
      </c>
      <c r="AL171" t="s">
        <v>118</v>
      </c>
      <c r="AM171" t="s">
        <v>78</v>
      </c>
      <c r="AN171" t="s">
        <v>79</v>
      </c>
      <c r="AO171" t="s">
        <v>119</v>
      </c>
      <c r="AP171" t="s">
        <v>46</v>
      </c>
      <c r="AQ171" t="s">
        <v>81</v>
      </c>
      <c r="AR171" t="str">
        <f t="shared" si="4"/>
        <v>60602554.STATAM</v>
      </c>
      <c r="AS171">
        <f t="shared" si="5"/>
        <v>4437747.5000000009</v>
      </c>
      <c r="AT171" t="s">
        <v>82</v>
      </c>
    </row>
    <row r="172" spans="1:46" x14ac:dyDescent="0.35">
      <c r="A172" t="s">
        <v>52</v>
      </c>
      <c r="B172" t="s">
        <v>53</v>
      </c>
      <c r="C172" t="s">
        <v>54</v>
      </c>
      <c r="D172" t="s">
        <v>55</v>
      </c>
      <c r="E172" t="s">
        <v>56</v>
      </c>
      <c r="F172" t="s">
        <v>637</v>
      </c>
      <c r="G172" t="s">
        <v>649</v>
      </c>
      <c r="H172" t="s">
        <v>56</v>
      </c>
      <c r="I172" t="s">
        <v>650</v>
      </c>
      <c r="J172" t="s">
        <v>61</v>
      </c>
      <c r="K172" t="s">
        <v>640</v>
      </c>
      <c r="L172" t="s">
        <v>56</v>
      </c>
      <c r="M172" t="s">
        <v>56</v>
      </c>
      <c r="N172" t="s">
        <v>261</v>
      </c>
      <c r="O172" t="s">
        <v>64</v>
      </c>
      <c r="P172" t="s">
        <v>65</v>
      </c>
      <c r="Q172" t="s">
        <v>87</v>
      </c>
      <c r="R172" t="s">
        <v>248</v>
      </c>
      <c r="S172">
        <v>5000000</v>
      </c>
      <c r="T172">
        <v>-542419.91</v>
      </c>
      <c r="U172" t="s">
        <v>68</v>
      </c>
      <c r="V172" t="s">
        <v>642</v>
      </c>
      <c r="W172" s="9">
        <v>60602554</v>
      </c>
      <c r="X172" t="s">
        <v>651</v>
      </c>
      <c r="Y172" s="1">
        <v>46050</v>
      </c>
      <c r="Z172" s="1">
        <v>46110</v>
      </c>
      <c r="AA172" s="2">
        <v>6345.24</v>
      </c>
      <c r="AB172" s="2">
        <v>5377.32</v>
      </c>
      <c r="AC172" s="2">
        <v>967.92</v>
      </c>
      <c r="AD172" s="2">
        <v>6345.24</v>
      </c>
      <c r="AE172" t="s">
        <v>652</v>
      </c>
      <c r="AF172" t="s">
        <v>72</v>
      </c>
      <c r="AG172">
        <v>-32</v>
      </c>
      <c r="AH172" t="s">
        <v>117</v>
      </c>
      <c r="AI172" t="s">
        <v>74</v>
      </c>
      <c r="AJ172" t="s">
        <v>75</v>
      </c>
      <c r="AK172" t="s">
        <v>76</v>
      </c>
      <c r="AL172" t="s">
        <v>118</v>
      </c>
      <c r="AM172" t="s">
        <v>78</v>
      </c>
      <c r="AN172" t="s">
        <v>79</v>
      </c>
      <c r="AO172" t="s">
        <v>119</v>
      </c>
      <c r="AP172" t="s">
        <v>46</v>
      </c>
      <c r="AQ172" t="s">
        <v>81</v>
      </c>
      <c r="AR172" t="str">
        <f t="shared" si="4"/>
        <v>60602554.STATAM</v>
      </c>
      <c r="AS172">
        <f t="shared" si="5"/>
        <v>4437747.5000000009</v>
      </c>
      <c r="AT172" t="s">
        <v>82</v>
      </c>
    </row>
    <row r="173" spans="1:46" x14ac:dyDescent="0.35">
      <c r="A173" t="s">
        <v>52</v>
      </c>
      <c r="B173" t="s">
        <v>53</v>
      </c>
      <c r="C173" t="s">
        <v>54</v>
      </c>
      <c r="D173" t="s">
        <v>55</v>
      </c>
      <c r="E173" t="s">
        <v>56</v>
      </c>
      <c r="F173" t="s">
        <v>637</v>
      </c>
      <c r="G173" t="s">
        <v>653</v>
      </c>
      <c r="H173" t="s">
        <v>56</v>
      </c>
      <c r="I173" t="s">
        <v>654</v>
      </c>
      <c r="J173" t="s">
        <v>61</v>
      </c>
      <c r="K173" t="s">
        <v>640</v>
      </c>
      <c r="L173" t="s">
        <v>56</v>
      </c>
      <c r="M173" t="s">
        <v>56</v>
      </c>
      <c r="N173" t="s">
        <v>655</v>
      </c>
      <c r="O173" t="s">
        <v>64</v>
      </c>
      <c r="P173" t="s">
        <v>65</v>
      </c>
      <c r="Q173" t="s">
        <v>87</v>
      </c>
      <c r="R173" t="s">
        <v>248</v>
      </c>
      <c r="S173">
        <v>5000000</v>
      </c>
      <c r="T173">
        <v>-542419.91</v>
      </c>
      <c r="U173" t="s">
        <v>68</v>
      </c>
      <c r="V173" t="s">
        <v>642</v>
      </c>
      <c r="W173" s="9">
        <v>60602554</v>
      </c>
      <c r="X173" t="s">
        <v>656</v>
      </c>
      <c r="Y173" s="1">
        <v>46050</v>
      </c>
      <c r="Z173" s="1">
        <v>46110</v>
      </c>
      <c r="AA173" s="2">
        <v>6573.49</v>
      </c>
      <c r="AB173" s="2">
        <v>5570.76</v>
      </c>
      <c r="AC173" s="2">
        <v>1002.73</v>
      </c>
      <c r="AD173" s="2">
        <v>6573.49</v>
      </c>
      <c r="AE173" t="s">
        <v>657</v>
      </c>
      <c r="AF173" t="s">
        <v>72</v>
      </c>
      <c r="AG173">
        <v>-32</v>
      </c>
      <c r="AH173" t="s">
        <v>117</v>
      </c>
      <c r="AI173" t="s">
        <v>74</v>
      </c>
      <c r="AJ173" t="s">
        <v>75</v>
      </c>
      <c r="AK173" t="s">
        <v>76</v>
      </c>
      <c r="AL173" t="s">
        <v>118</v>
      </c>
      <c r="AM173" t="s">
        <v>78</v>
      </c>
      <c r="AN173" t="s">
        <v>79</v>
      </c>
      <c r="AO173" t="s">
        <v>119</v>
      </c>
      <c r="AP173" t="s">
        <v>46</v>
      </c>
      <c r="AQ173" t="s">
        <v>81</v>
      </c>
      <c r="AR173" t="str">
        <f t="shared" si="4"/>
        <v>60602554.STATAM</v>
      </c>
      <c r="AS173">
        <f t="shared" si="5"/>
        <v>4437747.5000000009</v>
      </c>
      <c r="AT173" t="s">
        <v>82</v>
      </c>
    </row>
    <row r="174" spans="1:46" x14ac:dyDescent="0.35">
      <c r="A174" t="s">
        <v>52</v>
      </c>
      <c r="B174" t="s">
        <v>53</v>
      </c>
      <c r="C174" t="s">
        <v>54</v>
      </c>
      <c r="D174" t="s">
        <v>55</v>
      </c>
      <c r="E174" t="s">
        <v>56</v>
      </c>
      <c r="F174" t="s">
        <v>637</v>
      </c>
      <c r="G174" t="s">
        <v>658</v>
      </c>
      <c r="H174" t="s">
        <v>56</v>
      </c>
      <c r="I174" t="s">
        <v>659</v>
      </c>
      <c r="J174" t="s">
        <v>61</v>
      </c>
      <c r="K174" t="s">
        <v>640</v>
      </c>
      <c r="L174" t="s">
        <v>56</v>
      </c>
      <c r="M174" t="s">
        <v>56</v>
      </c>
      <c r="N174" t="s">
        <v>337</v>
      </c>
      <c r="O174" t="s">
        <v>64</v>
      </c>
      <c r="P174" t="s">
        <v>65</v>
      </c>
      <c r="Q174" t="s">
        <v>87</v>
      </c>
      <c r="R174" t="s">
        <v>248</v>
      </c>
      <c r="S174">
        <v>5000000</v>
      </c>
      <c r="T174">
        <v>-542419.91</v>
      </c>
      <c r="U174" t="s">
        <v>68</v>
      </c>
      <c r="V174" t="s">
        <v>642</v>
      </c>
      <c r="W174" s="9">
        <v>60602554</v>
      </c>
      <c r="X174" t="s">
        <v>660</v>
      </c>
      <c r="Y174" s="1">
        <v>46058</v>
      </c>
      <c r="Z174" s="1">
        <v>46118</v>
      </c>
      <c r="AA174" s="2">
        <v>102474.5</v>
      </c>
      <c r="AB174" s="2">
        <v>86842.8</v>
      </c>
      <c r="AC174" s="2">
        <v>15631.7</v>
      </c>
      <c r="AD174" s="2">
        <v>102474.5</v>
      </c>
      <c r="AE174" t="s">
        <v>661</v>
      </c>
      <c r="AF174" t="s">
        <v>72</v>
      </c>
      <c r="AG174">
        <v>-40</v>
      </c>
      <c r="AH174" t="s">
        <v>117</v>
      </c>
      <c r="AI174" t="s">
        <v>74</v>
      </c>
      <c r="AJ174" t="s">
        <v>127</v>
      </c>
      <c r="AK174" t="s">
        <v>334</v>
      </c>
      <c r="AL174" t="s">
        <v>118</v>
      </c>
      <c r="AM174" t="s">
        <v>78</v>
      </c>
      <c r="AN174" t="s">
        <v>79</v>
      </c>
      <c r="AO174" t="s">
        <v>119</v>
      </c>
      <c r="AP174" t="s">
        <v>46</v>
      </c>
      <c r="AQ174" t="s">
        <v>335</v>
      </c>
      <c r="AR174" t="str">
        <f t="shared" si="4"/>
        <v>60602554.SPMINAM</v>
      </c>
      <c r="AS174">
        <f t="shared" si="5"/>
        <v>289812.79000000004</v>
      </c>
      <c r="AT174" t="s">
        <v>82</v>
      </c>
    </row>
    <row r="175" spans="1:46" x14ac:dyDescent="0.35">
      <c r="A175" t="s">
        <v>52</v>
      </c>
      <c r="B175" t="s">
        <v>53</v>
      </c>
      <c r="C175" t="s">
        <v>54</v>
      </c>
      <c r="D175" t="s">
        <v>55</v>
      </c>
      <c r="E175" t="s">
        <v>56</v>
      </c>
      <c r="F175" t="s">
        <v>637</v>
      </c>
      <c r="G175" t="s">
        <v>662</v>
      </c>
      <c r="H175" t="s">
        <v>56</v>
      </c>
      <c r="I175" t="s">
        <v>663</v>
      </c>
      <c r="J175" t="s">
        <v>61</v>
      </c>
      <c r="K175" t="s">
        <v>640</v>
      </c>
      <c r="L175" t="s">
        <v>56</v>
      </c>
      <c r="M175" t="s">
        <v>56</v>
      </c>
      <c r="N175" t="s">
        <v>261</v>
      </c>
      <c r="O175" t="s">
        <v>64</v>
      </c>
      <c r="P175" t="s">
        <v>65</v>
      </c>
      <c r="Q175" t="s">
        <v>87</v>
      </c>
      <c r="R175" t="s">
        <v>248</v>
      </c>
      <c r="S175">
        <v>5000000</v>
      </c>
      <c r="T175">
        <v>-542419.91</v>
      </c>
      <c r="U175" t="s">
        <v>68</v>
      </c>
      <c r="V175" t="s">
        <v>642</v>
      </c>
      <c r="W175" s="9">
        <v>60602554</v>
      </c>
      <c r="X175" t="s">
        <v>664</v>
      </c>
      <c r="Y175" s="1">
        <v>46058</v>
      </c>
      <c r="Z175" s="1">
        <v>46118</v>
      </c>
      <c r="AA175" s="2">
        <v>119463.32</v>
      </c>
      <c r="AB175" s="2">
        <v>101240.1</v>
      </c>
      <c r="AC175" s="2">
        <v>18223.22</v>
      </c>
      <c r="AD175" s="2">
        <v>119463.32</v>
      </c>
      <c r="AE175" t="s">
        <v>665</v>
      </c>
      <c r="AF175" t="s">
        <v>72</v>
      </c>
      <c r="AG175">
        <v>-40</v>
      </c>
      <c r="AH175" t="s">
        <v>117</v>
      </c>
      <c r="AI175" t="s">
        <v>74</v>
      </c>
      <c r="AJ175" t="s">
        <v>75</v>
      </c>
      <c r="AK175" t="s">
        <v>76</v>
      </c>
      <c r="AL175" t="s">
        <v>118</v>
      </c>
      <c r="AM175" t="s">
        <v>78</v>
      </c>
      <c r="AN175" t="s">
        <v>79</v>
      </c>
      <c r="AO175" t="s">
        <v>119</v>
      </c>
      <c r="AP175" t="s">
        <v>46</v>
      </c>
      <c r="AQ175" t="s">
        <v>81</v>
      </c>
      <c r="AR175" t="str">
        <f t="shared" si="4"/>
        <v>60602554.STATAM</v>
      </c>
      <c r="AS175">
        <f t="shared" si="5"/>
        <v>4437747.5000000009</v>
      </c>
      <c r="AT175" t="s">
        <v>82</v>
      </c>
    </row>
    <row r="176" spans="1:46" x14ac:dyDescent="0.35">
      <c r="A176" t="s">
        <v>52</v>
      </c>
      <c r="B176" t="s">
        <v>53</v>
      </c>
      <c r="C176" t="s">
        <v>54</v>
      </c>
      <c r="D176" t="s">
        <v>55</v>
      </c>
      <c r="E176" t="s">
        <v>56</v>
      </c>
      <c r="F176" t="s">
        <v>637</v>
      </c>
      <c r="G176" t="s">
        <v>662</v>
      </c>
      <c r="H176" t="s">
        <v>56</v>
      </c>
      <c r="I176" t="s">
        <v>663</v>
      </c>
      <c r="J176" t="s">
        <v>61</v>
      </c>
      <c r="K176" t="s">
        <v>640</v>
      </c>
      <c r="L176" t="s">
        <v>56</v>
      </c>
      <c r="M176" t="s">
        <v>56</v>
      </c>
      <c r="N176" t="s">
        <v>331</v>
      </c>
      <c r="O176" t="s">
        <v>64</v>
      </c>
      <c r="P176" t="s">
        <v>65</v>
      </c>
      <c r="Q176" t="s">
        <v>87</v>
      </c>
      <c r="R176" t="s">
        <v>248</v>
      </c>
      <c r="S176">
        <v>5000000</v>
      </c>
      <c r="T176">
        <v>-542419.91</v>
      </c>
      <c r="U176" t="s">
        <v>68</v>
      </c>
      <c r="V176" t="s">
        <v>642</v>
      </c>
      <c r="W176" s="9">
        <v>60602554</v>
      </c>
      <c r="X176" t="s">
        <v>664</v>
      </c>
      <c r="Y176" s="1">
        <v>46058</v>
      </c>
      <c r="Z176" s="1">
        <v>46118</v>
      </c>
      <c r="AA176" s="2">
        <v>130087.57</v>
      </c>
      <c r="AB176" s="2">
        <v>110243.7</v>
      </c>
      <c r="AC176" s="2">
        <v>19843.87</v>
      </c>
      <c r="AD176" s="2">
        <v>130087.57</v>
      </c>
      <c r="AE176" t="s">
        <v>666</v>
      </c>
      <c r="AF176" t="s">
        <v>72</v>
      </c>
      <c r="AG176">
        <v>-40</v>
      </c>
      <c r="AH176" t="s">
        <v>117</v>
      </c>
      <c r="AI176" t="s">
        <v>74</v>
      </c>
      <c r="AJ176" t="s">
        <v>127</v>
      </c>
      <c r="AK176" t="s">
        <v>334</v>
      </c>
      <c r="AL176" t="s">
        <v>118</v>
      </c>
      <c r="AM176" t="s">
        <v>78</v>
      </c>
      <c r="AN176" t="s">
        <v>79</v>
      </c>
      <c r="AO176" t="s">
        <v>119</v>
      </c>
      <c r="AP176" t="s">
        <v>46</v>
      </c>
      <c r="AQ176" t="s">
        <v>335</v>
      </c>
      <c r="AR176" t="str">
        <f t="shared" si="4"/>
        <v>60602554.SPMINAM</v>
      </c>
      <c r="AS176">
        <f t="shared" si="5"/>
        <v>289812.79000000004</v>
      </c>
      <c r="AT176" t="s">
        <v>82</v>
      </c>
    </row>
    <row r="177" spans="1:46" x14ac:dyDescent="0.35">
      <c r="A177" t="s">
        <v>52</v>
      </c>
      <c r="B177" t="s">
        <v>53</v>
      </c>
      <c r="C177" t="s">
        <v>54</v>
      </c>
      <c r="D177" t="s">
        <v>55</v>
      </c>
      <c r="E177" t="s">
        <v>56</v>
      </c>
      <c r="F177" t="s">
        <v>637</v>
      </c>
      <c r="G177" t="s">
        <v>667</v>
      </c>
      <c r="H177" t="s">
        <v>56</v>
      </c>
      <c r="I177" t="s">
        <v>668</v>
      </c>
      <c r="J177" t="s">
        <v>61</v>
      </c>
      <c r="K177" t="s">
        <v>640</v>
      </c>
      <c r="L177" t="s">
        <v>56</v>
      </c>
      <c r="M177" t="s">
        <v>56</v>
      </c>
      <c r="N177" t="s">
        <v>254</v>
      </c>
      <c r="O177" t="s">
        <v>64</v>
      </c>
      <c r="P177" t="s">
        <v>65</v>
      </c>
      <c r="Q177" t="s">
        <v>87</v>
      </c>
      <c r="R177" t="s">
        <v>248</v>
      </c>
      <c r="S177">
        <v>5000000</v>
      </c>
      <c r="T177">
        <v>-542419.91</v>
      </c>
      <c r="U177" t="s">
        <v>68</v>
      </c>
      <c r="V177" t="s">
        <v>642</v>
      </c>
      <c r="W177" s="9">
        <v>60602554</v>
      </c>
      <c r="X177" t="s">
        <v>669</v>
      </c>
      <c r="Y177" s="1">
        <v>46058</v>
      </c>
      <c r="Z177" s="1">
        <v>46118</v>
      </c>
      <c r="AA177" s="2">
        <v>499004.72</v>
      </c>
      <c r="AB177" s="2">
        <v>422885.36</v>
      </c>
      <c r="AC177" s="2">
        <v>76119.360000000001</v>
      </c>
      <c r="AD177" s="2">
        <v>499004.72</v>
      </c>
      <c r="AE177" t="s">
        <v>670</v>
      </c>
      <c r="AF177" t="s">
        <v>72</v>
      </c>
      <c r="AG177">
        <v>-40</v>
      </c>
      <c r="AH177" t="s">
        <v>117</v>
      </c>
      <c r="AI177" t="s">
        <v>74</v>
      </c>
      <c r="AJ177" t="s">
        <v>75</v>
      </c>
      <c r="AK177" t="s">
        <v>76</v>
      </c>
      <c r="AL177" t="s">
        <v>118</v>
      </c>
      <c r="AM177" t="s">
        <v>78</v>
      </c>
      <c r="AN177" t="s">
        <v>79</v>
      </c>
      <c r="AO177" t="s">
        <v>119</v>
      </c>
      <c r="AP177" t="s">
        <v>46</v>
      </c>
      <c r="AQ177" t="s">
        <v>81</v>
      </c>
      <c r="AR177" t="str">
        <f t="shared" si="4"/>
        <v>60602554.STATAM</v>
      </c>
      <c r="AS177">
        <f t="shared" si="5"/>
        <v>4437747.5000000009</v>
      </c>
      <c r="AT177" t="s">
        <v>82</v>
      </c>
    </row>
    <row r="178" spans="1:46" x14ac:dyDescent="0.35">
      <c r="A178" t="s">
        <v>52</v>
      </c>
      <c r="B178" t="s">
        <v>53</v>
      </c>
      <c r="C178" t="s">
        <v>54</v>
      </c>
      <c r="D178" t="s">
        <v>55</v>
      </c>
      <c r="E178" t="s">
        <v>56</v>
      </c>
      <c r="F178" t="s">
        <v>637</v>
      </c>
      <c r="G178" t="s">
        <v>671</v>
      </c>
      <c r="H178" t="s">
        <v>56</v>
      </c>
      <c r="I178" t="s">
        <v>672</v>
      </c>
      <c r="J178" t="s">
        <v>61</v>
      </c>
      <c r="K178" t="s">
        <v>640</v>
      </c>
      <c r="L178" t="s">
        <v>56</v>
      </c>
      <c r="M178" t="s">
        <v>56</v>
      </c>
      <c r="N178" t="s">
        <v>261</v>
      </c>
      <c r="O178" t="s">
        <v>64</v>
      </c>
      <c r="P178" t="s">
        <v>65</v>
      </c>
      <c r="Q178" t="s">
        <v>87</v>
      </c>
      <c r="R178" t="s">
        <v>248</v>
      </c>
      <c r="S178">
        <v>5000000</v>
      </c>
      <c r="T178">
        <v>-542419.91</v>
      </c>
      <c r="U178" t="s">
        <v>68</v>
      </c>
      <c r="V178" t="s">
        <v>642</v>
      </c>
      <c r="W178" s="9">
        <v>60602554</v>
      </c>
      <c r="X178" t="s">
        <v>673</v>
      </c>
      <c r="Y178" s="1">
        <v>46058</v>
      </c>
      <c r="Z178" s="1">
        <v>46118</v>
      </c>
      <c r="AA178" s="2">
        <v>317814.12</v>
      </c>
      <c r="AB178" s="2">
        <v>269334</v>
      </c>
      <c r="AC178" s="2">
        <v>48480.12</v>
      </c>
      <c r="AD178" s="2">
        <v>317814.12</v>
      </c>
      <c r="AE178" t="s">
        <v>674</v>
      </c>
      <c r="AF178" t="s">
        <v>72</v>
      </c>
      <c r="AG178">
        <v>-40</v>
      </c>
      <c r="AH178" t="s">
        <v>117</v>
      </c>
      <c r="AI178" t="s">
        <v>74</v>
      </c>
      <c r="AJ178" t="s">
        <v>75</v>
      </c>
      <c r="AK178" t="s">
        <v>76</v>
      </c>
      <c r="AL178" t="s">
        <v>118</v>
      </c>
      <c r="AM178" t="s">
        <v>78</v>
      </c>
      <c r="AN178" t="s">
        <v>79</v>
      </c>
      <c r="AO178" t="s">
        <v>119</v>
      </c>
      <c r="AP178" t="s">
        <v>46</v>
      </c>
      <c r="AQ178" t="s">
        <v>81</v>
      </c>
      <c r="AR178" t="str">
        <f t="shared" si="4"/>
        <v>60602554.STATAM</v>
      </c>
      <c r="AS178">
        <f t="shared" si="5"/>
        <v>4437747.5000000009</v>
      </c>
      <c r="AT178" t="s">
        <v>82</v>
      </c>
    </row>
    <row r="179" spans="1:46" x14ac:dyDescent="0.35">
      <c r="A179" t="s">
        <v>52</v>
      </c>
      <c r="B179" t="s">
        <v>53</v>
      </c>
      <c r="C179" t="s">
        <v>54</v>
      </c>
      <c r="D179" t="s">
        <v>55</v>
      </c>
      <c r="E179" t="s">
        <v>56</v>
      </c>
      <c r="F179" t="s">
        <v>637</v>
      </c>
      <c r="G179" t="s">
        <v>675</v>
      </c>
      <c r="H179" t="s">
        <v>56</v>
      </c>
      <c r="I179" t="s">
        <v>676</v>
      </c>
      <c r="J179" t="s">
        <v>61</v>
      </c>
      <c r="K179" t="s">
        <v>640</v>
      </c>
      <c r="L179" t="s">
        <v>56</v>
      </c>
      <c r="M179" t="s">
        <v>56</v>
      </c>
      <c r="N179" t="s">
        <v>252</v>
      </c>
      <c r="O179" t="s">
        <v>64</v>
      </c>
      <c r="P179" t="s">
        <v>65</v>
      </c>
      <c r="Q179" t="s">
        <v>87</v>
      </c>
      <c r="R179" t="s">
        <v>248</v>
      </c>
      <c r="S179">
        <v>5000000</v>
      </c>
      <c r="T179">
        <v>-542419.91</v>
      </c>
      <c r="U179" t="s">
        <v>68</v>
      </c>
      <c r="V179" t="s">
        <v>642</v>
      </c>
      <c r="W179" s="9">
        <v>60602554</v>
      </c>
      <c r="X179" t="s">
        <v>677</v>
      </c>
      <c r="Y179" s="1">
        <v>46058</v>
      </c>
      <c r="Z179" s="1">
        <v>46118</v>
      </c>
      <c r="AA179" s="2">
        <v>18032.48</v>
      </c>
      <c r="AB179" s="2">
        <v>15281.76</v>
      </c>
      <c r="AC179" s="2">
        <v>2750.72</v>
      </c>
      <c r="AD179" s="2">
        <v>18032.48</v>
      </c>
      <c r="AE179" t="s">
        <v>678</v>
      </c>
      <c r="AF179" t="s">
        <v>72</v>
      </c>
      <c r="AG179">
        <v>-40</v>
      </c>
      <c r="AH179" t="s">
        <v>117</v>
      </c>
      <c r="AI179" t="s">
        <v>74</v>
      </c>
      <c r="AJ179" t="s">
        <v>75</v>
      </c>
      <c r="AK179" t="s">
        <v>76</v>
      </c>
      <c r="AL179" t="s">
        <v>118</v>
      </c>
      <c r="AM179" t="s">
        <v>78</v>
      </c>
      <c r="AN179" t="s">
        <v>79</v>
      </c>
      <c r="AO179" t="s">
        <v>119</v>
      </c>
      <c r="AP179" t="s">
        <v>46</v>
      </c>
      <c r="AQ179" t="s">
        <v>81</v>
      </c>
      <c r="AR179" t="str">
        <f t="shared" si="4"/>
        <v>60602554.STATAM</v>
      </c>
      <c r="AS179">
        <f t="shared" si="5"/>
        <v>4437747.5000000009</v>
      </c>
      <c r="AT179" t="s">
        <v>82</v>
      </c>
    </row>
    <row r="180" spans="1:46" x14ac:dyDescent="0.35">
      <c r="A180" t="s">
        <v>52</v>
      </c>
      <c r="B180" t="s">
        <v>53</v>
      </c>
      <c r="C180" t="s">
        <v>54</v>
      </c>
      <c r="D180" t="s">
        <v>55</v>
      </c>
      <c r="E180" t="s">
        <v>56</v>
      </c>
      <c r="F180" t="s">
        <v>637</v>
      </c>
      <c r="G180" t="s">
        <v>675</v>
      </c>
      <c r="H180" t="s">
        <v>56</v>
      </c>
      <c r="I180" t="s">
        <v>676</v>
      </c>
      <c r="J180" t="s">
        <v>61</v>
      </c>
      <c r="K180" t="s">
        <v>640</v>
      </c>
      <c r="L180" t="s">
        <v>56</v>
      </c>
      <c r="M180" t="s">
        <v>56</v>
      </c>
      <c r="N180" t="s">
        <v>261</v>
      </c>
      <c r="O180" t="s">
        <v>64</v>
      </c>
      <c r="P180" t="s">
        <v>65</v>
      </c>
      <c r="Q180" t="s">
        <v>87</v>
      </c>
      <c r="R180" t="s">
        <v>248</v>
      </c>
      <c r="S180">
        <v>5000000</v>
      </c>
      <c r="T180">
        <v>-542419.91</v>
      </c>
      <c r="U180" t="s">
        <v>68</v>
      </c>
      <c r="V180" t="s">
        <v>642</v>
      </c>
      <c r="W180" s="9">
        <v>60602554</v>
      </c>
      <c r="X180" t="s">
        <v>677</v>
      </c>
      <c r="Y180" s="1">
        <v>46058</v>
      </c>
      <c r="Z180" s="1">
        <v>46118</v>
      </c>
      <c r="AA180" s="2">
        <v>15863.09</v>
      </c>
      <c r="AB180" s="2">
        <v>13443.3</v>
      </c>
      <c r="AC180" s="2">
        <v>2419.79</v>
      </c>
      <c r="AD180" s="2">
        <v>15863.09</v>
      </c>
      <c r="AE180" t="s">
        <v>679</v>
      </c>
      <c r="AF180" t="s">
        <v>72</v>
      </c>
      <c r="AG180">
        <v>-40</v>
      </c>
      <c r="AH180" t="s">
        <v>117</v>
      </c>
      <c r="AI180" t="s">
        <v>74</v>
      </c>
      <c r="AJ180" t="s">
        <v>75</v>
      </c>
      <c r="AK180" t="s">
        <v>76</v>
      </c>
      <c r="AL180" t="s">
        <v>118</v>
      </c>
      <c r="AM180" t="s">
        <v>78</v>
      </c>
      <c r="AN180" t="s">
        <v>79</v>
      </c>
      <c r="AO180" t="s">
        <v>119</v>
      </c>
      <c r="AP180" t="s">
        <v>46</v>
      </c>
      <c r="AQ180" t="s">
        <v>81</v>
      </c>
      <c r="AR180" t="str">
        <f t="shared" si="4"/>
        <v>60602554.STATAM</v>
      </c>
      <c r="AS180">
        <f t="shared" si="5"/>
        <v>4437747.5000000009</v>
      </c>
      <c r="AT180" t="s">
        <v>82</v>
      </c>
    </row>
    <row r="181" spans="1:46" x14ac:dyDescent="0.35">
      <c r="A181" t="s">
        <v>52</v>
      </c>
      <c r="B181" t="s">
        <v>53</v>
      </c>
      <c r="C181" t="s">
        <v>54</v>
      </c>
      <c r="D181" t="s">
        <v>55</v>
      </c>
      <c r="E181" t="s">
        <v>56</v>
      </c>
      <c r="F181" t="s">
        <v>637</v>
      </c>
      <c r="G181" t="s">
        <v>675</v>
      </c>
      <c r="H181" t="s">
        <v>56</v>
      </c>
      <c r="I181" t="s">
        <v>676</v>
      </c>
      <c r="J181" t="s">
        <v>61</v>
      </c>
      <c r="K181" t="s">
        <v>640</v>
      </c>
      <c r="L181" t="s">
        <v>56</v>
      </c>
      <c r="M181" t="s">
        <v>56</v>
      </c>
      <c r="N181" t="s">
        <v>680</v>
      </c>
      <c r="O181" t="s">
        <v>64</v>
      </c>
      <c r="P181" t="s">
        <v>65</v>
      </c>
      <c r="Q181" t="s">
        <v>87</v>
      </c>
      <c r="R181" t="s">
        <v>248</v>
      </c>
      <c r="S181">
        <v>5000000</v>
      </c>
      <c r="T181">
        <v>-542419.91</v>
      </c>
      <c r="U181" t="s">
        <v>68</v>
      </c>
      <c r="V181" t="s">
        <v>642</v>
      </c>
      <c r="W181" s="9">
        <v>60602554</v>
      </c>
      <c r="X181" t="s">
        <v>677</v>
      </c>
      <c r="Y181" s="1">
        <v>46058</v>
      </c>
      <c r="Z181" s="1">
        <v>46118</v>
      </c>
      <c r="AA181" s="2">
        <v>55870.12</v>
      </c>
      <c r="AB181" s="2">
        <v>47347.56</v>
      </c>
      <c r="AC181" s="2">
        <v>8522.56</v>
      </c>
      <c r="AD181" s="2">
        <v>55870.12</v>
      </c>
      <c r="AE181" t="s">
        <v>681</v>
      </c>
      <c r="AF181" t="s">
        <v>72</v>
      </c>
      <c r="AG181">
        <v>-40</v>
      </c>
      <c r="AH181" t="s">
        <v>117</v>
      </c>
      <c r="AI181" t="s">
        <v>74</v>
      </c>
      <c r="AJ181" t="s">
        <v>127</v>
      </c>
      <c r="AK181" t="s">
        <v>334</v>
      </c>
      <c r="AL181" t="s">
        <v>118</v>
      </c>
      <c r="AM181" t="s">
        <v>78</v>
      </c>
      <c r="AN181" t="s">
        <v>79</v>
      </c>
      <c r="AO181" t="s">
        <v>119</v>
      </c>
      <c r="AP181" t="s">
        <v>46</v>
      </c>
      <c r="AQ181" t="s">
        <v>335</v>
      </c>
      <c r="AR181" t="str">
        <f t="shared" si="4"/>
        <v>60602554.SPMINAM</v>
      </c>
      <c r="AS181">
        <f t="shared" si="5"/>
        <v>289812.79000000004</v>
      </c>
      <c r="AT181" t="s">
        <v>82</v>
      </c>
    </row>
    <row r="182" spans="1:46" x14ac:dyDescent="0.35">
      <c r="A182" t="s">
        <v>52</v>
      </c>
      <c r="B182" t="s">
        <v>53</v>
      </c>
      <c r="C182" t="s">
        <v>54</v>
      </c>
      <c r="D182" t="s">
        <v>55</v>
      </c>
      <c r="E182" t="s">
        <v>56</v>
      </c>
      <c r="F182" t="s">
        <v>637</v>
      </c>
      <c r="G182" t="s">
        <v>675</v>
      </c>
      <c r="H182" t="s">
        <v>56</v>
      </c>
      <c r="I182" t="s">
        <v>676</v>
      </c>
      <c r="J182" t="s">
        <v>61</v>
      </c>
      <c r="K182" t="s">
        <v>640</v>
      </c>
      <c r="L182" t="s">
        <v>56</v>
      </c>
      <c r="M182" t="s">
        <v>56</v>
      </c>
      <c r="N182" t="s">
        <v>682</v>
      </c>
      <c r="O182" t="s">
        <v>64</v>
      </c>
      <c r="P182" t="s">
        <v>65</v>
      </c>
      <c r="Q182" t="s">
        <v>87</v>
      </c>
      <c r="R182" t="s">
        <v>248</v>
      </c>
      <c r="S182">
        <v>5000000</v>
      </c>
      <c r="T182">
        <v>-542419.91</v>
      </c>
      <c r="U182" t="s">
        <v>68</v>
      </c>
      <c r="V182" t="s">
        <v>642</v>
      </c>
      <c r="W182" s="9">
        <v>60602554</v>
      </c>
      <c r="X182" t="s">
        <v>677</v>
      </c>
      <c r="Y182" s="1">
        <v>46058</v>
      </c>
      <c r="Z182" s="1">
        <v>46118</v>
      </c>
      <c r="AA182" s="2">
        <v>386.57</v>
      </c>
      <c r="AB182" s="2">
        <v>327.60000000000002</v>
      </c>
      <c r="AC182" s="2">
        <v>58.97</v>
      </c>
      <c r="AD182" s="2">
        <v>386.57</v>
      </c>
      <c r="AE182" t="s">
        <v>683</v>
      </c>
      <c r="AF182" t="s">
        <v>72</v>
      </c>
      <c r="AG182">
        <v>-40</v>
      </c>
      <c r="AH182" t="s">
        <v>117</v>
      </c>
      <c r="AI182" t="s">
        <v>74</v>
      </c>
      <c r="AJ182" t="s">
        <v>127</v>
      </c>
      <c r="AK182" t="s">
        <v>334</v>
      </c>
      <c r="AL182" t="s">
        <v>118</v>
      </c>
      <c r="AM182" t="s">
        <v>78</v>
      </c>
      <c r="AN182" t="s">
        <v>79</v>
      </c>
      <c r="AO182" t="s">
        <v>119</v>
      </c>
      <c r="AP182" t="s">
        <v>46</v>
      </c>
      <c r="AQ182" t="s">
        <v>335</v>
      </c>
      <c r="AR182" t="str">
        <f t="shared" si="4"/>
        <v>60602554.SPMINAM</v>
      </c>
      <c r="AS182">
        <f t="shared" si="5"/>
        <v>289812.79000000004</v>
      </c>
      <c r="AT182" t="s">
        <v>82</v>
      </c>
    </row>
    <row r="183" spans="1:46" x14ac:dyDescent="0.35">
      <c r="A183" t="s">
        <v>52</v>
      </c>
      <c r="B183" t="s">
        <v>53</v>
      </c>
      <c r="C183" t="s">
        <v>54</v>
      </c>
      <c r="D183" t="s">
        <v>55</v>
      </c>
      <c r="E183" t="s">
        <v>56</v>
      </c>
      <c r="F183" t="s">
        <v>637</v>
      </c>
      <c r="G183" t="s">
        <v>684</v>
      </c>
      <c r="H183" t="s">
        <v>56</v>
      </c>
      <c r="I183" t="s">
        <v>685</v>
      </c>
      <c r="J183" t="s">
        <v>61</v>
      </c>
      <c r="K183" t="s">
        <v>640</v>
      </c>
      <c r="L183" t="s">
        <v>56</v>
      </c>
      <c r="M183" t="s">
        <v>56</v>
      </c>
      <c r="N183" t="s">
        <v>254</v>
      </c>
      <c r="O183" t="s">
        <v>64</v>
      </c>
      <c r="P183" t="s">
        <v>65</v>
      </c>
      <c r="Q183" t="s">
        <v>641</v>
      </c>
      <c r="R183" t="s">
        <v>248</v>
      </c>
      <c r="S183">
        <v>5000000</v>
      </c>
      <c r="T183">
        <v>-542419.91</v>
      </c>
      <c r="U183" t="s">
        <v>68</v>
      </c>
      <c r="V183" t="s">
        <v>642</v>
      </c>
      <c r="W183" s="9">
        <v>60602554</v>
      </c>
      <c r="X183" t="s">
        <v>686</v>
      </c>
      <c r="Y183" s="1">
        <v>46060</v>
      </c>
      <c r="Z183" s="1">
        <v>46120</v>
      </c>
      <c r="AA183" s="2">
        <v>622497.19999999995</v>
      </c>
      <c r="AB183" s="2">
        <v>527540</v>
      </c>
      <c r="AC183" s="2">
        <v>94957.2</v>
      </c>
      <c r="AD183" s="2">
        <v>622497.19999999995</v>
      </c>
      <c r="AE183" t="s">
        <v>687</v>
      </c>
      <c r="AF183" t="s">
        <v>72</v>
      </c>
      <c r="AG183">
        <v>-42</v>
      </c>
      <c r="AH183" t="s">
        <v>117</v>
      </c>
      <c r="AI183" t="s">
        <v>74</v>
      </c>
      <c r="AJ183" t="s">
        <v>75</v>
      </c>
      <c r="AK183" t="s">
        <v>76</v>
      </c>
      <c r="AL183" t="s">
        <v>118</v>
      </c>
      <c r="AM183" t="s">
        <v>78</v>
      </c>
      <c r="AN183" t="s">
        <v>79</v>
      </c>
      <c r="AO183" t="s">
        <v>119</v>
      </c>
      <c r="AP183" t="s">
        <v>46</v>
      </c>
      <c r="AQ183" t="s">
        <v>81</v>
      </c>
      <c r="AR183" t="str">
        <f t="shared" si="4"/>
        <v>60602554.STATAM</v>
      </c>
      <c r="AS183">
        <f t="shared" si="5"/>
        <v>4437747.5000000009</v>
      </c>
      <c r="AT183" t="s">
        <v>82</v>
      </c>
    </row>
    <row r="184" spans="1:46" x14ac:dyDescent="0.35">
      <c r="A184" t="s">
        <v>52</v>
      </c>
      <c r="B184" t="s">
        <v>53</v>
      </c>
      <c r="C184" t="s">
        <v>54</v>
      </c>
      <c r="D184" t="s">
        <v>55</v>
      </c>
      <c r="E184" t="s">
        <v>56</v>
      </c>
      <c r="F184" t="s">
        <v>637</v>
      </c>
      <c r="G184" t="s">
        <v>688</v>
      </c>
      <c r="H184" t="s">
        <v>56</v>
      </c>
      <c r="I184" t="s">
        <v>689</v>
      </c>
      <c r="J184" t="s">
        <v>61</v>
      </c>
      <c r="K184" t="s">
        <v>640</v>
      </c>
      <c r="L184" t="s">
        <v>56</v>
      </c>
      <c r="M184" t="s">
        <v>56</v>
      </c>
      <c r="N184" t="s">
        <v>252</v>
      </c>
      <c r="O184" t="s">
        <v>64</v>
      </c>
      <c r="P184" t="s">
        <v>65</v>
      </c>
      <c r="Q184" t="s">
        <v>87</v>
      </c>
      <c r="R184" t="s">
        <v>248</v>
      </c>
      <c r="S184">
        <v>5000000</v>
      </c>
      <c r="T184">
        <v>-542419.91</v>
      </c>
      <c r="U184" t="s">
        <v>68</v>
      </c>
      <c r="V184" t="s">
        <v>642</v>
      </c>
      <c r="W184" s="9">
        <v>60602554</v>
      </c>
      <c r="X184" t="s">
        <v>690</v>
      </c>
      <c r="Y184" s="1">
        <v>46060</v>
      </c>
      <c r="Z184" s="1">
        <v>46120</v>
      </c>
      <c r="AA184" s="2">
        <v>8176.83</v>
      </c>
      <c r="AB184" s="2">
        <v>6929.52</v>
      </c>
      <c r="AC184" s="2">
        <v>1247.31</v>
      </c>
      <c r="AD184" s="2">
        <v>8176.83</v>
      </c>
      <c r="AE184" t="s">
        <v>691</v>
      </c>
      <c r="AF184" t="s">
        <v>72</v>
      </c>
      <c r="AG184">
        <v>-42</v>
      </c>
      <c r="AH184" t="s">
        <v>117</v>
      </c>
      <c r="AI184" t="s">
        <v>74</v>
      </c>
      <c r="AJ184" t="s">
        <v>75</v>
      </c>
      <c r="AK184" t="s">
        <v>76</v>
      </c>
      <c r="AL184" t="s">
        <v>118</v>
      </c>
      <c r="AM184" t="s">
        <v>78</v>
      </c>
      <c r="AN184" t="s">
        <v>79</v>
      </c>
      <c r="AO184" t="s">
        <v>119</v>
      </c>
      <c r="AP184" t="s">
        <v>46</v>
      </c>
      <c r="AQ184" t="s">
        <v>81</v>
      </c>
      <c r="AR184" t="str">
        <f t="shared" si="4"/>
        <v>60602554.STATAM</v>
      </c>
      <c r="AS184">
        <f t="shared" si="5"/>
        <v>4437747.5000000009</v>
      </c>
      <c r="AT184" t="s">
        <v>82</v>
      </c>
    </row>
    <row r="185" spans="1:46" x14ac:dyDescent="0.35">
      <c r="A185" t="s">
        <v>52</v>
      </c>
      <c r="B185" t="s">
        <v>53</v>
      </c>
      <c r="C185" t="s">
        <v>54</v>
      </c>
      <c r="D185" t="s">
        <v>55</v>
      </c>
      <c r="E185" t="s">
        <v>56</v>
      </c>
      <c r="F185" t="s">
        <v>637</v>
      </c>
      <c r="G185" t="s">
        <v>675</v>
      </c>
      <c r="H185" t="s">
        <v>56</v>
      </c>
      <c r="I185" t="s">
        <v>692</v>
      </c>
      <c r="J185" t="s">
        <v>61</v>
      </c>
      <c r="K185" t="s">
        <v>640</v>
      </c>
      <c r="L185" t="s">
        <v>56</v>
      </c>
      <c r="M185" t="s">
        <v>56</v>
      </c>
      <c r="N185" t="s">
        <v>682</v>
      </c>
      <c r="O185" t="s">
        <v>64</v>
      </c>
      <c r="P185" t="s">
        <v>65</v>
      </c>
      <c r="Q185" t="s">
        <v>87</v>
      </c>
      <c r="R185" t="s">
        <v>248</v>
      </c>
      <c r="S185">
        <v>5000000</v>
      </c>
      <c r="T185">
        <v>-542419.91</v>
      </c>
      <c r="U185" t="s">
        <v>68</v>
      </c>
      <c r="V185" t="s">
        <v>642</v>
      </c>
      <c r="W185" s="9">
        <v>60602554</v>
      </c>
      <c r="X185" t="s">
        <v>693</v>
      </c>
      <c r="Y185" s="1">
        <v>46060</v>
      </c>
      <c r="Z185" s="1">
        <v>46120</v>
      </c>
      <c r="AA185" s="2">
        <v>994.03</v>
      </c>
      <c r="AB185" s="2">
        <v>842.4</v>
      </c>
      <c r="AC185" s="2">
        <v>151.63</v>
      </c>
      <c r="AD185" s="2">
        <v>994.03</v>
      </c>
      <c r="AE185" t="s">
        <v>694</v>
      </c>
      <c r="AF185" t="s">
        <v>72</v>
      </c>
      <c r="AG185">
        <v>-42</v>
      </c>
      <c r="AH185" t="s">
        <v>117</v>
      </c>
      <c r="AI185" t="s">
        <v>74</v>
      </c>
      <c r="AJ185" t="s">
        <v>127</v>
      </c>
      <c r="AK185" t="s">
        <v>334</v>
      </c>
      <c r="AL185" t="s">
        <v>118</v>
      </c>
      <c r="AM185" t="s">
        <v>78</v>
      </c>
      <c r="AN185" t="s">
        <v>79</v>
      </c>
      <c r="AO185" t="s">
        <v>119</v>
      </c>
      <c r="AP185" t="s">
        <v>46</v>
      </c>
      <c r="AQ185" t="s">
        <v>335</v>
      </c>
      <c r="AR185" t="str">
        <f t="shared" si="4"/>
        <v>60602554.SPMINAM</v>
      </c>
      <c r="AS185">
        <f t="shared" si="5"/>
        <v>289812.79000000004</v>
      </c>
      <c r="AT185" t="s">
        <v>82</v>
      </c>
    </row>
    <row r="186" spans="1:46" x14ac:dyDescent="0.35">
      <c r="A186" t="s">
        <v>52</v>
      </c>
      <c r="B186" t="s">
        <v>53</v>
      </c>
      <c r="C186" t="s">
        <v>54</v>
      </c>
      <c r="D186" t="s">
        <v>55</v>
      </c>
      <c r="E186" t="s">
        <v>56</v>
      </c>
      <c r="F186" t="s">
        <v>637</v>
      </c>
      <c r="G186" t="s">
        <v>695</v>
      </c>
      <c r="H186" t="s">
        <v>56</v>
      </c>
      <c r="I186" t="s">
        <v>696</v>
      </c>
      <c r="J186" t="s">
        <v>61</v>
      </c>
      <c r="K186" t="s">
        <v>640</v>
      </c>
      <c r="L186" t="s">
        <v>56</v>
      </c>
      <c r="M186" t="s">
        <v>56</v>
      </c>
      <c r="N186" t="s">
        <v>252</v>
      </c>
      <c r="O186" t="s">
        <v>64</v>
      </c>
      <c r="P186" t="s">
        <v>65</v>
      </c>
      <c r="Q186" t="s">
        <v>87</v>
      </c>
      <c r="R186" t="s">
        <v>248</v>
      </c>
      <c r="S186">
        <v>5000000</v>
      </c>
      <c r="T186">
        <v>-542419.91</v>
      </c>
      <c r="U186" t="s">
        <v>68</v>
      </c>
      <c r="V186" t="s">
        <v>642</v>
      </c>
      <c r="W186" s="9">
        <v>60602554</v>
      </c>
      <c r="X186" t="s">
        <v>697</v>
      </c>
      <c r="Y186" s="1">
        <v>46063</v>
      </c>
      <c r="Z186" s="1">
        <v>46123</v>
      </c>
      <c r="AA186" s="2">
        <v>187293.85</v>
      </c>
      <c r="AB186" s="2">
        <v>158723.6</v>
      </c>
      <c r="AC186" s="2">
        <v>28570.25</v>
      </c>
      <c r="AD186" s="2">
        <v>187293.85</v>
      </c>
      <c r="AE186" t="s">
        <v>698</v>
      </c>
      <c r="AF186" t="s">
        <v>72</v>
      </c>
      <c r="AG186">
        <v>-45</v>
      </c>
      <c r="AH186" t="s">
        <v>117</v>
      </c>
      <c r="AI186" t="s">
        <v>74</v>
      </c>
      <c r="AJ186" t="s">
        <v>75</v>
      </c>
      <c r="AK186" t="s">
        <v>76</v>
      </c>
      <c r="AL186" t="s">
        <v>118</v>
      </c>
      <c r="AM186" t="s">
        <v>78</v>
      </c>
      <c r="AN186" t="s">
        <v>79</v>
      </c>
      <c r="AO186" t="s">
        <v>119</v>
      </c>
      <c r="AP186" t="s">
        <v>46</v>
      </c>
      <c r="AQ186" t="s">
        <v>81</v>
      </c>
      <c r="AR186" t="str">
        <f t="shared" si="4"/>
        <v>60602554.STATAM</v>
      </c>
      <c r="AS186">
        <f t="shared" si="5"/>
        <v>4437747.5000000009</v>
      </c>
      <c r="AT186" t="s">
        <v>82</v>
      </c>
    </row>
    <row r="187" spans="1:46" x14ac:dyDescent="0.35">
      <c r="A187" t="s">
        <v>52</v>
      </c>
      <c r="B187" t="s">
        <v>53</v>
      </c>
      <c r="C187" t="s">
        <v>54</v>
      </c>
      <c r="D187" t="s">
        <v>55</v>
      </c>
      <c r="E187" t="s">
        <v>56</v>
      </c>
      <c r="F187" t="s">
        <v>637</v>
      </c>
      <c r="G187" t="s">
        <v>699</v>
      </c>
      <c r="H187" t="s">
        <v>56</v>
      </c>
      <c r="I187" t="s">
        <v>700</v>
      </c>
      <c r="J187" t="s">
        <v>61</v>
      </c>
      <c r="K187" t="s">
        <v>640</v>
      </c>
      <c r="L187" t="s">
        <v>56</v>
      </c>
      <c r="M187" t="s">
        <v>56</v>
      </c>
      <c r="N187" t="s">
        <v>254</v>
      </c>
      <c r="O187" t="s">
        <v>64</v>
      </c>
      <c r="P187" t="s">
        <v>65</v>
      </c>
      <c r="Q187" t="s">
        <v>641</v>
      </c>
      <c r="R187" t="s">
        <v>248</v>
      </c>
      <c r="S187">
        <v>5000000</v>
      </c>
      <c r="T187">
        <v>-542419.91</v>
      </c>
      <c r="U187" t="s">
        <v>68</v>
      </c>
      <c r="V187" t="s">
        <v>642</v>
      </c>
      <c r="W187" s="9">
        <v>60602554</v>
      </c>
      <c r="X187" t="s">
        <v>701</v>
      </c>
      <c r="Y187" s="1">
        <v>46063</v>
      </c>
      <c r="Z187" s="1">
        <v>46123</v>
      </c>
      <c r="AA187" s="2">
        <v>470828.26</v>
      </c>
      <c r="AB187" s="2">
        <v>399007</v>
      </c>
      <c r="AC187" s="2">
        <v>71821.259999999995</v>
      </c>
      <c r="AD187" s="2">
        <v>470828.26</v>
      </c>
      <c r="AE187" t="s">
        <v>702</v>
      </c>
      <c r="AF187" t="s">
        <v>72</v>
      </c>
      <c r="AG187">
        <v>-45</v>
      </c>
      <c r="AH187" t="s">
        <v>117</v>
      </c>
      <c r="AI187" t="s">
        <v>74</v>
      </c>
      <c r="AJ187" t="s">
        <v>75</v>
      </c>
      <c r="AK187" t="s">
        <v>76</v>
      </c>
      <c r="AL187" t="s">
        <v>118</v>
      </c>
      <c r="AM187" t="s">
        <v>78</v>
      </c>
      <c r="AN187" t="s">
        <v>79</v>
      </c>
      <c r="AO187" t="s">
        <v>119</v>
      </c>
      <c r="AP187" t="s">
        <v>46</v>
      </c>
      <c r="AQ187" t="s">
        <v>81</v>
      </c>
      <c r="AR187" t="str">
        <f t="shared" si="4"/>
        <v>60602554.STATAM</v>
      </c>
      <c r="AS187">
        <f t="shared" si="5"/>
        <v>4437747.5000000009</v>
      </c>
      <c r="AT187" t="s">
        <v>82</v>
      </c>
    </row>
    <row r="188" spans="1:46" x14ac:dyDescent="0.35">
      <c r="A188" t="s">
        <v>52</v>
      </c>
      <c r="B188" t="s">
        <v>53</v>
      </c>
      <c r="C188" t="s">
        <v>54</v>
      </c>
      <c r="D188" t="s">
        <v>55</v>
      </c>
      <c r="E188" t="s">
        <v>56</v>
      </c>
      <c r="F188" t="s">
        <v>637</v>
      </c>
      <c r="G188" t="s">
        <v>703</v>
      </c>
      <c r="H188" t="s">
        <v>56</v>
      </c>
      <c r="I188" t="s">
        <v>704</v>
      </c>
      <c r="J188" t="s">
        <v>61</v>
      </c>
      <c r="K188" t="s">
        <v>640</v>
      </c>
      <c r="L188" t="s">
        <v>56</v>
      </c>
      <c r="M188" t="s">
        <v>56</v>
      </c>
      <c r="N188" t="s">
        <v>261</v>
      </c>
      <c r="O188" t="s">
        <v>64</v>
      </c>
      <c r="P188" t="s">
        <v>65</v>
      </c>
      <c r="Q188" t="s">
        <v>87</v>
      </c>
      <c r="R188" t="s">
        <v>248</v>
      </c>
      <c r="S188">
        <v>5000000</v>
      </c>
      <c r="T188">
        <v>-542419.91</v>
      </c>
      <c r="U188" t="s">
        <v>68</v>
      </c>
      <c r="V188" t="s">
        <v>642</v>
      </c>
      <c r="W188" s="9">
        <v>60602554</v>
      </c>
      <c r="X188" t="s">
        <v>705</v>
      </c>
      <c r="Y188" s="1">
        <v>46063</v>
      </c>
      <c r="Z188" s="1">
        <v>46123</v>
      </c>
      <c r="AA188" s="2">
        <v>119463.32</v>
      </c>
      <c r="AB188" s="2">
        <v>101240.1</v>
      </c>
      <c r="AC188" s="2">
        <v>18223.22</v>
      </c>
      <c r="AD188" s="2">
        <v>119463.32</v>
      </c>
      <c r="AE188" t="s">
        <v>706</v>
      </c>
      <c r="AF188" t="s">
        <v>72</v>
      </c>
      <c r="AG188">
        <v>-45</v>
      </c>
      <c r="AH188" t="s">
        <v>117</v>
      </c>
      <c r="AI188" t="s">
        <v>74</v>
      </c>
      <c r="AJ188" t="s">
        <v>75</v>
      </c>
      <c r="AK188" t="s">
        <v>76</v>
      </c>
      <c r="AL188" t="s">
        <v>118</v>
      </c>
      <c r="AM188" t="s">
        <v>78</v>
      </c>
      <c r="AN188" t="s">
        <v>79</v>
      </c>
      <c r="AO188" t="s">
        <v>119</v>
      </c>
      <c r="AP188" t="s">
        <v>46</v>
      </c>
      <c r="AQ188" t="s">
        <v>81</v>
      </c>
      <c r="AR188" t="str">
        <f t="shared" si="4"/>
        <v>60602554.STATAM</v>
      </c>
      <c r="AS188">
        <f t="shared" si="5"/>
        <v>4437747.5000000009</v>
      </c>
      <c r="AT188" t="s">
        <v>82</v>
      </c>
    </row>
    <row r="189" spans="1:46" x14ac:dyDescent="0.35">
      <c r="A189" t="s">
        <v>52</v>
      </c>
      <c r="B189" t="s">
        <v>53</v>
      </c>
      <c r="C189" t="s">
        <v>54</v>
      </c>
      <c r="D189" t="s">
        <v>55</v>
      </c>
      <c r="E189" t="s">
        <v>56</v>
      </c>
      <c r="F189" t="s">
        <v>637</v>
      </c>
      <c r="G189" t="s">
        <v>703</v>
      </c>
      <c r="H189" t="s">
        <v>56</v>
      </c>
      <c r="I189" t="s">
        <v>707</v>
      </c>
      <c r="J189" t="s">
        <v>61</v>
      </c>
      <c r="K189" t="s">
        <v>640</v>
      </c>
      <c r="L189" t="s">
        <v>56</v>
      </c>
      <c r="M189" t="s">
        <v>56</v>
      </c>
      <c r="N189" t="s">
        <v>295</v>
      </c>
      <c r="O189" t="s">
        <v>64</v>
      </c>
      <c r="P189" t="s">
        <v>65</v>
      </c>
      <c r="Q189" t="s">
        <v>87</v>
      </c>
      <c r="R189" t="s">
        <v>248</v>
      </c>
      <c r="S189">
        <v>5000000</v>
      </c>
      <c r="T189">
        <v>-542419.91</v>
      </c>
      <c r="U189" t="s">
        <v>68</v>
      </c>
      <c r="V189" t="s">
        <v>642</v>
      </c>
      <c r="W189" s="9">
        <v>60602554</v>
      </c>
      <c r="X189" t="s">
        <v>708</v>
      </c>
      <c r="Y189" s="1">
        <v>46071</v>
      </c>
      <c r="Z189" s="1">
        <v>46131</v>
      </c>
      <c r="AA189" s="2">
        <v>37095.24</v>
      </c>
      <c r="AB189" s="2">
        <v>31436.639999999999</v>
      </c>
      <c r="AC189" s="2">
        <v>5658.6</v>
      </c>
      <c r="AD189" s="2">
        <v>37095.24</v>
      </c>
      <c r="AE189" t="s">
        <v>709</v>
      </c>
      <c r="AF189" t="s">
        <v>72</v>
      </c>
      <c r="AG189">
        <v>-53</v>
      </c>
      <c r="AH189" t="s">
        <v>117</v>
      </c>
      <c r="AI189" t="s">
        <v>74</v>
      </c>
      <c r="AJ189" t="s">
        <v>75</v>
      </c>
      <c r="AK189" t="s">
        <v>76</v>
      </c>
      <c r="AL189" t="s">
        <v>118</v>
      </c>
      <c r="AM189" t="s">
        <v>78</v>
      </c>
      <c r="AN189" t="s">
        <v>79</v>
      </c>
      <c r="AO189" t="s">
        <v>119</v>
      </c>
      <c r="AP189" t="s">
        <v>46</v>
      </c>
      <c r="AQ189" t="s">
        <v>81</v>
      </c>
      <c r="AR189" t="str">
        <f t="shared" si="4"/>
        <v>60602554.STATAM</v>
      </c>
      <c r="AS189">
        <f t="shared" si="5"/>
        <v>4437747.5000000009</v>
      </c>
      <c r="AT189" t="s">
        <v>82</v>
      </c>
    </row>
    <row r="190" spans="1:46" x14ac:dyDescent="0.35">
      <c r="A190" t="s">
        <v>52</v>
      </c>
      <c r="B190" t="s">
        <v>53</v>
      </c>
      <c r="C190" t="s">
        <v>54</v>
      </c>
      <c r="D190" t="s">
        <v>55</v>
      </c>
      <c r="E190" t="s">
        <v>56</v>
      </c>
      <c r="F190" t="s">
        <v>637</v>
      </c>
      <c r="G190" t="s">
        <v>703</v>
      </c>
      <c r="H190" t="s">
        <v>56</v>
      </c>
      <c r="I190" t="s">
        <v>710</v>
      </c>
      <c r="J190" t="s">
        <v>61</v>
      </c>
      <c r="K190" t="s">
        <v>640</v>
      </c>
      <c r="L190" t="s">
        <v>56</v>
      </c>
      <c r="M190" t="s">
        <v>56</v>
      </c>
      <c r="N190" t="s">
        <v>261</v>
      </c>
      <c r="O190" t="s">
        <v>64</v>
      </c>
      <c r="P190" t="s">
        <v>65</v>
      </c>
      <c r="Q190" t="s">
        <v>87</v>
      </c>
      <c r="R190" t="s">
        <v>248</v>
      </c>
      <c r="S190">
        <v>5000000</v>
      </c>
      <c r="T190">
        <v>-542419.91</v>
      </c>
      <c r="U190" t="s">
        <v>68</v>
      </c>
      <c r="V190" t="s">
        <v>642</v>
      </c>
      <c r="W190" s="9">
        <v>60602554</v>
      </c>
      <c r="X190" t="s">
        <v>711</v>
      </c>
      <c r="Y190" s="1">
        <v>46071</v>
      </c>
      <c r="Z190" s="1">
        <v>46131</v>
      </c>
      <c r="AA190" s="2">
        <v>119463.32</v>
      </c>
      <c r="AB190" s="2">
        <v>101240.1</v>
      </c>
      <c r="AC190" s="2">
        <v>18223.22</v>
      </c>
      <c r="AD190" s="2">
        <v>119463.32</v>
      </c>
      <c r="AE190" t="s">
        <v>712</v>
      </c>
      <c r="AF190" t="s">
        <v>72</v>
      </c>
      <c r="AG190">
        <v>-53</v>
      </c>
      <c r="AH190" t="s">
        <v>117</v>
      </c>
      <c r="AI190" t="s">
        <v>74</v>
      </c>
      <c r="AJ190" t="s">
        <v>75</v>
      </c>
      <c r="AK190" t="s">
        <v>76</v>
      </c>
      <c r="AL190" t="s">
        <v>118</v>
      </c>
      <c r="AM190" t="s">
        <v>78</v>
      </c>
      <c r="AN190" t="s">
        <v>79</v>
      </c>
      <c r="AO190" t="s">
        <v>119</v>
      </c>
      <c r="AP190" t="s">
        <v>46</v>
      </c>
      <c r="AQ190" t="s">
        <v>81</v>
      </c>
      <c r="AR190" t="str">
        <f t="shared" si="4"/>
        <v>60602554.STATAM</v>
      </c>
      <c r="AS190">
        <f t="shared" si="5"/>
        <v>4437747.5000000009</v>
      </c>
      <c r="AT190" t="s">
        <v>82</v>
      </c>
    </row>
    <row r="191" spans="1:46" x14ac:dyDescent="0.35">
      <c r="A191" t="s">
        <v>52</v>
      </c>
      <c r="B191" t="s">
        <v>53</v>
      </c>
      <c r="C191" t="s">
        <v>54</v>
      </c>
      <c r="D191" t="s">
        <v>55</v>
      </c>
      <c r="E191" t="s">
        <v>56</v>
      </c>
      <c r="F191" t="s">
        <v>637</v>
      </c>
      <c r="G191" t="s">
        <v>713</v>
      </c>
      <c r="H191" t="s">
        <v>56</v>
      </c>
      <c r="I191" t="s">
        <v>714</v>
      </c>
      <c r="J191" t="s">
        <v>61</v>
      </c>
      <c r="K191" t="s">
        <v>640</v>
      </c>
      <c r="L191" t="s">
        <v>56</v>
      </c>
      <c r="M191" t="s">
        <v>56</v>
      </c>
      <c r="N191" t="s">
        <v>244</v>
      </c>
      <c r="O191" t="s">
        <v>64</v>
      </c>
      <c r="P191" t="s">
        <v>65</v>
      </c>
      <c r="Q191" t="s">
        <v>641</v>
      </c>
      <c r="R191" t="s">
        <v>248</v>
      </c>
      <c r="S191">
        <v>5000000</v>
      </c>
      <c r="T191">
        <v>-542419.91</v>
      </c>
      <c r="U191" t="s">
        <v>68</v>
      </c>
      <c r="V191" t="s">
        <v>642</v>
      </c>
      <c r="W191" s="9">
        <v>60602554</v>
      </c>
      <c r="X191" t="s">
        <v>715</v>
      </c>
      <c r="Y191" s="1">
        <v>46071</v>
      </c>
      <c r="Z191" s="1">
        <v>46131</v>
      </c>
      <c r="AA191" s="2">
        <v>44153.24</v>
      </c>
      <c r="AB191" s="2">
        <v>37418</v>
      </c>
      <c r="AC191" s="2">
        <v>6735.24</v>
      </c>
      <c r="AD191" s="2">
        <v>44153.24</v>
      </c>
      <c r="AE191" t="s">
        <v>716</v>
      </c>
      <c r="AF191" t="s">
        <v>72</v>
      </c>
      <c r="AG191">
        <v>-53</v>
      </c>
      <c r="AH191" t="s">
        <v>117</v>
      </c>
      <c r="AI191" t="s">
        <v>74</v>
      </c>
      <c r="AJ191" t="s">
        <v>75</v>
      </c>
      <c r="AK191" t="s">
        <v>76</v>
      </c>
      <c r="AL191" t="s">
        <v>118</v>
      </c>
      <c r="AM191" t="s">
        <v>78</v>
      </c>
      <c r="AN191" t="s">
        <v>79</v>
      </c>
      <c r="AO191" t="s">
        <v>119</v>
      </c>
      <c r="AP191" t="s">
        <v>46</v>
      </c>
      <c r="AQ191" t="s">
        <v>81</v>
      </c>
      <c r="AR191" t="str">
        <f t="shared" si="4"/>
        <v>60602554.STATAM</v>
      </c>
      <c r="AS191">
        <f t="shared" si="5"/>
        <v>4437747.5000000009</v>
      </c>
      <c r="AT191" t="s">
        <v>82</v>
      </c>
    </row>
    <row r="192" spans="1:46" x14ac:dyDescent="0.35">
      <c r="A192" t="s">
        <v>52</v>
      </c>
      <c r="B192" t="s">
        <v>53</v>
      </c>
      <c r="C192" t="s">
        <v>54</v>
      </c>
      <c r="D192" t="s">
        <v>55</v>
      </c>
      <c r="E192" t="s">
        <v>56</v>
      </c>
      <c r="F192" t="s">
        <v>637</v>
      </c>
      <c r="G192" t="s">
        <v>713</v>
      </c>
      <c r="H192" t="s">
        <v>56</v>
      </c>
      <c r="I192" t="s">
        <v>714</v>
      </c>
      <c r="J192" t="s">
        <v>61</v>
      </c>
      <c r="K192" t="s">
        <v>640</v>
      </c>
      <c r="L192" t="s">
        <v>56</v>
      </c>
      <c r="M192" t="s">
        <v>56</v>
      </c>
      <c r="N192" t="s">
        <v>254</v>
      </c>
      <c r="O192" t="s">
        <v>64</v>
      </c>
      <c r="P192" t="s">
        <v>65</v>
      </c>
      <c r="Q192" t="s">
        <v>641</v>
      </c>
      <c r="R192" t="s">
        <v>248</v>
      </c>
      <c r="S192">
        <v>5000000</v>
      </c>
      <c r="T192">
        <v>-542419.91</v>
      </c>
      <c r="U192" t="s">
        <v>68</v>
      </c>
      <c r="V192" t="s">
        <v>642</v>
      </c>
      <c r="W192" s="9">
        <v>60602554</v>
      </c>
      <c r="X192" t="s">
        <v>715</v>
      </c>
      <c r="Y192" s="1">
        <v>46071</v>
      </c>
      <c r="Z192" s="1">
        <v>46131</v>
      </c>
      <c r="AA192" s="2">
        <v>622497.19999999995</v>
      </c>
      <c r="AB192" s="2">
        <v>527540</v>
      </c>
      <c r="AC192" s="2">
        <v>94957.2</v>
      </c>
      <c r="AD192" s="2">
        <v>622497.19999999995</v>
      </c>
      <c r="AE192" t="s">
        <v>717</v>
      </c>
      <c r="AF192" t="s">
        <v>72</v>
      </c>
      <c r="AG192">
        <v>-53</v>
      </c>
      <c r="AH192" t="s">
        <v>117</v>
      </c>
      <c r="AI192" t="s">
        <v>74</v>
      </c>
      <c r="AJ192" t="s">
        <v>75</v>
      </c>
      <c r="AK192" t="s">
        <v>76</v>
      </c>
      <c r="AL192" t="s">
        <v>118</v>
      </c>
      <c r="AM192" t="s">
        <v>78</v>
      </c>
      <c r="AN192" t="s">
        <v>79</v>
      </c>
      <c r="AO192" t="s">
        <v>119</v>
      </c>
      <c r="AP192" t="s">
        <v>46</v>
      </c>
      <c r="AQ192" t="s">
        <v>81</v>
      </c>
      <c r="AR192" t="str">
        <f t="shared" si="4"/>
        <v>60602554.STATAM</v>
      </c>
      <c r="AS192">
        <f t="shared" si="5"/>
        <v>4437747.5000000009</v>
      </c>
      <c r="AT192" t="s">
        <v>82</v>
      </c>
    </row>
    <row r="193" spans="1:46" x14ac:dyDescent="0.35">
      <c r="A193" t="s">
        <v>52</v>
      </c>
      <c r="B193" t="s">
        <v>53</v>
      </c>
      <c r="C193" t="s">
        <v>54</v>
      </c>
      <c r="D193" t="s">
        <v>55</v>
      </c>
      <c r="E193" t="s">
        <v>56</v>
      </c>
      <c r="F193" t="s">
        <v>637</v>
      </c>
      <c r="G193" t="s">
        <v>653</v>
      </c>
      <c r="H193" t="s">
        <v>56</v>
      </c>
      <c r="I193" t="s">
        <v>718</v>
      </c>
      <c r="J193" t="s">
        <v>61</v>
      </c>
      <c r="K193" t="s">
        <v>640</v>
      </c>
      <c r="L193" t="s">
        <v>56</v>
      </c>
      <c r="M193" t="s">
        <v>56</v>
      </c>
      <c r="N193" t="s">
        <v>655</v>
      </c>
      <c r="O193" t="s">
        <v>64</v>
      </c>
      <c r="P193" t="s">
        <v>65</v>
      </c>
      <c r="Q193" t="s">
        <v>87</v>
      </c>
      <c r="R193" t="s">
        <v>248</v>
      </c>
      <c r="S193">
        <v>5000000</v>
      </c>
      <c r="T193">
        <v>-542419.91</v>
      </c>
      <c r="U193" t="s">
        <v>68</v>
      </c>
      <c r="V193" t="s">
        <v>642</v>
      </c>
      <c r="W193" s="9">
        <v>60602554</v>
      </c>
      <c r="X193" t="s">
        <v>719</v>
      </c>
      <c r="Y193" s="1">
        <v>46071</v>
      </c>
      <c r="Z193" s="1">
        <v>46131</v>
      </c>
      <c r="AA193" s="2">
        <v>6573.49</v>
      </c>
      <c r="AB193" s="2">
        <v>5570.76</v>
      </c>
      <c r="AC193" s="2">
        <v>1002.73</v>
      </c>
      <c r="AD193" s="2">
        <v>6573.49</v>
      </c>
      <c r="AE193" t="s">
        <v>720</v>
      </c>
      <c r="AF193" t="s">
        <v>72</v>
      </c>
      <c r="AG193">
        <v>-53</v>
      </c>
      <c r="AH193" t="s">
        <v>117</v>
      </c>
      <c r="AI193" t="s">
        <v>74</v>
      </c>
      <c r="AJ193" t="s">
        <v>75</v>
      </c>
      <c r="AK193" t="s">
        <v>76</v>
      </c>
      <c r="AL193" t="s">
        <v>118</v>
      </c>
      <c r="AM193" t="s">
        <v>78</v>
      </c>
      <c r="AN193" t="s">
        <v>79</v>
      </c>
      <c r="AO193" t="s">
        <v>119</v>
      </c>
      <c r="AP193" t="s">
        <v>46</v>
      </c>
      <c r="AQ193" t="s">
        <v>81</v>
      </c>
      <c r="AR193" t="str">
        <f t="shared" si="4"/>
        <v>60602554.STATAM</v>
      </c>
      <c r="AS193">
        <f t="shared" si="5"/>
        <v>4437747.5000000009</v>
      </c>
      <c r="AT193" t="s">
        <v>82</v>
      </c>
    </row>
    <row r="194" spans="1:46" x14ac:dyDescent="0.35">
      <c r="A194" t="s">
        <v>52</v>
      </c>
      <c r="B194" t="s">
        <v>53</v>
      </c>
      <c r="C194" t="s">
        <v>54</v>
      </c>
      <c r="D194" t="s">
        <v>55</v>
      </c>
      <c r="E194" t="s">
        <v>56</v>
      </c>
      <c r="F194" t="s">
        <v>637</v>
      </c>
      <c r="G194" t="s">
        <v>662</v>
      </c>
      <c r="H194" t="s">
        <v>56</v>
      </c>
      <c r="I194" t="s">
        <v>721</v>
      </c>
      <c r="J194" t="s">
        <v>61</v>
      </c>
      <c r="K194" t="s">
        <v>640</v>
      </c>
      <c r="L194" t="s">
        <v>56</v>
      </c>
      <c r="M194" t="s">
        <v>56</v>
      </c>
      <c r="N194" t="s">
        <v>295</v>
      </c>
      <c r="O194" t="s">
        <v>64</v>
      </c>
      <c r="P194" t="s">
        <v>65</v>
      </c>
      <c r="Q194" t="s">
        <v>87</v>
      </c>
      <c r="R194" t="s">
        <v>248</v>
      </c>
      <c r="S194">
        <v>5000000</v>
      </c>
      <c r="T194">
        <v>-542419.91</v>
      </c>
      <c r="U194" t="s">
        <v>68</v>
      </c>
      <c r="V194" t="s">
        <v>642</v>
      </c>
      <c r="W194" s="9">
        <v>60602554</v>
      </c>
      <c r="X194" t="s">
        <v>722</v>
      </c>
      <c r="Y194" s="1">
        <v>46071</v>
      </c>
      <c r="Z194" s="1">
        <v>46131</v>
      </c>
      <c r="AA194" s="2">
        <v>36064.949999999997</v>
      </c>
      <c r="AB194" s="2">
        <v>30563.52</v>
      </c>
      <c r="AC194" s="2">
        <v>5501.43</v>
      </c>
      <c r="AD194" s="2">
        <v>36064.949999999997</v>
      </c>
      <c r="AE194" t="s">
        <v>723</v>
      </c>
      <c r="AF194" t="s">
        <v>72</v>
      </c>
      <c r="AG194">
        <v>-53</v>
      </c>
      <c r="AH194" t="s">
        <v>117</v>
      </c>
      <c r="AI194" t="s">
        <v>74</v>
      </c>
      <c r="AJ194" t="s">
        <v>75</v>
      </c>
      <c r="AK194" t="s">
        <v>76</v>
      </c>
      <c r="AL194" t="s">
        <v>118</v>
      </c>
      <c r="AM194" t="s">
        <v>78</v>
      </c>
      <c r="AN194" t="s">
        <v>79</v>
      </c>
      <c r="AO194" t="s">
        <v>119</v>
      </c>
      <c r="AP194" t="s">
        <v>46</v>
      </c>
      <c r="AQ194" t="s">
        <v>81</v>
      </c>
      <c r="AR194" t="str">
        <f t="shared" si="4"/>
        <v>60602554.STATAM</v>
      </c>
      <c r="AS194">
        <f t="shared" si="5"/>
        <v>4437747.5000000009</v>
      </c>
      <c r="AT194" t="s">
        <v>82</v>
      </c>
    </row>
    <row r="195" spans="1:46" x14ac:dyDescent="0.35">
      <c r="A195" t="s">
        <v>52</v>
      </c>
      <c r="B195" t="s">
        <v>53</v>
      </c>
      <c r="C195" t="s">
        <v>54</v>
      </c>
      <c r="D195" t="s">
        <v>55</v>
      </c>
      <c r="E195" t="s">
        <v>56</v>
      </c>
      <c r="F195" t="s">
        <v>637</v>
      </c>
      <c r="G195" t="s">
        <v>724</v>
      </c>
      <c r="H195" t="s">
        <v>56</v>
      </c>
      <c r="I195" t="s">
        <v>725</v>
      </c>
      <c r="J195" t="s">
        <v>61</v>
      </c>
      <c r="K195" t="s">
        <v>640</v>
      </c>
      <c r="L195" t="s">
        <v>56</v>
      </c>
      <c r="M195" t="s">
        <v>56</v>
      </c>
      <c r="N195" t="s">
        <v>252</v>
      </c>
      <c r="O195" t="s">
        <v>64</v>
      </c>
      <c r="P195" t="s">
        <v>65</v>
      </c>
      <c r="Q195" t="s">
        <v>87</v>
      </c>
      <c r="R195" t="s">
        <v>248</v>
      </c>
      <c r="S195">
        <v>5000000</v>
      </c>
      <c r="T195">
        <v>-542419.91</v>
      </c>
      <c r="U195" t="s">
        <v>68</v>
      </c>
      <c r="V195" t="s">
        <v>642</v>
      </c>
      <c r="W195" s="9">
        <v>60602554</v>
      </c>
      <c r="X195" t="s">
        <v>726</v>
      </c>
      <c r="Y195" s="1">
        <v>46071</v>
      </c>
      <c r="Z195" s="1">
        <v>46131</v>
      </c>
      <c r="AA195" s="2">
        <v>1715.63</v>
      </c>
      <c r="AB195" s="2">
        <v>1453.92</v>
      </c>
      <c r="AC195" s="2">
        <v>261.70999999999998</v>
      </c>
      <c r="AD195" s="2">
        <v>1715.63</v>
      </c>
      <c r="AE195" t="s">
        <v>727</v>
      </c>
      <c r="AF195" t="s">
        <v>72</v>
      </c>
      <c r="AG195">
        <v>-53</v>
      </c>
      <c r="AH195" t="s">
        <v>117</v>
      </c>
      <c r="AI195" t="s">
        <v>74</v>
      </c>
      <c r="AJ195" t="s">
        <v>75</v>
      </c>
      <c r="AK195" t="s">
        <v>76</v>
      </c>
      <c r="AL195" t="s">
        <v>118</v>
      </c>
      <c r="AM195" t="s">
        <v>78</v>
      </c>
      <c r="AN195" t="s">
        <v>79</v>
      </c>
      <c r="AO195" t="s">
        <v>119</v>
      </c>
      <c r="AP195" t="s">
        <v>46</v>
      </c>
      <c r="AQ195" t="s">
        <v>81</v>
      </c>
      <c r="AR195" t="str">
        <f t="shared" si="4"/>
        <v>60602554.STATAM</v>
      </c>
      <c r="AS195">
        <f t="shared" si="5"/>
        <v>4437747.5000000009</v>
      </c>
      <c r="AT195" t="s">
        <v>82</v>
      </c>
    </row>
    <row r="196" spans="1:46" x14ac:dyDescent="0.35">
      <c r="A196" t="s">
        <v>52</v>
      </c>
      <c r="B196" t="s">
        <v>53</v>
      </c>
      <c r="C196" t="s">
        <v>54</v>
      </c>
      <c r="D196" t="s">
        <v>55</v>
      </c>
      <c r="E196" t="s">
        <v>56</v>
      </c>
      <c r="F196" t="s">
        <v>637</v>
      </c>
      <c r="G196" t="s">
        <v>724</v>
      </c>
      <c r="H196" t="s">
        <v>56</v>
      </c>
      <c r="I196" t="s">
        <v>725</v>
      </c>
      <c r="J196" t="s">
        <v>61</v>
      </c>
      <c r="K196" t="s">
        <v>640</v>
      </c>
      <c r="L196" t="s">
        <v>56</v>
      </c>
      <c r="M196" t="s">
        <v>56</v>
      </c>
      <c r="N196" t="s">
        <v>261</v>
      </c>
      <c r="O196" t="s">
        <v>64</v>
      </c>
      <c r="P196" t="s">
        <v>65</v>
      </c>
      <c r="Q196" t="s">
        <v>87</v>
      </c>
      <c r="R196" t="s">
        <v>248</v>
      </c>
      <c r="S196">
        <v>5000000</v>
      </c>
      <c r="T196">
        <v>-542419.91</v>
      </c>
      <c r="U196" t="s">
        <v>68</v>
      </c>
      <c r="V196" t="s">
        <v>642</v>
      </c>
      <c r="W196" s="9">
        <v>60602554</v>
      </c>
      <c r="X196" t="s">
        <v>726</v>
      </c>
      <c r="Y196" s="1">
        <v>46071</v>
      </c>
      <c r="Z196" s="1">
        <v>46131</v>
      </c>
      <c r="AA196" s="2">
        <v>224471.76</v>
      </c>
      <c r="AB196" s="2">
        <v>190230.3</v>
      </c>
      <c r="AC196" s="2">
        <v>34241.46</v>
      </c>
      <c r="AD196" s="2">
        <v>224471.76</v>
      </c>
      <c r="AE196" t="s">
        <v>728</v>
      </c>
      <c r="AF196" t="s">
        <v>72</v>
      </c>
      <c r="AG196">
        <v>-53</v>
      </c>
      <c r="AH196" t="s">
        <v>117</v>
      </c>
      <c r="AI196" t="s">
        <v>74</v>
      </c>
      <c r="AJ196" t="s">
        <v>75</v>
      </c>
      <c r="AK196" t="s">
        <v>76</v>
      </c>
      <c r="AL196" t="s">
        <v>118</v>
      </c>
      <c r="AM196" t="s">
        <v>78</v>
      </c>
      <c r="AN196" t="s">
        <v>79</v>
      </c>
      <c r="AO196" t="s">
        <v>119</v>
      </c>
      <c r="AP196" t="s">
        <v>46</v>
      </c>
      <c r="AQ196" t="s">
        <v>81</v>
      </c>
      <c r="AR196" t="str">
        <f t="shared" si="4"/>
        <v>60602554.STATAM</v>
      </c>
      <c r="AS196">
        <f t="shared" si="5"/>
        <v>4437747.5000000009</v>
      </c>
      <c r="AT196" t="s">
        <v>82</v>
      </c>
    </row>
    <row r="197" spans="1:46" x14ac:dyDescent="0.35">
      <c r="A197" t="s">
        <v>52</v>
      </c>
      <c r="B197" t="s">
        <v>53</v>
      </c>
      <c r="C197" t="s">
        <v>54</v>
      </c>
      <c r="D197" t="s">
        <v>55</v>
      </c>
      <c r="E197" t="s">
        <v>56</v>
      </c>
      <c r="F197" t="s">
        <v>637</v>
      </c>
      <c r="G197" t="s">
        <v>699</v>
      </c>
      <c r="H197" t="s">
        <v>56</v>
      </c>
      <c r="I197" t="s">
        <v>729</v>
      </c>
      <c r="J197" t="s">
        <v>61</v>
      </c>
      <c r="K197" t="s">
        <v>640</v>
      </c>
      <c r="L197" t="s">
        <v>56</v>
      </c>
      <c r="M197" t="s">
        <v>56</v>
      </c>
      <c r="N197" t="s">
        <v>263</v>
      </c>
      <c r="O197" t="s">
        <v>64</v>
      </c>
      <c r="P197" t="s">
        <v>65</v>
      </c>
      <c r="Q197" t="s">
        <v>641</v>
      </c>
      <c r="R197" t="s">
        <v>248</v>
      </c>
      <c r="S197">
        <v>5000000</v>
      </c>
      <c r="T197">
        <v>-542419.91</v>
      </c>
      <c r="U197" t="s">
        <v>68</v>
      </c>
      <c r="V197" t="s">
        <v>642</v>
      </c>
      <c r="W197" s="9">
        <v>60602554</v>
      </c>
      <c r="X197" t="s">
        <v>730</v>
      </c>
      <c r="Y197" s="1">
        <v>46071</v>
      </c>
      <c r="Z197" s="1">
        <v>46131</v>
      </c>
      <c r="AA197" s="2">
        <v>48080.28</v>
      </c>
      <c r="AB197" s="2">
        <v>40746</v>
      </c>
      <c r="AC197" s="2">
        <v>7334.28</v>
      </c>
      <c r="AD197" s="2">
        <v>48080.28</v>
      </c>
      <c r="AE197" t="s">
        <v>731</v>
      </c>
      <c r="AF197" t="s">
        <v>72</v>
      </c>
      <c r="AG197">
        <v>-53</v>
      </c>
      <c r="AH197" t="s">
        <v>117</v>
      </c>
      <c r="AI197" t="s">
        <v>74</v>
      </c>
      <c r="AJ197" t="s">
        <v>75</v>
      </c>
      <c r="AK197" t="s">
        <v>76</v>
      </c>
      <c r="AL197" t="s">
        <v>118</v>
      </c>
      <c r="AM197" t="s">
        <v>78</v>
      </c>
      <c r="AN197" t="s">
        <v>79</v>
      </c>
      <c r="AO197" t="s">
        <v>119</v>
      </c>
      <c r="AP197" t="s">
        <v>46</v>
      </c>
      <c r="AQ197" t="s">
        <v>81</v>
      </c>
      <c r="AR197" t="str">
        <f t="shared" si="4"/>
        <v>60602554.STATAM</v>
      </c>
      <c r="AS197">
        <f t="shared" si="5"/>
        <v>4437747.5000000009</v>
      </c>
      <c r="AT197" t="s">
        <v>82</v>
      </c>
    </row>
    <row r="198" spans="1:46" x14ac:dyDescent="0.35">
      <c r="A198" t="s">
        <v>52</v>
      </c>
      <c r="B198" t="s">
        <v>53</v>
      </c>
      <c r="C198" t="s">
        <v>54</v>
      </c>
      <c r="D198" t="s">
        <v>55</v>
      </c>
      <c r="E198" t="s">
        <v>56</v>
      </c>
      <c r="F198" t="s">
        <v>637</v>
      </c>
      <c r="G198" t="s">
        <v>699</v>
      </c>
      <c r="H198" t="s">
        <v>56</v>
      </c>
      <c r="I198" t="s">
        <v>729</v>
      </c>
      <c r="J198" t="s">
        <v>61</v>
      </c>
      <c r="K198" t="s">
        <v>640</v>
      </c>
      <c r="L198" t="s">
        <v>56</v>
      </c>
      <c r="M198" t="s">
        <v>56</v>
      </c>
      <c r="N198" t="s">
        <v>254</v>
      </c>
      <c r="O198" t="s">
        <v>64</v>
      </c>
      <c r="P198" t="s">
        <v>65</v>
      </c>
      <c r="Q198" t="s">
        <v>641</v>
      </c>
      <c r="R198" t="s">
        <v>248</v>
      </c>
      <c r="S198">
        <v>5000000</v>
      </c>
      <c r="T198">
        <v>-542419.91</v>
      </c>
      <c r="U198" t="s">
        <v>68</v>
      </c>
      <c r="V198" t="s">
        <v>642</v>
      </c>
      <c r="W198" s="9">
        <v>60602554</v>
      </c>
      <c r="X198" t="s">
        <v>730</v>
      </c>
      <c r="Y198" s="1">
        <v>46071</v>
      </c>
      <c r="Z198" s="1">
        <v>46131</v>
      </c>
      <c r="AA198" s="2">
        <v>138127.26</v>
      </c>
      <c r="AB198" s="2">
        <v>117057</v>
      </c>
      <c r="AC198" s="2">
        <v>21070.26</v>
      </c>
      <c r="AD198" s="2">
        <v>138127.26</v>
      </c>
      <c r="AE198" t="s">
        <v>732</v>
      </c>
      <c r="AF198" t="s">
        <v>72</v>
      </c>
      <c r="AG198">
        <v>-53</v>
      </c>
      <c r="AH198" t="s">
        <v>117</v>
      </c>
      <c r="AI198" t="s">
        <v>74</v>
      </c>
      <c r="AJ198" t="s">
        <v>75</v>
      </c>
      <c r="AK198" t="s">
        <v>76</v>
      </c>
      <c r="AL198" t="s">
        <v>118</v>
      </c>
      <c r="AM198" t="s">
        <v>78</v>
      </c>
      <c r="AN198" t="s">
        <v>79</v>
      </c>
      <c r="AO198" t="s">
        <v>119</v>
      </c>
      <c r="AP198" t="s">
        <v>46</v>
      </c>
      <c r="AQ198" t="s">
        <v>81</v>
      </c>
      <c r="AR198" t="str">
        <f t="shared" si="4"/>
        <v>60602554.STATAM</v>
      </c>
      <c r="AS198">
        <f t="shared" si="5"/>
        <v>4437747.5000000009</v>
      </c>
      <c r="AT198" t="s">
        <v>82</v>
      </c>
    </row>
    <row r="199" spans="1:46" x14ac:dyDescent="0.35">
      <c r="A199" t="s">
        <v>52</v>
      </c>
      <c r="B199" t="s">
        <v>53</v>
      </c>
      <c r="C199" t="s">
        <v>54</v>
      </c>
      <c r="D199" t="s">
        <v>55</v>
      </c>
      <c r="E199" t="s">
        <v>56</v>
      </c>
      <c r="F199" t="s">
        <v>733</v>
      </c>
      <c r="G199" t="s">
        <v>56</v>
      </c>
      <c r="H199" t="s">
        <v>56</v>
      </c>
      <c r="I199" t="s">
        <v>734</v>
      </c>
      <c r="J199" t="s">
        <v>61</v>
      </c>
      <c r="K199" t="s">
        <v>640</v>
      </c>
      <c r="L199" t="s">
        <v>56</v>
      </c>
      <c r="M199" t="s">
        <v>56</v>
      </c>
      <c r="N199" t="s">
        <v>56</v>
      </c>
      <c r="O199" t="s">
        <v>735</v>
      </c>
      <c r="P199" t="s">
        <v>736</v>
      </c>
      <c r="Q199" t="s">
        <v>87</v>
      </c>
      <c r="R199" t="s">
        <v>67</v>
      </c>
      <c r="S199">
        <v>9698987</v>
      </c>
      <c r="T199">
        <v>4048893.3</v>
      </c>
      <c r="U199" t="s">
        <v>68</v>
      </c>
      <c r="V199" t="s">
        <v>642</v>
      </c>
      <c r="W199" s="9">
        <v>60602972</v>
      </c>
      <c r="X199" t="s">
        <v>737</v>
      </c>
      <c r="Y199" s="1">
        <v>45411</v>
      </c>
      <c r="Z199" s="1">
        <v>45411</v>
      </c>
      <c r="AA199" s="2">
        <v>-5645083</v>
      </c>
      <c r="AB199" s="2">
        <v>-5645083</v>
      </c>
      <c r="AC199" s="2">
        <v>0</v>
      </c>
      <c r="AD199" s="2">
        <v>-123070.9</v>
      </c>
      <c r="AE199" t="s">
        <v>737</v>
      </c>
      <c r="AF199" t="s">
        <v>72</v>
      </c>
      <c r="AG199">
        <v>667</v>
      </c>
      <c r="AH199" t="s">
        <v>473</v>
      </c>
      <c r="AI199" t="s">
        <v>74</v>
      </c>
      <c r="AJ199" t="s">
        <v>75</v>
      </c>
      <c r="AK199" t="s">
        <v>102</v>
      </c>
      <c r="AL199" t="s">
        <v>77</v>
      </c>
      <c r="AM199" t="s">
        <v>103</v>
      </c>
      <c r="AN199" t="s">
        <v>738</v>
      </c>
      <c r="AO199" t="s">
        <v>80</v>
      </c>
      <c r="AP199" t="e">
        <v>#N/A</v>
      </c>
      <c r="AQ199" t="s">
        <v>105</v>
      </c>
      <c r="AR199" t="str">
        <f t="shared" si="4"/>
        <v>60602972.STATEQ</v>
      </c>
      <c r="AS199">
        <f t="shared" si="5"/>
        <v>-14788070.9</v>
      </c>
      <c r="AT199" t="s">
        <v>93</v>
      </c>
    </row>
    <row r="200" spans="1:46" x14ac:dyDescent="0.35">
      <c r="A200" t="s">
        <v>52</v>
      </c>
      <c r="B200" t="s">
        <v>53</v>
      </c>
      <c r="C200" t="s">
        <v>54</v>
      </c>
      <c r="D200" t="s">
        <v>55</v>
      </c>
      <c r="E200" t="s">
        <v>56</v>
      </c>
      <c r="F200" t="s">
        <v>733</v>
      </c>
      <c r="G200" t="s">
        <v>56</v>
      </c>
      <c r="H200" t="s">
        <v>56</v>
      </c>
      <c r="I200" t="s">
        <v>739</v>
      </c>
      <c r="J200" t="s">
        <v>61</v>
      </c>
      <c r="K200" t="s">
        <v>640</v>
      </c>
      <c r="L200" t="s">
        <v>56</v>
      </c>
      <c r="M200" t="s">
        <v>56</v>
      </c>
      <c r="N200" t="s">
        <v>56</v>
      </c>
      <c r="O200" t="s">
        <v>735</v>
      </c>
      <c r="P200" t="s">
        <v>736</v>
      </c>
      <c r="Q200" t="s">
        <v>87</v>
      </c>
      <c r="R200" t="s">
        <v>67</v>
      </c>
      <c r="S200">
        <v>9698987</v>
      </c>
      <c r="T200">
        <v>4048893.3</v>
      </c>
      <c r="U200" t="s">
        <v>68</v>
      </c>
      <c r="V200" t="s">
        <v>642</v>
      </c>
      <c r="W200" s="9">
        <v>60602972</v>
      </c>
      <c r="X200" t="s">
        <v>740</v>
      </c>
      <c r="Y200" s="1">
        <v>45504</v>
      </c>
      <c r="Z200" s="1">
        <v>45504</v>
      </c>
      <c r="AA200" s="2">
        <v>-1000000</v>
      </c>
      <c r="AB200" s="2">
        <v>-1000000</v>
      </c>
      <c r="AC200" s="2">
        <v>0</v>
      </c>
      <c r="AD200" s="2">
        <v>-1000000</v>
      </c>
      <c r="AE200" t="s">
        <v>740</v>
      </c>
      <c r="AF200" t="s">
        <v>72</v>
      </c>
      <c r="AG200">
        <v>574</v>
      </c>
      <c r="AH200" t="s">
        <v>473</v>
      </c>
      <c r="AI200" t="s">
        <v>74</v>
      </c>
      <c r="AJ200" t="s">
        <v>75</v>
      </c>
      <c r="AK200" t="s">
        <v>76</v>
      </c>
      <c r="AL200" t="s">
        <v>77</v>
      </c>
      <c r="AM200" t="s">
        <v>103</v>
      </c>
      <c r="AN200" t="s">
        <v>738</v>
      </c>
      <c r="AO200" t="s">
        <v>80</v>
      </c>
      <c r="AP200" t="e">
        <v>#N/A</v>
      </c>
      <c r="AQ200" t="s">
        <v>81</v>
      </c>
      <c r="AR200" t="str">
        <f t="shared" ref="AR200:AR263" si="6">W200&amp;"."&amp;AQ200</f>
        <v>60602972.STATAM</v>
      </c>
      <c r="AS200">
        <f t="shared" ref="AS200:AS263" si="7">SUMIFS(AD:AD,AQ:AQ,AQ200,W:W,W200)</f>
        <v>-1000000</v>
      </c>
      <c r="AT200" t="s">
        <v>93</v>
      </c>
    </row>
    <row r="201" spans="1:46" x14ac:dyDescent="0.35">
      <c r="A201" t="s">
        <v>52</v>
      </c>
      <c r="B201" t="s">
        <v>53</v>
      </c>
      <c r="C201" t="s">
        <v>54</v>
      </c>
      <c r="D201" t="s">
        <v>55</v>
      </c>
      <c r="E201" t="s">
        <v>56</v>
      </c>
      <c r="F201" t="s">
        <v>733</v>
      </c>
      <c r="G201" t="s">
        <v>56</v>
      </c>
      <c r="H201" t="s">
        <v>56</v>
      </c>
      <c r="I201" t="s">
        <v>741</v>
      </c>
      <c r="J201" t="s">
        <v>61</v>
      </c>
      <c r="K201" t="s">
        <v>640</v>
      </c>
      <c r="L201" t="s">
        <v>56</v>
      </c>
      <c r="M201" t="s">
        <v>56</v>
      </c>
      <c r="N201" t="s">
        <v>56</v>
      </c>
      <c r="O201" t="s">
        <v>735</v>
      </c>
      <c r="P201" t="s">
        <v>736</v>
      </c>
      <c r="Q201" t="s">
        <v>87</v>
      </c>
      <c r="R201" t="s">
        <v>67</v>
      </c>
      <c r="S201">
        <v>9698987</v>
      </c>
      <c r="T201">
        <v>4048893.3</v>
      </c>
      <c r="U201" t="s">
        <v>68</v>
      </c>
      <c r="V201" t="s">
        <v>642</v>
      </c>
      <c r="W201" s="9">
        <v>60602972</v>
      </c>
      <c r="X201" t="s">
        <v>742</v>
      </c>
      <c r="Y201" s="1">
        <v>45632</v>
      </c>
      <c r="Z201" s="1">
        <v>45632</v>
      </c>
      <c r="AA201" s="2">
        <v>-1500000</v>
      </c>
      <c r="AB201" s="2">
        <v>-1500000</v>
      </c>
      <c r="AC201" s="2">
        <v>0</v>
      </c>
      <c r="AD201" s="2">
        <v>-1500000</v>
      </c>
      <c r="AE201" t="s">
        <v>742</v>
      </c>
      <c r="AF201" t="s">
        <v>72</v>
      </c>
      <c r="AG201">
        <v>446</v>
      </c>
      <c r="AH201" t="s">
        <v>473</v>
      </c>
      <c r="AI201" t="s">
        <v>74</v>
      </c>
      <c r="AJ201" t="s">
        <v>75</v>
      </c>
      <c r="AK201" t="s">
        <v>102</v>
      </c>
      <c r="AL201" t="s">
        <v>77</v>
      </c>
      <c r="AM201" t="s">
        <v>103</v>
      </c>
      <c r="AN201" t="s">
        <v>738</v>
      </c>
      <c r="AO201" t="s">
        <v>80</v>
      </c>
      <c r="AP201" t="e">
        <v>#N/A</v>
      </c>
      <c r="AQ201" t="s">
        <v>105</v>
      </c>
      <c r="AR201" t="str">
        <f t="shared" si="6"/>
        <v>60602972.STATEQ</v>
      </c>
      <c r="AS201">
        <f t="shared" si="7"/>
        <v>-14788070.9</v>
      </c>
      <c r="AT201" t="s">
        <v>93</v>
      </c>
    </row>
    <row r="202" spans="1:46" x14ac:dyDescent="0.35">
      <c r="A202" t="s">
        <v>52</v>
      </c>
      <c r="B202" t="s">
        <v>53</v>
      </c>
      <c r="C202" t="s">
        <v>54</v>
      </c>
      <c r="D202" t="s">
        <v>55</v>
      </c>
      <c r="E202" t="s">
        <v>56</v>
      </c>
      <c r="F202" t="s">
        <v>733</v>
      </c>
      <c r="G202" t="s">
        <v>56</v>
      </c>
      <c r="H202" t="s">
        <v>56</v>
      </c>
      <c r="I202" t="s">
        <v>743</v>
      </c>
      <c r="J202" t="s">
        <v>61</v>
      </c>
      <c r="K202" t="s">
        <v>640</v>
      </c>
      <c r="L202" t="s">
        <v>56</v>
      </c>
      <c r="M202" t="s">
        <v>56</v>
      </c>
      <c r="N202" t="s">
        <v>56</v>
      </c>
      <c r="O202" t="s">
        <v>735</v>
      </c>
      <c r="P202" t="s">
        <v>736</v>
      </c>
      <c r="Q202" t="s">
        <v>87</v>
      </c>
      <c r="R202" t="s">
        <v>67</v>
      </c>
      <c r="S202">
        <v>9698987</v>
      </c>
      <c r="T202">
        <v>4048893.3</v>
      </c>
      <c r="U202" t="s">
        <v>68</v>
      </c>
      <c r="V202" t="s">
        <v>642</v>
      </c>
      <c r="W202" s="9">
        <v>60602972</v>
      </c>
      <c r="X202" t="s">
        <v>744</v>
      </c>
      <c r="Y202" s="1">
        <v>45726</v>
      </c>
      <c r="Z202" s="1">
        <v>45726</v>
      </c>
      <c r="AA202" s="2">
        <v>-1000000</v>
      </c>
      <c r="AB202" s="2">
        <v>-1000000</v>
      </c>
      <c r="AC202" s="2">
        <v>0</v>
      </c>
      <c r="AD202" s="2">
        <v>-1000000</v>
      </c>
      <c r="AE202" t="s">
        <v>744</v>
      </c>
      <c r="AF202" t="s">
        <v>72</v>
      </c>
      <c r="AG202">
        <v>352</v>
      </c>
      <c r="AH202" t="s">
        <v>101</v>
      </c>
      <c r="AI202" t="s">
        <v>74</v>
      </c>
      <c r="AJ202" t="s">
        <v>75</v>
      </c>
      <c r="AK202" t="s">
        <v>102</v>
      </c>
      <c r="AL202" t="s">
        <v>77</v>
      </c>
      <c r="AM202" t="s">
        <v>103</v>
      </c>
      <c r="AN202" t="s">
        <v>738</v>
      </c>
      <c r="AO202" t="s">
        <v>80</v>
      </c>
      <c r="AP202" t="e">
        <v>#N/A</v>
      </c>
      <c r="AQ202" t="s">
        <v>105</v>
      </c>
      <c r="AR202" t="str">
        <f t="shared" si="6"/>
        <v>60602972.STATEQ</v>
      </c>
      <c r="AS202">
        <f t="shared" si="7"/>
        <v>-14788070.9</v>
      </c>
      <c r="AT202" t="s">
        <v>93</v>
      </c>
    </row>
    <row r="203" spans="1:46" x14ac:dyDescent="0.35">
      <c r="A203" t="s">
        <v>52</v>
      </c>
      <c r="B203" t="s">
        <v>53</v>
      </c>
      <c r="C203" t="s">
        <v>54</v>
      </c>
      <c r="D203" t="s">
        <v>55</v>
      </c>
      <c r="E203" t="s">
        <v>56</v>
      </c>
      <c r="F203" t="s">
        <v>733</v>
      </c>
      <c r="G203" t="s">
        <v>56</v>
      </c>
      <c r="H203" t="s">
        <v>56</v>
      </c>
      <c r="I203" t="s">
        <v>745</v>
      </c>
      <c r="J203" t="s">
        <v>61</v>
      </c>
      <c r="K203" t="s">
        <v>640</v>
      </c>
      <c r="L203" t="s">
        <v>56</v>
      </c>
      <c r="M203" t="s">
        <v>56</v>
      </c>
      <c r="N203" t="s">
        <v>56</v>
      </c>
      <c r="O203" t="s">
        <v>735</v>
      </c>
      <c r="P203" t="s">
        <v>736</v>
      </c>
      <c r="Q203" t="s">
        <v>87</v>
      </c>
      <c r="R203" t="s">
        <v>67</v>
      </c>
      <c r="S203">
        <v>9698987</v>
      </c>
      <c r="T203">
        <v>4048893.3</v>
      </c>
      <c r="U203" t="s">
        <v>68</v>
      </c>
      <c r="V203" t="s">
        <v>642</v>
      </c>
      <c r="W203" s="9">
        <v>60602972</v>
      </c>
      <c r="X203" t="s">
        <v>746</v>
      </c>
      <c r="Y203" s="1">
        <v>46053</v>
      </c>
      <c r="Z203" s="1">
        <v>46053</v>
      </c>
      <c r="AA203" s="2">
        <v>-6082500</v>
      </c>
      <c r="AB203" s="2">
        <v>-6082500</v>
      </c>
      <c r="AC203" s="2">
        <v>0</v>
      </c>
      <c r="AD203" s="2">
        <v>-6082500</v>
      </c>
      <c r="AE203" t="s">
        <v>746</v>
      </c>
      <c r="AF203" t="s">
        <v>72</v>
      </c>
      <c r="AG203">
        <v>25</v>
      </c>
      <c r="AH203" t="s">
        <v>73</v>
      </c>
      <c r="AI203" t="s">
        <v>74</v>
      </c>
      <c r="AJ203" t="s">
        <v>75</v>
      </c>
      <c r="AK203" t="s">
        <v>102</v>
      </c>
      <c r="AL203" t="s">
        <v>77</v>
      </c>
      <c r="AM203" t="s">
        <v>103</v>
      </c>
      <c r="AN203" t="s">
        <v>738</v>
      </c>
      <c r="AO203" t="s">
        <v>80</v>
      </c>
      <c r="AP203" t="e">
        <v>#N/A</v>
      </c>
      <c r="AQ203" t="s">
        <v>105</v>
      </c>
      <c r="AR203" t="str">
        <f t="shared" si="6"/>
        <v>60602972.STATEQ</v>
      </c>
      <c r="AS203">
        <f t="shared" si="7"/>
        <v>-14788070.9</v>
      </c>
      <c r="AT203" t="s">
        <v>93</v>
      </c>
    </row>
    <row r="204" spans="1:46" x14ac:dyDescent="0.35">
      <c r="A204" t="s">
        <v>52</v>
      </c>
      <c r="B204" t="s">
        <v>53</v>
      </c>
      <c r="C204" t="s">
        <v>54</v>
      </c>
      <c r="D204" t="s">
        <v>55</v>
      </c>
      <c r="E204" t="s">
        <v>56</v>
      </c>
      <c r="F204" t="s">
        <v>733</v>
      </c>
      <c r="G204" t="s">
        <v>56</v>
      </c>
      <c r="H204" t="s">
        <v>56</v>
      </c>
      <c r="I204" t="s">
        <v>747</v>
      </c>
      <c r="J204" t="s">
        <v>61</v>
      </c>
      <c r="K204" t="s">
        <v>640</v>
      </c>
      <c r="L204" t="s">
        <v>56</v>
      </c>
      <c r="M204" t="s">
        <v>56</v>
      </c>
      <c r="N204" t="s">
        <v>56</v>
      </c>
      <c r="O204" t="s">
        <v>735</v>
      </c>
      <c r="P204" t="s">
        <v>736</v>
      </c>
      <c r="Q204" t="s">
        <v>87</v>
      </c>
      <c r="R204" t="s">
        <v>67</v>
      </c>
      <c r="S204">
        <v>9698987</v>
      </c>
      <c r="T204">
        <v>4048893.3</v>
      </c>
      <c r="U204" t="s">
        <v>68</v>
      </c>
      <c r="V204" t="s">
        <v>642</v>
      </c>
      <c r="W204" s="9">
        <v>60602972</v>
      </c>
      <c r="X204" t="s">
        <v>748</v>
      </c>
      <c r="Y204" s="1">
        <v>46053</v>
      </c>
      <c r="Z204" s="1">
        <v>46053</v>
      </c>
      <c r="AA204" s="2">
        <v>-6082500</v>
      </c>
      <c r="AB204" s="2">
        <v>-6082500</v>
      </c>
      <c r="AC204" s="2">
        <v>0</v>
      </c>
      <c r="AD204" s="2">
        <v>-6082500</v>
      </c>
      <c r="AE204" t="s">
        <v>748</v>
      </c>
      <c r="AF204" t="s">
        <v>72</v>
      </c>
      <c r="AG204">
        <v>25</v>
      </c>
      <c r="AH204" t="s">
        <v>73</v>
      </c>
      <c r="AI204" t="s">
        <v>74</v>
      </c>
      <c r="AJ204" t="s">
        <v>75</v>
      </c>
      <c r="AK204" t="s">
        <v>102</v>
      </c>
      <c r="AL204" t="s">
        <v>77</v>
      </c>
      <c r="AM204" t="s">
        <v>103</v>
      </c>
      <c r="AN204" t="s">
        <v>738</v>
      </c>
      <c r="AO204" t="s">
        <v>80</v>
      </c>
      <c r="AP204" t="e">
        <v>#N/A</v>
      </c>
      <c r="AQ204" t="s">
        <v>105</v>
      </c>
      <c r="AR204" t="str">
        <f t="shared" si="6"/>
        <v>60602972.STATEQ</v>
      </c>
      <c r="AS204">
        <f t="shared" si="7"/>
        <v>-14788070.9</v>
      </c>
      <c r="AT204" t="s">
        <v>93</v>
      </c>
    </row>
    <row r="205" spans="1:46" x14ac:dyDescent="0.35">
      <c r="A205" t="s">
        <v>52</v>
      </c>
      <c r="B205" t="s">
        <v>53</v>
      </c>
      <c r="C205" t="s">
        <v>54</v>
      </c>
      <c r="D205" t="s">
        <v>55</v>
      </c>
      <c r="E205" t="s">
        <v>56</v>
      </c>
      <c r="F205" t="s">
        <v>749</v>
      </c>
      <c r="G205" t="s">
        <v>750</v>
      </c>
      <c r="H205" t="s">
        <v>153</v>
      </c>
      <c r="I205" t="s">
        <v>751</v>
      </c>
      <c r="J205" t="s">
        <v>61</v>
      </c>
      <c r="K205" t="s">
        <v>752</v>
      </c>
      <c r="L205" t="s">
        <v>56</v>
      </c>
      <c r="M205" t="s">
        <v>56</v>
      </c>
      <c r="N205" t="s">
        <v>113</v>
      </c>
      <c r="O205" t="s">
        <v>753</v>
      </c>
      <c r="P205" t="s">
        <v>754</v>
      </c>
      <c r="Q205" t="s">
        <v>87</v>
      </c>
      <c r="R205" t="s">
        <v>67</v>
      </c>
      <c r="S205">
        <v>15692263</v>
      </c>
      <c r="T205">
        <v>-1792626</v>
      </c>
      <c r="U205" t="s">
        <v>68</v>
      </c>
      <c r="V205" t="s">
        <v>755</v>
      </c>
      <c r="W205" s="9">
        <v>60603897</v>
      </c>
      <c r="X205" t="s">
        <v>756</v>
      </c>
      <c r="Y205" s="1">
        <v>45736</v>
      </c>
      <c r="Z205" s="1">
        <v>45766</v>
      </c>
      <c r="AA205" s="2">
        <v>196863.33</v>
      </c>
      <c r="AB205" s="2">
        <v>166666.67000000001</v>
      </c>
      <c r="AC205" s="2">
        <v>30196.67</v>
      </c>
      <c r="AD205" s="2">
        <v>1538.94</v>
      </c>
      <c r="AE205" t="s">
        <v>757</v>
      </c>
      <c r="AF205" t="s">
        <v>72</v>
      </c>
      <c r="AG205">
        <v>312</v>
      </c>
      <c r="AH205" t="s">
        <v>101</v>
      </c>
      <c r="AI205" t="s">
        <v>74</v>
      </c>
      <c r="AJ205" t="s">
        <v>75</v>
      </c>
      <c r="AK205" t="s">
        <v>102</v>
      </c>
      <c r="AL205" t="s">
        <v>77</v>
      </c>
      <c r="AM205" t="s">
        <v>103</v>
      </c>
      <c r="AN205" t="s">
        <v>239</v>
      </c>
      <c r="AO205" t="s">
        <v>80</v>
      </c>
      <c r="AP205" t="s">
        <v>46</v>
      </c>
      <c r="AQ205" t="s">
        <v>105</v>
      </c>
      <c r="AR205" t="str">
        <f t="shared" si="6"/>
        <v>60603897.STATEQ</v>
      </c>
      <c r="AS205">
        <f t="shared" si="7"/>
        <v>15190907.23</v>
      </c>
      <c r="AT205" t="s">
        <v>82</v>
      </c>
    </row>
    <row r="206" spans="1:46" x14ac:dyDescent="0.35">
      <c r="A206" t="s">
        <v>52</v>
      </c>
      <c r="B206" t="s">
        <v>53</v>
      </c>
      <c r="C206" t="s">
        <v>54</v>
      </c>
      <c r="D206" t="s">
        <v>55</v>
      </c>
      <c r="E206" t="s">
        <v>56</v>
      </c>
      <c r="F206" t="s">
        <v>749</v>
      </c>
      <c r="G206" t="s">
        <v>750</v>
      </c>
      <c r="H206" t="s">
        <v>153</v>
      </c>
      <c r="I206" t="s">
        <v>751</v>
      </c>
      <c r="J206" t="s">
        <v>61</v>
      </c>
      <c r="K206" t="s">
        <v>752</v>
      </c>
      <c r="L206" t="s">
        <v>56</v>
      </c>
      <c r="M206" t="s">
        <v>56</v>
      </c>
      <c r="N206" t="s">
        <v>155</v>
      </c>
      <c r="O206" t="s">
        <v>753</v>
      </c>
      <c r="P206" t="s">
        <v>754</v>
      </c>
      <c r="Q206" t="s">
        <v>87</v>
      </c>
      <c r="R206" t="s">
        <v>67</v>
      </c>
      <c r="S206">
        <v>15692263</v>
      </c>
      <c r="T206">
        <v>-1792626</v>
      </c>
      <c r="U206" t="s">
        <v>68</v>
      </c>
      <c r="V206" t="s">
        <v>755</v>
      </c>
      <c r="W206" s="9">
        <v>60603897</v>
      </c>
      <c r="X206" t="s">
        <v>756</v>
      </c>
      <c r="Y206" s="1">
        <v>45736</v>
      </c>
      <c r="Z206" s="1">
        <v>45766</v>
      </c>
      <c r="AA206" s="2">
        <v>2165496.67</v>
      </c>
      <c r="AB206" s="2">
        <v>1833333.33</v>
      </c>
      <c r="AC206" s="2">
        <v>332163.33</v>
      </c>
      <c r="AD206" s="2">
        <v>16928.29</v>
      </c>
      <c r="AE206" t="s">
        <v>758</v>
      </c>
      <c r="AF206" t="s">
        <v>72</v>
      </c>
      <c r="AG206">
        <v>312</v>
      </c>
      <c r="AH206" t="s">
        <v>101</v>
      </c>
      <c r="AI206" t="s">
        <v>74</v>
      </c>
      <c r="AJ206" t="s">
        <v>75</v>
      </c>
      <c r="AK206" t="s">
        <v>102</v>
      </c>
      <c r="AL206" t="s">
        <v>77</v>
      </c>
      <c r="AM206" t="s">
        <v>103</v>
      </c>
      <c r="AN206" t="s">
        <v>239</v>
      </c>
      <c r="AO206" t="s">
        <v>80</v>
      </c>
      <c r="AP206" t="s">
        <v>46</v>
      </c>
      <c r="AQ206" t="s">
        <v>105</v>
      </c>
      <c r="AR206" t="str">
        <f t="shared" si="6"/>
        <v>60603897.STATEQ</v>
      </c>
      <c r="AS206">
        <f t="shared" si="7"/>
        <v>15190907.23</v>
      </c>
      <c r="AT206" t="s">
        <v>82</v>
      </c>
    </row>
    <row r="207" spans="1:46" x14ac:dyDescent="0.35">
      <c r="A207" t="s">
        <v>52</v>
      </c>
      <c r="B207" t="s">
        <v>53</v>
      </c>
      <c r="C207" t="s">
        <v>54</v>
      </c>
      <c r="D207" t="s">
        <v>55</v>
      </c>
      <c r="E207" t="s">
        <v>56</v>
      </c>
      <c r="F207" t="s">
        <v>749</v>
      </c>
      <c r="G207" t="s">
        <v>759</v>
      </c>
      <c r="H207" t="s">
        <v>153</v>
      </c>
      <c r="I207" t="s">
        <v>760</v>
      </c>
      <c r="J207" t="s">
        <v>61</v>
      </c>
      <c r="K207" t="s">
        <v>752</v>
      </c>
      <c r="L207" t="s">
        <v>56</v>
      </c>
      <c r="M207" t="s">
        <v>56</v>
      </c>
      <c r="N207" t="s">
        <v>113</v>
      </c>
      <c r="O207" t="s">
        <v>753</v>
      </c>
      <c r="P207" t="s">
        <v>754</v>
      </c>
      <c r="Q207" t="s">
        <v>87</v>
      </c>
      <c r="R207" t="s">
        <v>67</v>
      </c>
      <c r="S207">
        <v>15692263</v>
      </c>
      <c r="T207">
        <v>-1792626</v>
      </c>
      <c r="U207" t="s">
        <v>68</v>
      </c>
      <c r="V207" t="s">
        <v>755</v>
      </c>
      <c r="W207" s="9">
        <v>60603897</v>
      </c>
      <c r="X207" t="s">
        <v>761</v>
      </c>
      <c r="Y207" s="1">
        <v>46066</v>
      </c>
      <c r="Z207" s="1">
        <v>46096</v>
      </c>
      <c r="AA207" s="2">
        <v>2360000</v>
      </c>
      <c r="AB207" s="2">
        <v>2000000</v>
      </c>
      <c r="AC207" s="2">
        <v>360000</v>
      </c>
      <c r="AD207" s="2">
        <v>2360000</v>
      </c>
      <c r="AE207" t="s">
        <v>762</v>
      </c>
      <c r="AF207" t="s">
        <v>72</v>
      </c>
      <c r="AG207">
        <v>-18</v>
      </c>
      <c r="AH207" t="s">
        <v>117</v>
      </c>
      <c r="AI207" t="s">
        <v>74</v>
      </c>
      <c r="AJ207" t="s">
        <v>75</v>
      </c>
      <c r="AK207" t="s">
        <v>102</v>
      </c>
      <c r="AL207" t="s">
        <v>118</v>
      </c>
      <c r="AM207" t="s">
        <v>103</v>
      </c>
      <c r="AN207" t="s">
        <v>239</v>
      </c>
      <c r="AO207" t="s">
        <v>119</v>
      </c>
      <c r="AP207" t="s">
        <v>46</v>
      </c>
      <c r="AQ207" t="s">
        <v>105</v>
      </c>
      <c r="AR207" t="str">
        <f t="shared" si="6"/>
        <v>60603897.STATEQ</v>
      </c>
      <c r="AS207">
        <f t="shared" si="7"/>
        <v>15190907.23</v>
      </c>
      <c r="AT207" t="s">
        <v>82</v>
      </c>
    </row>
    <row r="208" spans="1:46" x14ac:dyDescent="0.35">
      <c r="A208" t="s">
        <v>52</v>
      </c>
      <c r="B208" t="s">
        <v>53</v>
      </c>
      <c r="C208" t="s">
        <v>54</v>
      </c>
      <c r="D208" t="s">
        <v>55</v>
      </c>
      <c r="E208" t="s">
        <v>56</v>
      </c>
      <c r="F208" t="s">
        <v>749</v>
      </c>
      <c r="G208" t="s">
        <v>759</v>
      </c>
      <c r="H208" t="s">
        <v>111</v>
      </c>
      <c r="I208" t="s">
        <v>763</v>
      </c>
      <c r="J208" t="s">
        <v>61</v>
      </c>
      <c r="K208" t="s">
        <v>752</v>
      </c>
      <c r="L208" t="s">
        <v>56</v>
      </c>
      <c r="M208" t="s">
        <v>56</v>
      </c>
      <c r="N208" t="s">
        <v>113</v>
      </c>
      <c r="O208" t="s">
        <v>753</v>
      </c>
      <c r="P208" t="s">
        <v>754</v>
      </c>
      <c r="Q208" t="s">
        <v>87</v>
      </c>
      <c r="R208" t="s">
        <v>67</v>
      </c>
      <c r="S208">
        <v>15692263</v>
      </c>
      <c r="T208">
        <v>-1792626</v>
      </c>
      <c r="U208" t="s">
        <v>68</v>
      </c>
      <c r="V208" t="s">
        <v>755</v>
      </c>
      <c r="W208" s="9">
        <v>60603897</v>
      </c>
      <c r="X208" t="s">
        <v>764</v>
      </c>
      <c r="Y208" s="1">
        <v>46066</v>
      </c>
      <c r="Z208" s="1">
        <v>46096</v>
      </c>
      <c r="AA208" s="2">
        <v>12812440</v>
      </c>
      <c r="AB208" s="2">
        <v>10858000</v>
      </c>
      <c r="AC208" s="2">
        <v>1954440</v>
      </c>
      <c r="AD208" s="2">
        <v>12812440</v>
      </c>
      <c r="AE208" t="s">
        <v>765</v>
      </c>
      <c r="AF208" t="s">
        <v>72</v>
      </c>
      <c r="AG208">
        <v>-18</v>
      </c>
      <c r="AH208" t="s">
        <v>117</v>
      </c>
      <c r="AI208" t="s">
        <v>74</v>
      </c>
      <c r="AJ208" t="s">
        <v>75</v>
      </c>
      <c r="AK208" t="s">
        <v>102</v>
      </c>
      <c r="AL208" t="s">
        <v>118</v>
      </c>
      <c r="AM208" t="s">
        <v>103</v>
      </c>
      <c r="AN208" t="s">
        <v>239</v>
      </c>
      <c r="AO208" t="s">
        <v>119</v>
      </c>
      <c r="AP208" t="s">
        <v>46</v>
      </c>
      <c r="AQ208" t="s">
        <v>105</v>
      </c>
      <c r="AR208" t="str">
        <f t="shared" si="6"/>
        <v>60603897.STATEQ</v>
      </c>
      <c r="AS208">
        <f t="shared" si="7"/>
        <v>15190907.23</v>
      </c>
      <c r="AT208" t="s">
        <v>82</v>
      </c>
    </row>
    <row r="209" spans="1:46" x14ac:dyDescent="0.35">
      <c r="A209" t="s">
        <v>52</v>
      </c>
      <c r="B209" t="s">
        <v>53</v>
      </c>
      <c r="C209" t="s">
        <v>54</v>
      </c>
      <c r="D209" t="s">
        <v>55</v>
      </c>
      <c r="E209" t="s">
        <v>56</v>
      </c>
      <c r="F209" t="s">
        <v>749</v>
      </c>
      <c r="G209" t="s">
        <v>766</v>
      </c>
      <c r="H209" t="s">
        <v>56</v>
      </c>
      <c r="I209" t="s">
        <v>767</v>
      </c>
      <c r="J209" t="s">
        <v>61</v>
      </c>
      <c r="K209" t="s">
        <v>752</v>
      </c>
      <c r="L209" t="s">
        <v>56</v>
      </c>
      <c r="M209" t="s">
        <v>56</v>
      </c>
      <c r="N209" t="s">
        <v>261</v>
      </c>
      <c r="O209" t="s">
        <v>245</v>
      </c>
      <c r="P209" t="s">
        <v>246</v>
      </c>
      <c r="Q209" t="s">
        <v>114</v>
      </c>
      <c r="R209" t="s">
        <v>67</v>
      </c>
      <c r="S209">
        <v>15692263</v>
      </c>
      <c r="T209">
        <v>-1792626</v>
      </c>
      <c r="U209" t="s">
        <v>68</v>
      </c>
      <c r="V209" t="s">
        <v>755</v>
      </c>
      <c r="W209" s="9">
        <v>60603897</v>
      </c>
      <c r="X209" t="s">
        <v>768</v>
      </c>
      <c r="Y209" s="1">
        <v>46074</v>
      </c>
      <c r="Z209" s="1">
        <v>46104</v>
      </c>
      <c r="AA209" s="2">
        <v>237294.86</v>
      </c>
      <c r="AB209" s="2">
        <v>201097.34</v>
      </c>
      <c r="AC209" s="2">
        <v>36197.519999999997</v>
      </c>
      <c r="AD209" s="2">
        <v>237294.86</v>
      </c>
      <c r="AE209" t="s">
        <v>769</v>
      </c>
      <c r="AF209" t="s">
        <v>72</v>
      </c>
      <c r="AG209">
        <v>-26</v>
      </c>
      <c r="AH209" t="s">
        <v>117</v>
      </c>
      <c r="AI209" t="s">
        <v>74</v>
      </c>
      <c r="AJ209" t="s">
        <v>75</v>
      </c>
      <c r="AK209" t="s">
        <v>76</v>
      </c>
      <c r="AL209" t="s">
        <v>118</v>
      </c>
      <c r="AM209" t="s">
        <v>78</v>
      </c>
      <c r="AN209" t="s">
        <v>239</v>
      </c>
      <c r="AO209" t="s">
        <v>119</v>
      </c>
      <c r="AP209" t="s">
        <v>46</v>
      </c>
      <c r="AQ209" t="s">
        <v>81</v>
      </c>
      <c r="AR209" t="str">
        <f t="shared" si="6"/>
        <v>60603897.STATAM</v>
      </c>
      <c r="AS209">
        <f t="shared" si="7"/>
        <v>257981.77</v>
      </c>
      <c r="AT209" t="s">
        <v>82</v>
      </c>
    </row>
    <row r="210" spans="1:46" x14ac:dyDescent="0.35">
      <c r="A210" t="s">
        <v>52</v>
      </c>
      <c r="B210" t="s">
        <v>53</v>
      </c>
      <c r="C210" t="s">
        <v>54</v>
      </c>
      <c r="D210" t="s">
        <v>55</v>
      </c>
      <c r="E210" t="s">
        <v>56</v>
      </c>
      <c r="F210" t="s">
        <v>749</v>
      </c>
      <c r="G210" t="s">
        <v>766</v>
      </c>
      <c r="H210" t="s">
        <v>56</v>
      </c>
      <c r="I210" t="s">
        <v>767</v>
      </c>
      <c r="J210" t="s">
        <v>61</v>
      </c>
      <c r="K210" t="s">
        <v>752</v>
      </c>
      <c r="L210" t="s">
        <v>56</v>
      </c>
      <c r="M210" t="s">
        <v>56</v>
      </c>
      <c r="N210" t="s">
        <v>252</v>
      </c>
      <c r="O210" t="s">
        <v>245</v>
      </c>
      <c r="P210" t="s">
        <v>246</v>
      </c>
      <c r="Q210" t="s">
        <v>114</v>
      </c>
      <c r="R210" t="s">
        <v>67</v>
      </c>
      <c r="S210">
        <v>15692263</v>
      </c>
      <c r="T210">
        <v>-1792626</v>
      </c>
      <c r="U210" t="s">
        <v>68</v>
      </c>
      <c r="V210" t="s">
        <v>755</v>
      </c>
      <c r="W210" s="9">
        <v>60603897</v>
      </c>
      <c r="X210" t="s">
        <v>768</v>
      </c>
      <c r="Y210" s="1">
        <v>46074</v>
      </c>
      <c r="Z210" s="1">
        <v>46104</v>
      </c>
      <c r="AA210" s="2">
        <v>20686.91</v>
      </c>
      <c r="AB210" s="2">
        <v>17531.28</v>
      </c>
      <c r="AC210" s="2">
        <v>3155.63</v>
      </c>
      <c r="AD210" s="2">
        <v>20686.91</v>
      </c>
      <c r="AE210" t="s">
        <v>770</v>
      </c>
      <c r="AF210" t="s">
        <v>72</v>
      </c>
      <c r="AG210">
        <v>-26</v>
      </c>
      <c r="AH210" t="s">
        <v>117</v>
      </c>
      <c r="AI210" t="s">
        <v>74</v>
      </c>
      <c r="AJ210" t="s">
        <v>75</v>
      </c>
      <c r="AK210" t="s">
        <v>76</v>
      </c>
      <c r="AL210" t="s">
        <v>118</v>
      </c>
      <c r="AM210" t="s">
        <v>78</v>
      </c>
      <c r="AN210" t="s">
        <v>239</v>
      </c>
      <c r="AO210" t="s">
        <v>119</v>
      </c>
      <c r="AP210" t="s">
        <v>46</v>
      </c>
      <c r="AQ210" t="s">
        <v>81</v>
      </c>
      <c r="AR210" t="str">
        <f t="shared" si="6"/>
        <v>60603897.STATAM</v>
      </c>
      <c r="AS210">
        <f t="shared" si="7"/>
        <v>257981.77</v>
      </c>
      <c r="AT210" t="s">
        <v>82</v>
      </c>
    </row>
    <row r="211" spans="1:46" x14ac:dyDescent="0.35">
      <c r="A211" t="s">
        <v>52</v>
      </c>
      <c r="B211" t="s">
        <v>53</v>
      </c>
      <c r="C211" t="s">
        <v>54</v>
      </c>
      <c r="D211" t="s">
        <v>55</v>
      </c>
      <c r="E211" t="s">
        <v>56</v>
      </c>
      <c r="F211" t="s">
        <v>771</v>
      </c>
      <c r="G211" t="s">
        <v>56</v>
      </c>
      <c r="H211" t="s">
        <v>56</v>
      </c>
      <c r="I211" t="s">
        <v>772</v>
      </c>
      <c r="J211" t="s">
        <v>61</v>
      </c>
      <c r="K211" t="s">
        <v>56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87</v>
      </c>
      <c r="R211" t="s">
        <v>88</v>
      </c>
      <c r="T211">
        <v>-13814.56</v>
      </c>
      <c r="U211" t="s">
        <v>68</v>
      </c>
      <c r="V211" t="s">
        <v>773</v>
      </c>
      <c r="W211" s="9" t="s">
        <v>771</v>
      </c>
      <c r="X211" t="s">
        <v>774</v>
      </c>
      <c r="Y211" s="1">
        <v>45995</v>
      </c>
      <c r="Z211" s="1">
        <v>45995</v>
      </c>
      <c r="AA211" s="2">
        <v>186314.09</v>
      </c>
      <c r="AB211" s="2">
        <v>156330</v>
      </c>
      <c r="AC211" s="2">
        <v>29984.09</v>
      </c>
      <c r="AD211" s="2">
        <v>4334.88</v>
      </c>
      <c r="AE211" t="s">
        <v>774</v>
      </c>
      <c r="AF211" t="s">
        <v>72</v>
      </c>
      <c r="AG211">
        <v>83</v>
      </c>
      <c r="AH211" t="s">
        <v>260</v>
      </c>
      <c r="AI211" t="s">
        <v>74</v>
      </c>
      <c r="AJ211" t="s">
        <v>75</v>
      </c>
      <c r="AK211" t="s">
        <v>76</v>
      </c>
      <c r="AL211" t="s">
        <v>77</v>
      </c>
      <c r="AM211" t="s">
        <v>775</v>
      </c>
      <c r="AN211" t="s">
        <v>776</v>
      </c>
      <c r="AO211" t="s">
        <v>80</v>
      </c>
      <c r="AP211" t="e">
        <v>#N/A</v>
      </c>
      <c r="AQ211" t="s">
        <v>81</v>
      </c>
      <c r="AR211" t="str">
        <f t="shared" si="6"/>
        <v>SC600013.STATAM</v>
      </c>
      <c r="AS211">
        <f t="shared" si="7"/>
        <v>13814.560000000001</v>
      </c>
      <c r="AT211" t="s">
        <v>82</v>
      </c>
    </row>
    <row r="212" spans="1:46" x14ac:dyDescent="0.35">
      <c r="A212" t="s">
        <v>52</v>
      </c>
      <c r="B212" t="s">
        <v>53</v>
      </c>
      <c r="C212" t="s">
        <v>54</v>
      </c>
      <c r="D212" t="s">
        <v>55</v>
      </c>
      <c r="E212" t="s">
        <v>56</v>
      </c>
      <c r="F212" t="s">
        <v>771</v>
      </c>
      <c r="G212" t="s">
        <v>56</v>
      </c>
      <c r="H212" t="s">
        <v>56</v>
      </c>
      <c r="I212" t="s">
        <v>772</v>
      </c>
      <c r="J212" t="s">
        <v>61</v>
      </c>
      <c r="K212" t="s">
        <v>56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87</v>
      </c>
      <c r="R212" t="s">
        <v>88</v>
      </c>
      <c r="T212">
        <v>-13814.56</v>
      </c>
      <c r="U212" t="s">
        <v>68</v>
      </c>
      <c r="V212" t="s">
        <v>773</v>
      </c>
      <c r="W212" s="9" t="s">
        <v>771</v>
      </c>
      <c r="X212" t="s">
        <v>777</v>
      </c>
      <c r="Y212" s="1">
        <v>46021</v>
      </c>
      <c r="Z212" s="1">
        <v>46021</v>
      </c>
      <c r="AA212" s="2">
        <v>564959.68000000005</v>
      </c>
      <c r="AB212" s="2">
        <v>474039</v>
      </c>
      <c r="AC212" s="2">
        <v>90920.68</v>
      </c>
      <c r="AD212" s="2">
        <v>9479.68</v>
      </c>
      <c r="AE212" t="s">
        <v>777</v>
      </c>
      <c r="AF212" t="s">
        <v>72</v>
      </c>
      <c r="AG212">
        <v>57</v>
      </c>
      <c r="AH212" t="s">
        <v>236</v>
      </c>
      <c r="AI212" t="s">
        <v>74</v>
      </c>
      <c r="AJ212" t="s">
        <v>75</v>
      </c>
      <c r="AK212" t="s">
        <v>76</v>
      </c>
      <c r="AL212" t="s">
        <v>77</v>
      </c>
      <c r="AM212" t="s">
        <v>775</v>
      </c>
      <c r="AN212" t="s">
        <v>776</v>
      </c>
      <c r="AO212" t="s">
        <v>80</v>
      </c>
      <c r="AP212" t="e">
        <v>#N/A</v>
      </c>
      <c r="AQ212" t="s">
        <v>81</v>
      </c>
      <c r="AR212" t="str">
        <f t="shared" si="6"/>
        <v>SC600013.STATAM</v>
      </c>
      <c r="AS212">
        <f t="shared" si="7"/>
        <v>13814.560000000001</v>
      </c>
      <c r="AT212" t="s">
        <v>82</v>
      </c>
    </row>
    <row r="213" spans="1:46" x14ac:dyDescent="0.35">
      <c r="A213" t="s">
        <v>52</v>
      </c>
      <c r="B213" t="s">
        <v>53</v>
      </c>
      <c r="C213" t="s">
        <v>54</v>
      </c>
      <c r="D213" t="s">
        <v>55</v>
      </c>
      <c r="E213" t="s">
        <v>56</v>
      </c>
      <c r="F213" t="s">
        <v>778</v>
      </c>
      <c r="G213" t="s">
        <v>779</v>
      </c>
      <c r="H213" t="s">
        <v>780</v>
      </c>
      <c r="I213" t="s">
        <v>781</v>
      </c>
      <c r="J213" t="s">
        <v>61</v>
      </c>
      <c r="K213" t="s">
        <v>62</v>
      </c>
      <c r="L213" t="s">
        <v>56</v>
      </c>
      <c r="M213" t="s">
        <v>56</v>
      </c>
      <c r="N213" t="s">
        <v>782</v>
      </c>
      <c r="O213" t="s">
        <v>435</v>
      </c>
      <c r="P213" t="s">
        <v>436</v>
      </c>
      <c r="Q213" t="s">
        <v>87</v>
      </c>
      <c r="R213" t="s">
        <v>88</v>
      </c>
      <c r="T213">
        <v>-330400</v>
      </c>
      <c r="U213" t="s">
        <v>68</v>
      </c>
      <c r="V213" t="s">
        <v>783</v>
      </c>
      <c r="W213" s="9">
        <v>60603910</v>
      </c>
      <c r="X213" t="s">
        <v>784</v>
      </c>
      <c r="Y213" s="1">
        <v>46046</v>
      </c>
      <c r="Z213" s="1">
        <v>46046</v>
      </c>
      <c r="AA213" s="2">
        <v>330400</v>
      </c>
      <c r="AB213" s="2">
        <v>280000</v>
      </c>
      <c r="AC213" s="2">
        <v>50400</v>
      </c>
      <c r="AD213" s="2">
        <v>330400</v>
      </c>
      <c r="AE213" t="s">
        <v>785</v>
      </c>
      <c r="AF213" t="s">
        <v>72</v>
      </c>
      <c r="AG213">
        <v>32</v>
      </c>
      <c r="AH213" t="s">
        <v>236</v>
      </c>
      <c r="AI213" t="s">
        <v>74</v>
      </c>
      <c r="AJ213" t="s">
        <v>75</v>
      </c>
      <c r="AK213" t="s">
        <v>76</v>
      </c>
      <c r="AL213" t="s">
        <v>77</v>
      </c>
      <c r="AM213" t="s">
        <v>78</v>
      </c>
      <c r="AN213" t="s">
        <v>104</v>
      </c>
      <c r="AO213" t="s">
        <v>80</v>
      </c>
      <c r="AP213" t="e">
        <v>#N/A</v>
      </c>
      <c r="AQ213" t="s">
        <v>81</v>
      </c>
      <c r="AR213" t="str">
        <f t="shared" si="6"/>
        <v>60603910.STATAM</v>
      </c>
      <c r="AS213">
        <f t="shared" si="7"/>
        <v>330400</v>
      </c>
      <c r="AT213" t="s">
        <v>82</v>
      </c>
    </row>
    <row r="214" spans="1:46" x14ac:dyDescent="0.35">
      <c r="A214" t="s">
        <v>52</v>
      </c>
      <c r="B214" t="s">
        <v>53</v>
      </c>
      <c r="C214" t="s">
        <v>54</v>
      </c>
      <c r="D214" t="s">
        <v>55</v>
      </c>
      <c r="E214" t="s">
        <v>56</v>
      </c>
      <c r="F214" t="s">
        <v>786</v>
      </c>
      <c r="G214" t="s">
        <v>787</v>
      </c>
      <c r="H214" t="s">
        <v>56</v>
      </c>
      <c r="I214" t="s">
        <v>788</v>
      </c>
      <c r="J214" t="s">
        <v>61</v>
      </c>
      <c r="K214" t="s">
        <v>62</v>
      </c>
      <c r="L214" t="s">
        <v>56</v>
      </c>
      <c r="M214" t="s">
        <v>56</v>
      </c>
      <c r="N214" t="s">
        <v>789</v>
      </c>
      <c r="O214" t="s">
        <v>790</v>
      </c>
      <c r="P214" t="s">
        <v>791</v>
      </c>
      <c r="Q214" t="s">
        <v>393</v>
      </c>
      <c r="R214" t="s">
        <v>248</v>
      </c>
      <c r="S214">
        <v>10000000</v>
      </c>
      <c r="T214">
        <v>-52813132.979999997</v>
      </c>
      <c r="U214" t="s">
        <v>68</v>
      </c>
      <c r="V214" t="s">
        <v>792</v>
      </c>
      <c r="W214" s="9">
        <v>20000003</v>
      </c>
      <c r="X214" t="s">
        <v>793</v>
      </c>
      <c r="Y214" s="1">
        <v>46022</v>
      </c>
      <c r="Z214" s="1">
        <v>46082</v>
      </c>
      <c r="AA214" s="2">
        <v>2534649.44</v>
      </c>
      <c r="AB214" s="2">
        <v>2148008</v>
      </c>
      <c r="AC214" s="2">
        <v>386641.44</v>
      </c>
      <c r="AD214" s="2">
        <v>2534649.44</v>
      </c>
      <c r="AE214" t="s">
        <v>794</v>
      </c>
      <c r="AF214" t="s">
        <v>72</v>
      </c>
      <c r="AG214">
        <v>-4</v>
      </c>
      <c r="AH214" t="s">
        <v>117</v>
      </c>
      <c r="AI214" t="s">
        <v>74</v>
      </c>
      <c r="AJ214" t="s">
        <v>127</v>
      </c>
      <c r="AK214" t="s">
        <v>334</v>
      </c>
      <c r="AL214" t="s">
        <v>118</v>
      </c>
      <c r="AM214" t="s">
        <v>78</v>
      </c>
      <c r="AN214" t="s">
        <v>795</v>
      </c>
      <c r="AO214" t="s">
        <v>119</v>
      </c>
      <c r="AP214" t="s">
        <v>46</v>
      </c>
      <c r="AQ214" t="s">
        <v>335</v>
      </c>
      <c r="AR214" t="str">
        <f t="shared" si="6"/>
        <v>20000003.SPMINAM</v>
      </c>
      <c r="AS214">
        <f t="shared" si="7"/>
        <v>14063607.689999999</v>
      </c>
      <c r="AT214" t="s">
        <v>82</v>
      </c>
    </row>
    <row r="215" spans="1:46" x14ac:dyDescent="0.35">
      <c r="A215" t="s">
        <v>52</v>
      </c>
      <c r="B215" t="s">
        <v>53</v>
      </c>
      <c r="C215" t="s">
        <v>54</v>
      </c>
      <c r="D215" t="s">
        <v>55</v>
      </c>
      <c r="E215" t="s">
        <v>56</v>
      </c>
      <c r="F215" t="s">
        <v>786</v>
      </c>
      <c r="G215" t="s">
        <v>796</v>
      </c>
      <c r="H215" t="s">
        <v>56</v>
      </c>
      <c r="I215" t="s">
        <v>797</v>
      </c>
      <c r="J215" t="s">
        <v>61</v>
      </c>
      <c r="K215" t="s">
        <v>62</v>
      </c>
      <c r="L215" t="s">
        <v>56</v>
      </c>
      <c r="M215" t="s">
        <v>56</v>
      </c>
      <c r="N215" t="s">
        <v>789</v>
      </c>
      <c r="O215" t="s">
        <v>790</v>
      </c>
      <c r="P215" t="s">
        <v>791</v>
      </c>
      <c r="Q215" t="s">
        <v>114</v>
      </c>
      <c r="R215" t="s">
        <v>248</v>
      </c>
      <c r="S215">
        <v>10000000</v>
      </c>
      <c r="T215">
        <v>-52813132.979999997</v>
      </c>
      <c r="U215" t="s">
        <v>68</v>
      </c>
      <c r="V215" t="s">
        <v>792</v>
      </c>
      <c r="W215" s="9">
        <v>20000003</v>
      </c>
      <c r="X215" t="s">
        <v>798</v>
      </c>
      <c r="Y215" s="1">
        <v>46044</v>
      </c>
      <c r="Z215" s="1">
        <v>46104</v>
      </c>
      <c r="AA215" s="2">
        <v>2135766.96</v>
      </c>
      <c r="AB215" s="2">
        <v>1809972</v>
      </c>
      <c r="AC215" s="2">
        <v>325794.96000000002</v>
      </c>
      <c r="AD215" s="2">
        <v>2135766.96</v>
      </c>
      <c r="AE215" t="s">
        <v>799</v>
      </c>
      <c r="AF215" t="s">
        <v>72</v>
      </c>
      <c r="AG215">
        <v>-26</v>
      </c>
      <c r="AH215" t="s">
        <v>117</v>
      </c>
      <c r="AI215" t="s">
        <v>74</v>
      </c>
      <c r="AJ215" t="s">
        <v>127</v>
      </c>
      <c r="AK215" t="s">
        <v>334</v>
      </c>
      <c r="AL215" t="s">
        <v>118</v>
      </c>
      <c r="AM215" t="s">
        <v>78</v>
      </c>
      <c r="AN215" t="s">
        <v>795</v>
      </c>
      <c r="AO215" t="s">
        <v>119</v>
      </c>
      <c r="AP215" t="s">
        <v>46</v>
      </c>
      <c r="AQ215" t="s">
        <v>335</v>
      </c>
      <c r="AR215" t="str">
        <f t="shared" si="6"/>
        <v>20000003.SPMINAM</v>
      </c>
      <c r="AS215">
        <f t="shared" si="7"/>
        <v>14063607.689999999</v>
      </c>
      <c r="AT215" t="s">
        <v>82</v>
      </c>
    </row>
    <row r="216" spans="1:46" x14ac:dyDescent="0.35">
      <c r="A216" t="s">
        <v>52</v>
      </c>
      <c r="B216" t="s">
        <v>53</v>
      </c>
      <c r="C216" t="s">
        <v>54</v>
      </c>
      <c r="D216" t="s">
        <v>55</v>
      </c>
      <c r="E216" t="s">
        <v>56</v>
      </c>
      <c r="F216" t="s">
        <v>786</v>
      </c>
      <c r="G216" t="s">
        <v>800</v>
      </c>
      <c r="H216" t="s">
        <v>56</v>
      </c>
      <c r="I216" t="s">
        <v>801</v>
      </c>
      <c r="J216" t="s">
        <v>61</v>
      </c>
      <c r="K216" t="s">
        <v>62</v>
      </c>
      <c r="L216" t="s">
        <v>56</v>
      </c>
      <c r="M216" t="s">
        <v>56</v>
      </c>
      <c r="N216" t="s">
        <v>789</v>
      </c>
      <c r="O216" t="s">
        <v>790</v>
      </c>
      <c r="P216" t="s">
        <v>791</v>
      </c>
      <c r="Q216" t="s">
        <v>444</v>
      </c>
      <c r="R216" t="s">
        <v>248</v>
      </c>
      <c r="S216">
        <v>10000000</v>
      </c>
      <c r="T216">
        <v>-52813132.979999997</v>
      </c>
      <c r="U216" t="s">
        <v>68</v>
      </c>
      <c r="V216" t="s">
        <v>792</v>
      </c>
      <c r="W216" s="9">
        <v>20000003</v>
      </c>
      <c r="X216" t="s">
        <v>802</v>
      </c>
      <c r="Y216" s="1">
        <v>46044</v>
      </c>
      <c r="Z216" s="1">
        <v>46104</v>
      </c>
      <c r="AA216" s="2">
        <v>1341465.3</v>
      </c>
      <c r="AB216" s="2">
        <v>1136835</v>
      </c>
      <c r="AC216" s="2">
        <v>204630.3</v>
      </c>
      <c r="AD216" s="2">
        <v>1341465.3</v>
      </c>
      <c r="AE216" t="s">
        <v>803</v>
      </c>
      <c r="AF216" t="s">
        <v>72</v>
      </c>
      <c r="AG216">
        <v>-26</v>
      </c>
      <c r="AH216" t="s">
        <v>117</v>
      </c>
      <c r="AI216" t="s">
        <v>74</v>
      </c>
      <c r="AJ216" t="s">
        <v>127</v>
      </c>
      <c r="AK216" t="s">
        <v>334</v>
      </c>
      <c r="AL216" t="s">
        <v>118</v>
      </c>
      <c r="AM216" t="s">
        <v>78</v>
      </c>
      <c r="AN216" t="s">
        <v>795</v>
      </c>
      <c r="AO216" t="s">
        <v>119</v>
      </c>
      <c r="AP216" t="s">
        <v>46</v>
      </c>
      <c r="AQ216" t="s">
        <v>335</v>
      </c>
      <c r="AR216" t="str">
        <f t="shared" si="6"/>
        <v>20000003.SPMINAM</v>
      </c>
      <c r="AS216">
        <f t="shared" si="7"/>
        <v>14063607.689999999</v>
      </c>
      <c r="AT216" t="s">
        <v>82</v>
      </c>
    </row>
    <row r="217" spans="1:46" x14ac:dyDescent="0.35">
      <c r="A217" t="s">
        <v>52</v>
      </c>
      <c r="B217" t="s">
        <v>53</v>
      </c>
      <c r="C217" t="s">
        <v>54</v>
      </c>
      <c r="D217" t="s">
        <v>55</v>
      </c>
      <c r="E217" t="s">
        <v>56</v>
      </c>
      <c r="F217" t="s">
        <v>786</v>
      </c>
      <c r="G217" t="s">
        <v>804</v>
      </c>
      <c r="H217" t="s">
        <v>56</v>
      </c>
      <c r="I217" t="s">
        <v>805</v>
      </c>
      <c r="J217" t="s">
        <v>61</v>
      </c>
      <c r="K217" t="s">
        <v>62</v>
      </c>
      <c r="L217" t="s">
        <v>56</v>
      </c>
      <c r="M217" t="s">
        <v>56</v>
      </c>
      <c r="N217" t="s">
        <v>806</v>
      </c>
      <c r="O217" t="s">
        <v>790</v>
      </c>
      <c r="P217" t="s">
        <v>791</v>
      </c>
      <c r="Q217" t="s">
        <v>393</v>
      </c>
      <c r="R217" t="s">
        <v>248</v>
      </c>
      <c r="S217">
        <v>10000000</v>
      </c>
      <c r="T217">
        <v>-52813132.979999997</v>
      </c>
      <c r="U217" t="s">
        <v>68</v>
      </c>
      <c r="V217" t="s">
        <v>792</v>
      </c>
      <c r="W217" s="9">
        <v>20000003</v>
      </c>
      <c r="X217" t="s">
        <v>807</v>
      </c>
      <c r="Y217" s="1">
        <v>46044</v>
      </c>
      <c r="Z217" s="1">
        <v>46104</v>
      </c>
      <c r="AA217" s="2">
        <v>9392.33</v>
      </c>
      <c r="AB217" s="2">
        <v>7959.6</v>
      </c>
      <c r="AC217" s="2">
        <v>1432.73</v>
      </c>
      <c r="AD217" s="2">
        <v>9392.33</v>
      </c>
      <c r="AE217" t="s">
        <v>808</v>
      </c>
      <c r="AF217" t="s">
        <v>72</v>
      </c>
      <c r="AG217">
        <v>-26</v>
      </c>
      <c r="AH217" t="s">
        <v>117</v>
      </c>
      <c r="AI217" t="s">
        <v>74</v>
      </c>
      <c r="AJ217" t="s">
        <v>127</v>
      </c>
      <c r="AK217" t="s">
        <v>334</v>
      </c>
      <c r="AL217" t="s">
        <v>118</v>
      </c>
      <c r="AM217" t="s">
        <v>78</v>
      </c>
      <c r="AN217" t="s">
        <v>795</v>
      </c>
      <c r="AO217" t="s">
        <v>119</v>
      </c>
      <c r="AP217" t="s">
        <v>46</v>
      </c>
      <c r="AQ217" t="s">
        <v>335</v>
      </c>
      <c r="AR217" t="str">
        <f t="shared" si="6"/>
        <v>20000003.SPMINAM</v>
      </c>
      <c r="AS217">
        <f t="shared" si="7"/>
        <v>14063607.689999999</v>
      </c>
      <c r="AT217" t="s">
        <v>82</v>
      </c>
    </row>
    <row r="218" spans="1:46" x14ac:dyDescent="0.35">
      <c r="A218" t="s">
        <v>52</v>
      </c>
      <c r="B218" t="s">
        <v>53</v>
      </c>
      <c r="C218" t="s">
        <v>54</v>
      </c>
      <c r="D218" t="s">
        <v>55</v>
      </c>
      <c r="E218" t="s">
        <v>56</v>
      </c>
      <c r="F218" t="s">
        <v>786</v>
      </c>
      <c r="G218" t="s">
        <v>809</v>
      </c>
      <c r="H218" t="s">
        <v>56</v>
      </c>
      <c r="I218" t="s">
        <v>810</v>
      </c>
      <c r="J218" t="s">
        <v>61</v>
      </c>
      <c r="K218" t="s">
        <v>62</v>
      </c>
      <c r="L218" t="s">
        <v>56</v>
      </c>
      <c r="M218" t="s">
        <v>56</v>
      </c>
      <c r="N218" t="s">
        <v>789</v>
      </c>
      <c r="O218" t="s">
        <v>790</v>
      </c>
      <c r="P218" t="s">
        <v>791</v>
      </c>
      <c r="Q218" t="s">
        <v>114</v>
      </c>
      <c r="R218" t="s">
        <v>248</v>
      </c>
      <c r="S218">
        <v>10000000</v>
      </c>
      <c r="T218">
        <v>-52813132.979999997</v>
      </c>
      <c r="U218" t="s">
        <v>68</v>
      </c>
      <c r="V218" t="s">
        <v>792</v>
      </c>
      <c r="W218" s="9">
        <v>20000003</v>
      </c>
      <c r="X218" t="s">
        <v>811</v>
      </c>
      <c r="Y218" s="1">
        <v>46044</v>
      </c>
      <c r="Z218" s="1">
        <v>46104</v>
      </c>
      <c r="AA218" s="2">
        <v>2835.54</v>
      </c>
      <c r="AB218" s="2">
        <v>2403</v>
      </c>
      <c r="AC218" s="2">
        <v>432.54</v>
      </c>
      <c r="AD218" s="2">
        <v>2835.54</v>
      </c>
      <c r="AE218" t="s">
        <v>812</v>
      </c>
      <c r="AF218" t="s">
        <v>72</v>
      </c>
      <c r="AG218">
        <v>-26</v>
      </c>
      <c r="AH218" t="s">
        <v>117</v>
      </c>
      <c r="AI218" t="s">
        <v>74</v>
      </c>
      <c r="AJ218" t="s">
        <v>127</v>
      </c>
      <c r="AK218" t="s">
        <v>334</v>
      </c>
      <c r="AL218" t="s">
        <v>118</v>
      </c>
      <c r="AM218" t="s">
        <v>78</v>
      </c>
      <c r="AN218" t="s">
        <v>795</v>
      </c>
      <c r="AO218" t="s">
        <v>119</v>
      </c>
      <c r="AP218" t="s">
        <v>46</v>
      </c>
      <c r="AQ218" t="s">
        <v>335</v>
      </c>
      <c r="AR218" t="str">
        <f t="shared" si="6"/>
        <v>20000003.SPMINAM</v>
      </c>
      <c r="AS218">
        <f t="shared" si="7"/>
        <v>14063607.689999999</v>
      </c>
      <c r="AT218" t="s">
        <v>82</v>
      </c>
    </row>
    <row r="219" spans="1:46" x14ac:dyDescent="0.35">
      <c r="A219" t="s">
        <v>52</v>
      </c>
      <c r="B219" t="s">
        <v>53</v>
      </c>
      <c r="C219" t="s">
        <v>54</v>
      </c>
      <c r="D219" t="s">
        <v>55</v>
      </c>
      <c r="E219" t="s">
        <v>56</v>
      </c>
      <c r="F219" t="s">
        <v>786</v>
      </c>
      <c r="G219" t="s">
        <v>813</v>
      </c>
      <c r="H219" t="s">
        <v>56</v>
      </c>
      <c r="I219" t="s">
        <v>814</v>
      </c>
      <c r="J219" t="s">
        <v>61</v>
      </c>
      <c r="K219" t="s">
        <v>62</v>
      </c>
      <c r="L219" t="s">
        <v>56</v>
      </c>
      <c r="M219" t="s">
        <v>56</v>
      </c>
      <c r="N219" t="s">
        <v>789</v>
      </c>
      <c r="O219" t="s">
        <v>790</v>
      </c>
      <c r="P219" t="s">
        <v>791</v>
      </c>
      <c r="Q219" t="s">
        <v>247</v>
      </c>
      <c r="R219" t="s">
        <v>248</v>
      </c>
      <c r="S219">
        <v>10000000</v>
      </c>
      <c r="T219">
        <v>-52813132.979999997</v>
      </c>
      <c r="U219" t="s">
        <v>68</v>
      </c>
      <c r="V219" t="s">
        <v>792</v>
      </c>
      <c r="W219" s="9">
        <v>20000003</v>
      </c>
      <c r="X219" t="s">
        <v>815</v>
      </c>
      <c r="Y219" s="1">
        <v>46070</v>
      </c>
      <c r="Z219" s="1">
        <v>46130</v>
      </c>
      <c r="AA219" s="2">
        <v>253276.38</v>
      </c>
      <c r="AB219" s="2">
        <v>214641</v>
      </c>
      <c r="AC219" s="2">
        <v>38635.379999999997</v>
      </c>
      <c r="AD219" s="2">
        <v>253276.38</v>
      </c>
      <c r="AE219" t="s">
        <v>816</v>
      </c>
      <c r="AF219" t="s">
        <v>72</v>
      </c>
      <c r="AG219">
        <v>-52</v>
      </c>
      <c r="AH219" t="s">
        <v>117</v>
      </c>
      <c r="AI219" t="s">
        <v>74</v>
      </c>
      <c r="AJ219" t="s">
        <v>127</v>
      </c>
      <c r="AK219" t="s">
        <v>334</v>
      </c>
      <c r="AL219" t="s">
        <v>118</v>
      </c>
      <c r="AM219" t="s">
        <v>78</v>
      </c>
      <c r="AN219" t="s">
        <v>795</v>
      </c>
      <c r="AO219" t="s">
        <v>119</v>
      </c>
      <c r="AP219" t="s">
        <v>46</v>
      </c>
      <c r="AQ219" t="s">
        <v>335</v>
      </c>
      <c r="AR219" t="str">
        <f t="shared" si="6"/>
        <v>20000003.SPMINAM</v>
      </c>
      <c r="AS219">
        <f t="shared" si="7"/>
        <v>14063607.689999999</v>
      </c>
      <c r="AT219" t="s">
        <v>82</v>
      </c>
    </row>
    <row r="220" spans="1:46" x14ac:dyDescent="0.35">
      <c r="A220" t="s">
        <v>52</v>
      </c>
      <c r="B220" t="s">
        <v>53</v>
      </c>
      <c r="C220" t="s">
        <v>54</v>
      </c>
      <c r="D220" t="s">
        <v>55</v>
      </c>
      <c r="E220" t="s">
        <v>56</v>
      </c>
      <c r="F220" t="s">
        <v>786</v>
      </c>
      <c r="G220" t="s">
        <v>817</v>
      </c>
      <c r="H220" t="s">
        <v>56</v>
      </c>
      <c r="I220" t="s">
        <v>818</v>
      </c>
      <c r="J220" t="s">
        <v>61</v>
      </c>
      <c r="K220" t="s">
        <v>62</v>
      </c>
      <c r="L220" t="s">
        <v>56</v>
      </c>
      <c r="M220" t="s">
        <v>56</v>
      </c>
      <c r="N220" t="s">
        <v>789</v>
      </c>
      <c r="O220" t="s">
        <v>790</v>
      </c>
      <c r="P220" t="s">
        <v>791</v>
      </c>
      <c r="Q220" t="s">
        <v>114</v>
      </c>
      <c r="R220" t="s">
        <v>248</v>
      </c>
      <c r="S220">
        <v>10000000</v>
      </c>
      <c r="T220">
        <v>-52813132.979999997</v>
      </c>
      <c r="U220" t="s">
        <v>68</v>
      </c>
      <c r="V220" t="s">
        <v>792</v>
      </c>
      <c r="W220" s="9">
        <v>20000003</v>
      </c>
      <c r="X220" t="s">
        <v>819</v>
      </c>
      <c r="Y220" s="1">
        <v>46073</v>
      </c>
      <c r="Z220" s="1">
        <v>46133</v>
      </c>
      <c r="AA220" s="2">
        <v>1465560</v>
      </c>
      <c r="AB220" s="2">
        <v>1242000</v>
      </c>
      <c r="AC220" s="2">
        <v>223560</v>
      </c>
      <c r="AD220" s="2">
        <v>1465560</v>
      </c>
      <c r="AE220" t="s">
        <v>820</v>
      </c>
      <c r="AF220" t="s">
        <v>72</v>
      </c>
      <c r="AG220">
        <v>-55</v>
      </c>
      <c r="AH220" t="s">
        <v>117</v>
      </c>
      <c r="AI220" t="s">
        <v>74</v>
      </c>
      <c r="AJ220" t="s">
        <v>127</v>
      </c>
      <c r="AK220" t="s">
        <v>334</v>
      </c>
      <c r="AL220" t="s">
        <v>118</v>
      </c>
      <c r="AM220" t="s">
        <v>78</v>
      </c>
      <c r="AN220" t="s">
        <v>795</v>
      </c>
      <c r="AO220" t="s">
        <v>119</v>
      </c>
      <c r="AP220" t="s">
        <v>46</v>
      </c>
      <c r="AQ220" t="s">
        <v>335</v>
      </c>
      <c r="AR220" t="str">
        <f t="shared" si="6"/>
        <v>20000003.SPMINAM</v>
      </c>
      <c r="AS220">
        <f t="shared" si="7"/>
        <v>14063607.689999999</v>
      </c>
      <c r="AT220" t="s">
        <v>82</v>
      </c>
    </row>
    <row r="221" spans="1:46" x14ac:dyDescent="0.35">
      <c r="A221" t="s">
        <v>52</v>
      </c>
      <c r="B221" t="s">
        <v>53</v>
      </c>
      <c r="C221" t="s">
        <v>54</v>
      </c>
      <c r="D221" t="s">
        <v>55</v>
      </c>
      <c r="E221" t="s">
        <v>56</v>
      </c>
      <c r="F221" t="s">
        <v>786</v>
      </c>
      <c r="G221" t="s">
        <v>817</v>
      </c>
      <c r="H221" t="s">
        <v>56</v>
      </c>
      <c r="I221" t="s">
        <v>818</v>
      </c>
      <c r="J221" t="s">
        <v>61</v>
      </c>
      <c r="K221" t="s">
        <v>62</v>
      </c>
      <c r="L221" t="s">
        <v>56</v>
      </c>
      <c r="M221" t="s">
        <v>56</v>
      </c>
      <c r="N221" t="s">
        <v>821</v>
      </c>
      <c r="O221" t="s">
        <v>790</v>
      </c>
      <c r="P221" t="s">
        <v>791</v>
      </c>
      <c r="Q221" t="s">
        <v>114</v>
      </c>
      <c r="R221" t="s">
        <v>248</v>
      </c>
      <c r="S221">
        <v>10000000</v>
      </c>
      <c r="T221">
        <v>-52813132.979999997</v>
      </c>
      <c r="U221" t="s">
        <v>68</v>
      </c>
      <c r="V221" t="s">
        <v>792</v>
      </c>
      <c r="W221" s="9">
        <v>20000003</v>
      </c>
      <c r="X221" t="s">
        <v>819</v>
      </c>
      <c r="Y221" s="1">
        <v>46073</v>
      </c>
      <c r="Z221" s="1">
        <v>46133</v>
      </c>
      <c r="AA221" s="2">
        <v>659166.88</v>
      </c>
      <c r="AB221" s="2">
        <v>558616</v>
      </c>
      <c r="AC221" s="2">
        <v>100550.88</v>
      </c>
      <c r="AD221" s="2">
        <v>659166.88</v>
      </c>
      <c r="AE221" t="s">
        <v>822</v>
      </c>
      <c r="AF221" t="s">
        <v>72</v>
      </c>
      <c r="AG221">
        <v>-55</v>
      </c>
      <c r="AH221" t="s">
        <v>117</v>
      </c>
      <c r="AI221" t="s">
        <v>74</v>
      </c>
      <c r="AJ221" t="s">
        <v>127</v>
      </c>
      <c r="AK221" t="s">
        <v>334</v>
      </c>
      <c r="AL221" t="s">
        <v>118</v>
      </c>
      <c r="AM221" t="s">
        <v>78</v>
      </c>
      <c r="AN221" t="s">
        <v>795</v>
      </c>
      <c r="AO221" t="s">
        <v>119</v>
      </c>
      <c r="AP221" t="s">
        <v>46</v>
      </c>
      <c r="AQ221" t="s">
        <v>335</v>
      </c>
      <c r="AR221" t="str">
        <f t="shared" si="6"/>
        <v>20000003.SPMINAM</v>
      </c>
      <c r="AS221">
        <f t="shared" si="7"/>
        <v>14063607.689999999</v>
      </c>
      <c r="AT221" t="s">
        <v>82</v>
      </c>
    </row>
    <row r="222" spans="1:46" x14ac:dyDescent="0.35">
      <c r="A222" t="s">
        <v>52</v>
      </c>
      <c r="B222" t="s">
        <v>53</v>
      </c>
      <c r="C222" t="s">
        <v>54</v>
      </c>
      <c r="D222" t="s">
        <v>55</v>
      </c>
      <c r="E222" t="s">
        <v>56</v>
      </c>
      <c r="F222" t="s">
        <v>786</v>
      </c>
      <c r="G222" t="s">
        <v>823</v>
      </c>
      <c r="H222" t="s">
        <v>56</v>
      </c>
      <c r="I222" t="s">
        <v>824</v>
      </c>
      <c r="J222" t="s">
        <v>61</v>
      </c>
      <c r="K222" t="s">
        <v>62</v>
      </c>
      <c r="L222" t="s">
        <v>56</v>
      </c>
      <c r="M222" t="s">
        <v>56</v>
      </c>
      <c r="N222" t="s">
        <v>789</v>
      </c>
      <c r="O222" t="s">
        <v>790</v>
      </c>
      <c r="P222" t="s">
        <v>791</v>
      </c>
      <c r="Q222" t="s">
        <v>444</v>
      </c>
      <c r="R222" t="s">
        <v>248</v>
      </c>
      <c r="S222">
        <v>10000000</v>
      </c>
      <c r="T222">
        <v>-52813132.979999997</v>
      </c>
      <c r="U222" t="s">
        <v>68</v>
      </c>
      <c r="V222" t="s">
        <v>792</v>
      </c>
      <c r="W222" s="9">
        <v>20000003</v>
      </c>
      <c r="X222" t="s">
        <v>825</v>
      </c>
      <c r="Y222" s="1">
        <v>46073</v>
      </c>
      <c r="Z222" s="1">
        <v>46133</v>
      </c>
      <c r="AA222" s="2">
        <v>94617.12</v>
      </c>
      <c r="AB222" s="2">
        <v>80184</v>
      </c>
      <c r="AC222" s="2">
        <v>14433.12</v>
      </c>
      <c r="AD222" s="2">
        <v>94617.12</v>
      </c>
      <c r="AE222" t="s">
        <v>826</v>
      </c>
      <c r="AF222" t="s">
        <v>72</v>
      </c>
      <c r="AG222">
        <v>-55</v>
      </c>
      <c r="AH222" t="s">
        <v>117</v>
      </c>
      <c r="AI222" t="s">
        <v>74</v>
      </c>
      <c r="AJ222" t="s">
        <v>127</v>
      </c>
      <c r="AK222" t="s">
        <v>334</v>
      </c>
      <c r="AL222" t="s">
        <v>118</v>
      </c>
      <c r="AM222" t="s">
        <v>78</v>
      </c>
      <c r="AN222" t="s">
        <v>795</v>
      </c>
      <c r="AO222" t="s">
        <v>119</v>
      </c>
      <c r="AP222" t="s">
        <v>46</v>
      </c>
      <c r="AQ222" t="s">
        <v>335</v>
      </c>
      <c r="AR222" t="str">
        <f t="shared" si="6"/>
        <v>20000003.SPMINAM</v>
      </c>
      <c r="AS222">
        <f t="shared" si="7"/>
        <v>14063607.689999999</v>
      </c>
      <c r="AT222" t="s">
        <v>82</v>
      </c>
    </row>
    <row r="223" spans="1:46" x14ac:dyDescent="0.35">
      <c r="A223" t="s">
        <v>52</v>
      </c>
      <c r="B223" t="s">
        <v>53</v>
      </c>
      <c r="C223" t="s">
        <v>54</v>
      </c>
      <c r="D223" t="s">
        <v>55</v>
      </c>
      <c r="E223" t="s">
        <v>56</v>
      </c>
      <c r="F223" t="s">
        <v>786</v>
      </c>
      <c r="G223" t="s">
        <v>827</v>
      </c>
      <c r="H223" t="s">
        <v>56</v>
      </c>
      <c r="I223" t="s">
        <v>828</v>
      </c>
      <c r="J223" t="s">
        <v>61</v>
      </c>
      <c r="K223" t="s">
        <v>62</v>
      </c>
      <c r="L223" t="s">
        <v>56</v>
      </c>
      <c r="M223" t="s">
        <v>56</v>
      </c>
      <c r="N223" t="s">
        <v>789</v>
      </c>
      <c r="O223" t="s">
        <v>790</v>
      </c>
      <c r="P223" t="s">
        <v>791</v>
      </c>
      <c r="Q223" t="s">
        <v>444</v>
      </c>
      <c r="R223" t="s">
        <v>248</v>
      </c>
      <c r="S223">
        <v>10000000</v>
      </c>
      <c r="T223">
        <v>-52813132.979999997</v>
      </c>
      <c r="U223" t="s">
        <v>68</v>
      </c>
      <c r="V223" t="s">
        <v>792</v>
      </c>
      <c r="W223" s="9">
        <v>20000003</v>
      </c>
      <c r="X223" t="s">
        <v>829</v>
      </c>
      <c r="Y223" s="1">
        <v>46073</v>
      </c>
      <c r="Z223" s="1">
        <v>46133</v>
      </c>
      <c r="AA223" s="2">
        <v>1210680</v>
      </c>
      <c r="AB223" s="2">
        <v>1026000</v>
      </c>
      <c r="AC223" s="2">
        <v>184680</v>
      </c>
      <c r="AD223" s="2">
        <v>1210680</v>
      </c>
      <c r="AE223" t="s">
        <v>830</v>
      </c>
      <c r="AF223" t="s">
        <v>72</v>
      </c>
      <c r="AG223">
        <v>-55</v>
      </c>
      <c r="AH223" t="s">
        <v>117</v>
      </c>
      <c r="AI223" t="s">
        <v>74</v>
      </c>
      <c r="AJ223" t="s">
        <v>127</v>
      </c>
      <c r="AK223" t="s">
        <v>334</v>
      </c>
      <c r="AL223" t="s">
        <v>118</v>
      </c>
      <c r="AM223" t="s">
        <v>78</v>
      </c>
      <c r="AN223" t="s">
        <v>795</v>
      </c>
      <c r="AO223" t="s">
        <v>119</v>
      </c>
      <c r="AP223" t="s">
        <v>46</v>
      </c>
      <c r="AQ223" t="s">
        <v>335</v>
      </c>
      <c r="AR223" t="str">
        <f t="shared" si="6"/>
        <v>20000003.SPMINAM</v>
      </c>
      <c r="AS223">
        <f t="shared" si="7"/>
        <v>14063607.689999999</v>
      </c>
      <c r="AT223" t="s">
        <v>82</v>
      </c>
    </row>
    <row r="224" spans="1:46" x14ac:dyDescent="0.35">
      <c r="A224" t="s">
        <v>52</v>
      </c>
      <c r="B224" t="s">
        <v>53</v>
      </c>
      <c r="C224" t="s">
        <v>54</v>
      </c>
      <c r="D224" t="s">
        <v>55</v>
      </c>
      <c r="E224" t="s">
        <v>56</v>
      </c>
      <c r="F224" t="s">
        <v>786</v>
      </c>
      <c r="G224" t="s">
        <v>831</v>
      </c>
      <c r="H224" t="s">
        <v>56</v>
      </c>
      <c r="I224" t="s">
        <v>832</v>
      </c>
      <c r="J224" t="s">
        <v>61</v>
      </c>
      <c r="K224" t="s">
        <v>62</v>
      </c>
      <c r="L224" t="s">
        <v>56</v>
      </c>
      <c r="M224" t="s">
        <v>56</v>
      </c>
      <c r="N224" t="s">
        <v>789</v>
      </c>
      <c r="O224" t="s">
        <v>790</v>
      </c>
      <c r="P224" t="s">
        <v>791</v>
      </c>
      <c r="Q224" t="s">
        <v>393</v>
      </c>
      <c r="R224" t="s">
        <v>248</v>
      </c>
      <c r="S224">
        <v>10000000</v>
      </c>
      <c r="T224">
        <v>-52813132.979999997</v>
      </c>
      <c r="U224" t="s">
        <v>68</v>
      </c>
      <c r="V224" t="s">
        <v>792</v>
      </c>
      <c r="W224" s="9">
        <v>20000003</v>
      </c>
      <c r="X224" t="s">
        <v>833</v>
      </c>
      <c r="Y224" s="1">
        <v>46073</v>
      </c>
      <c r="Z224" s="1">
        <v>46133</v>
      </c>
      <c r="AA224" s="2">
        <v>201653.74</v>
      </c>
      <c r="AB224" s="2">
        <v>170893</v>
      </c>
      <c r="AC224" s="2">
        <v>30760.74</v>
      </c>
      <c r="AD224" s="2">
        <v>201653.74</v>
      </c>
      <c r="AE224" t="s">
        <v>834</v>
      </c>
      <c r="AF224" t="s">
        <v>72</v>
      </c>
      <c r="AG224">
        <v>-55</v>
      </c>
      <c r="AH224" t="s">
        <v>117</v>
      </c>
      <c r="AI224" t="s">
        <v>74</v>
      </c>
      <c r="AJ224" t="s">
        <v>127</v>
      </c>
      <c r="AK224" t="s">
        <v>334</v>
      </c>
      <c r="AL224" t="s">
        <v>118</v>
      </c>
      <c r="AM224" t="s">
        <v>78</v>
      </c>
      <c r="AN224" t="s">
        <v>795</v>
      </c>
      <c r="AO224" t="s">
        <v>119</v>
      </c>
      <c r="AP224" t="s">
        <v>46</v>
      </c>
      <c r="AQ224" t="s">
        <v>335</v>
      </c>
      <c r="AR224" t="str">
        <f t="shared" si="6"/>
        <v>20000003.SPMINAM</v>
      </c>
      <c r="AS224">
        <f t="shared" si="7"/>
        <v>14063607.689999999</v>
      </c>
      <c r="AT224" t="s">
        <v>82</v>
      </c>
    </row>
    <row r="225" spans="1:46" x14ac:dyDescent="0.35">
      <c r="A225" t="s">
        <v>52</v>
      </c>
      <c r="B225" t="s">
        <v>53</v>
      </c>
      <c r="C225" t="s">
        <v>54</v>
      </c>
      <c r="D225" t="s">
        <v>55</v>
      </c>
      <c r="E225" t="s">
        <v>56</v>
      </c>
      <c r="F225" t="s">
        <v>786</v>
      </c>
      <c r="G225" t="s">
        <v>835</v>
      </c>
      <c r="H225" t="s">
        <v>56</v>
      </c>
      <c r="I225" t="s">
        <v>836</v>
      </c>
      <c r="J225" t="s">
        <v>61</v>
      </c>
      <c r="K225" t="s">
        <v>62</v>
      </c>
      <c r="L225" t="s">
        <v>56</v>
      </c>
      <c r="M225" t="s">
        <v>56</v>
      </c>
      <c r="N225" t="s">
        <v>789</v>
      </c>
      <c r="O225" t="s">
        <v>790</v>
      </c>
      <c r="P225" t="s">
        <v>791</v>
      </c>
      <c r="Q225" t="s">
        <v>393</v>
      </c>
      <c r="R225" t="s">
        <v>248</v>
      </c>
      <c r="S225">
        <v>10000000</v>
      </c>
      <c r="T225">
        <v>-52813132.979999997</v>
      </c>
      <c r="U225" t="s">
        <v>68</v>
      </c>
      <c r="V225" t="s">
        <v>792</v>
      </c>
      <c r="W225" s="9">
        <v>20000003</v>
      </c>
      <c r="X225" t="s">
        <v>837</v>
      </c>
      <c r="Y225" s="1">
        <v>46073</v>
      </c>
      <c r="Z225" s="1">
        <v>46133</v>
      </c>
      <c r="AA225" s="2">
        <v>116820</v>
      </c>
      <c r="AB225" s="2">
        <v>99000</v>
      </c>
      <c r="AC225" s="2">
        <v>17820</v>
      </c>
      <c r="AD225" s="2">
        <v>116820</v>
      </c>
      <c r="AE225" t="s">
        <v>838</v>
      </c>
      <c r="AF225" t="s">
        <v>72</v>
      </c>
      <c r="AG225">
        <v>-55</v>
      </c>
      <c r="AH225" t="s">
        <v>117</v>
      </c>
      <c r="AI225" t="s">
        <v>74</v>
      </c>
      <c r="AJ225" t="s">
        <v>127</v>
      </c>
      <c r="AK225" t="s">
        <v>334</v>
      </c>
      <c r="AL225" t="s">
        <v>118</v>
      </c>
      <c r="AM225" t="s">
        <v>78</v>
      </c>
      <c r="AN225" t="s">
        <v>795</v>
      </c>
      <c r="AO225" t="s">
        <v>119</v>
      </c>
      <c r="AP225" t="s">
        <v>46</v>
      </c>
      <c r="AQ225" t="s">
        <v>335</v>
      </c>
      <c r="AR225" t="str">
        <f t="shared" si="6"/>
        <v>20000003.SPMINAM</v>
      </c>
      <c r="AS225">
        <f t="shared" si="7"/>
        <v>14063607.689999999</v>
      </c>
      <c r="AT225" t="s">
        <v>82</v>
      </c>
    </row>
    <row r="226" spans="1:46" x14ac:dyDescent="0.35">
      <c r="A226" t="s">
        <v>52</v>
      </c>
      <c r="B226" t="s">
        <v>53</v>
      </c>
      <c r="C226" t="s">
        <v>54</v>
      </c>
      <c r="D226" t="s">
        <v>55</v>
      </c>
      <c r="E226" t="s">
        <v>56</v>
      </c>
      <c r="F226" t="s">
        <v>786</v>
      </c>
      <c r="G226" t="s">
        <v>839</v>
      </c>
      <c r="H226" t="s">
        <v>56</v>
      </c>
      <c r="I226" t="s">
        <v>840</v>
      </c>
      <c r="J226" t="s">
        <v>61</v>
      </c>
      <c r="K226" t="s">
        <v>62</v>
      </c>
      <c r="L226" t="s">
        <v>56</v>
      </c>
      <c r="M226" t="s">
        <v>56</v>
      </c>
      <c r="N226" t="s">
        <v>841</v>
      </c>
      <c r="O226" t="s">
        <v>790</v>
      </c>
      <c r="P226" t="s">
        <v>791</v>
      </c>
      <c r="Q226" t="s">
        <v>247</v>
      </c>
      <c r="R226" t="s">
        <v>248</v>
      </c>
      <c r="S226">
        <v>10000000</v>
      </c>
      <c r="T226">
        <v>-52813132.979999997</v>
      </c>
      <c r="U226" t="s">
        <v>68</v>
      </c>
      <c r="V226" t="s">
        <v>792</v>
      </c>
      <c r="W226" s="9">
        <v>20000003</v>
      </c>
      <c r="X226" t="s">
        <v>842</v>
      </c>
      <c r="Y226" s="1">
        <v>46073</v>
      </c>
      <c r="Z226" s="1">
        <v>46133</v>
      </c>
      <c r="AA226" s="2">
        <v>1444320</v>
      </c>
      <c r="AB226" s="2">
        <v>1224000</v>
      </c>
      <c r="AC226" s="2">
        <v>220320</v>
      </c>
      <c r="AD226" s="2">
        <v>1444320</v>
      </c>
      <c r="AE226" t="s">
        <v>843</v>
      </c>
      <c r="AF226" t="s">
        <v>72</v>
      </c>
      <c r="AG226">
        <v>-55</v>
      </c>
      <c r="AH226" t="s">
        <v>117</v>
      </c>
      <c r="AI226" t="s">
        <v>74</v>
      </c>
      <c r="AJ226" t="s">
        <v>127</v>
      </c>
      <c r="AK226" t="s">
        <v>334</v>
      </c>
      <c r="AL226" t="s">
        <v>118</v>
      </c>
      <c r="AM226" t="s">
        <v>78</v>
      </c>
      <c r="AN226" t="s">
        <v>795</v>
      </c>
      <c r="AO226" t="s">
        <v>119</v>
      </c>
      <c r="AP226" t="s">
        <v>46</v>
      </c>
      <c r="AQ226" t="s">
        <v>335</v>
      </c>
      <c r="AR226" t="str">
        <f t="shared" si="6"/>
        <v>20000003.SPMINAM</v>
      </c>
      <c r="AS226">
        <f t="shared" si="7"/>
        <v>14063607.689999999</v>
      </c>
      <c r="AT226" t="s">
        <v>82</v>
      </c>
    </row>
    <row r="227" spans="1:46" x14ac:dyDescent="0.35">
      <c r="A227" t="s">
        <v>52</v>
      </c>
      <c r="B227" t="s">
        <v>53</v>
      </c>
      <c r="C227" t="s">
        <v>54</v>
      </c>
      <c r="D227" t="s">
        <v>55</v>
      </c>
      <c r="E227" t="s">
        <v>56</v>
      </c>
      <c r="F227" t="s">
        <v>786</v>
      </c>
      <c r="G227" t="s">
        <v>844</v>
      </c>
      <c r="H227" t="s">
        <v>56</v>
      </c>
      <c r="I227" t="s">
        <v>845</v>
      </c>
      <c r="J227" t="s">
        <v>61</v>
      </c>
      <c r="K227" t="s">
        <v>62</v>
      </c>
      <c r="L227" t="s">
        <v>56</v>
      </c>
      <c r="M227" t="s">
        <v>56</v>
      </c>
      <c r="N227" t="s">
        <v>789</v>
      </c>
      <c r="O227" t="s">
        <v>790</v>
      </c>
      <c r="P227" t="s">
        <v>791</v>
      </c>
      <c r="Q227" t="s">
        <v>114</v>
      </c>
      <c r="R227" t="s">
        <v>248</v>
      </c>
      <c r="S227">
        <v>10000000</v>
      </c>
      <c r="T227">
        <v>-52813132.979999997</v>
      </c>
      <c r="U227" t="s">
        <v>68</v>
      </c>
      <c r="V227" t="s">
        <v>792</v>
      </c>
      <c r="W227" s="9">
        <v>20000003</v>
      </c>
      <c r="X227" t="s">
        <v>846</v>
      </c>
      <c r="Y227" s="1">
        <v>46074</v>
      </c>
      <c r="Z227" s="1">
        <v>46134</v>
      </c>
      <c r="AA227" s="2">
        <v>2593404</v>
      </c>
      <c r="AB227" s="2">
        <v>2197800</v>
      </c>
      <c r="AC227" s="2">
        <v>395604</v>
      </c>
      <c r="AD227" s="2">
        <v>2593404</v>
      </c>
      <c r="AE227" t="s">
        <v>847</v>
      </c>
      <c r="AF227" t="s">
        <v>72</v>
      </c>
      <c r="AG227">
        <v>-56</v>
      </c>
      <c r="AH227" t="s">
        <v>117</v>
      </c>
      <c r="AI227" t="s">
        <v>74</v>
      </c>
      <c r="AJ227" t="s">
        <v>127</v>
      </c>
      <c r="AK227" t="s">
        <v>334</v>
      </c>
      <c r="AL227" t="s">
        <v>118</v>
      </c>
      <c r="AM227" t="s">
        <v>78</v>
      </c>
      <c r="AN227" t="s">
        <v>795</v>
      </c>
      <c r="AO227" t="s">
        <v>119</v>
      </c>
      <c r="AP227" t="s">
        <v>46</v>
      </c>
      <c r="AQ227" t="s">
        <v>335</v>
      </c>
      <c r="AR227" t="str">
        <f t="shared" si="6"/>
        <v>20000003.SPMINAM</v>
      </c>
      <c r="AS227">
        <f t="shared" si="7"/>
        <v>14063607.689999999</v>
      </c>
      <c r="AT227" t="s">
        <v>82</v>
      </c>
    </row>
    <row r="228" spans="1:46" x14ac:dyDescent="0.35">
      <c r="A228" t="s">
        <v>52</v>
      </c>
      <c r="B228" t="s">
        <v>53</v>
      </c>
      <c r="C228" t="s">
        <v>54</v>
      </c>
      <c r="D228" t="s">
        <v>55</v>
      </c>
      <c r="E228" t="s">
        <v>56</v>
      </c>
      <c r="F228" t="s">
        <v>848</v>
      </c>
      <c r="G228" t="s">
        <v>849</v>
      </c>
      <c r="H228" t="s">
        <v>56</v>
      </c>
      <c r="I228" t="s">
        <v>850</v>
      </c>
      <c r="J228" t="s">
        <v>851</v>
      </c>
      <c r="K228" t="s">
        <v>640</v>
      </c>
      <c r="L228" t="s">
        <v>56</v>
      </c>
      <c r="M228" t="s">
        <v>56</v>
      </c>
      <c r="N228" t="s">
        <v>852</v>
      </c>
      <c r="O228" t="s">
        <v>790</v>
      </c>
      <c r="P228" t="s">
        <v>791</v>
      </c>
      <c r="Q228" t="s">
        <v>853</v>
      </c>
      <c r="R228" t="s">
        <v>248</v>
      </c>
      <c r="S228">
        <v>40000000</v>
      </c>
      <c r="T228">
        <v>-345667164.70999998</v>
      </c>
      <c r="U228" t="s">
        <v>68</v>
      </c>
      <c r="V228" t="s">
        <v>792</v>
      </c>
      <c r="W228" s="9">
        <v>60601571</v>
      </c>
      <c r="X228" t="s">
        <v>854</v>
      </c>
      <c r="Y228" s="1">
        <v>46017</v>
      </c>
      <c r="Z228" s="1">
        <v>46077</v>
      </c>
      <c r="AA228" s="2">
        <v>2539583.02</v>
      </c>
      <c r="AB228" s="2">
        <v>2152189</v>
      </c>
      <c r="AC228" s="2">
        <v>387394.02</v>
      </c>
      <c r="AD228" s="2">
        <v>2539583.02</v>
      </c>
      <c r="AE228" t="s">
        <v>855</v>
      </c>
      <c r="AF228" t="s">
        <v>72</v>
      </c>
      <c r="AG228">
        <v>1</v>
      </c>
      <c r="AH228" t="s">
        <v>73</v>
      </c>
      <c r="AI228" t="s">
        <v>74</v>
      </c>
      <c r="AJ228" t="s">
        <v>75</v>
      </c>
      <c r="AK228" t="s">
        <v>76</v>
      </c>
      <c r="AL228" t="s">
        <v>77</v>
      </c>
      <c r="AM228" t="s">
        <v>78</v>
      </c>
      <c r="AN228" t="s">
        <v>795</v>
      </c>
      <c r="AO228" t="s">
        <v>80</v>
      </c>
      <c r="AP228" t="s">
        <v>46</v>
      </c>
      <c r="AQ228" t="s">
        <v>81</v>
      </c>
      <c r="AR228" t="str">
        <f t="shared" si="6"/>
        <v>60601571.STATAM</v>
      </c>
      <c r="AS228">
        <f t="shared" si="7"/>
        <v>48679286.969999976</v>
      </c>
      <c r="AT228" t="s">
        <v>82</v>
      </c>
    </row>
    <row r="229" spans="1:46" x14ac:dyDescent="0.35">
      <c r="A229" t="s">
        <v>52</v>
      </c>
      <c r="B229" t="s">
        <v>53</v>
      </c>
      <c r="C229" t="s">
        <v>54</v>
      </c>
      <c r="D229" t="s">
        <v>55</v>
      </c>
      <c r="E229" t="s">
        <v>56</v>
      </c>
      <c r="F229" t="s">
        <v>848</v>
      </c>
      <c r="G229" t="s">
        <v>856</v>
      </c>
      <c r="H229" t="s">
        <v>56</v>
      </c>
      <c r="I229" t="s">
        <v>857</v>
      </c>
      <c r="J229" t="s">
        <v>851</v>
      </c>
      <c r="K229" t="s">
        <v>640</v>
      </c>
      <c r="L229" t="s">
        <v>56</v>
      </c>
      <c r="M229" t="s">
        <v>56</v>
      </c>
      <c r="N229" t="s">
        <v>295</v>
      </c>
      <c r="O229" t="s">
        <v>790</v>
      </c>
      <c r="P229" t="s">
        <v>791</v>
      </c>
      <c r="Q229" t="s">
        <v>393</v>
      </c>
      <c r="R229" t="s">
        <v>248</v>
      </c>
      <c r="S229">
        <v>40000000</v>
      </c>
      <c r="T229">
        <v>-345667164.70999998</v>
      </c>
      <c r="U229" t="s">
        <v>68</v>
      </c>
      <c r="V229" t="s">
        <v>792</v>
      </c>
      <c r="W229" s="9">
        <v>60601571</v>
      </c>
      <c r="X229" t="s">
        <v>858</v>
      </c>
      <c r="Y229" s="1">
        <v>46017</v>
      </c>
      <c r="Z229" s="1">
        <v>46077</v>
      </c>
      <c r="AA229" s="2">
        <v>104616.44</v>
      </c>
      <c r="AB229" s="2">
        <v>88658</v>
      </c>
      <c r="AC229" s="2">
        <v>15958.44</v>
      </c>
      <c r="AD229" s="2">
        <v>104616.44</v>
      </c>
      <c r="AE229" t="s">
        <v>859</v>
      </c>
      <c r="AF229" t="s">
        <v>72</v>
      </c>
      <c r="AG229">
        <v>1</v>
      </c>
      <c r="AH229" t="s">
        <v>73</v>
      </c>
      <c r="AI229" t="s">
        <v>74</v>
      </c>
      <c r="AJ229" t="s">
        <v>75</v>
      </c>
      <c r="AK229" t="s">
        <v>76</v>
      </c>
      <c r="AL229" t="s">
        <v>77</v>
      </c>
      <c r="AM229" t="s">
        <v>78</v>
      </c>
      <c r="AN229" t="s">
        <v>795</v>
      </c>
      <c r="AO229" t="s">
        <v>80</v>
      </c>
      <c r="AP229" t="s">
        <v>46</v>
      </c>
      <c r="AQ229" t="s">
        <v>81</v>
      </c>
      <c r="AR229" t="str">
        <f t="shared" si="6"/>
        <v>60601571.STATAM</v>
      </c>
      <c r="AS229">
        <f t="shared" si="7"/>
        <v>48679286.969999976</v>
      </c>
      <c r="AT229" t="s">
        <v>82</v>
      </c>
    </row>
    <row r="230" spans="1:46" x14ac:dyDescent="0.35">
      <c r="A230" t="s">
        <v>52</v>
      </c>
      <c r="B230" t="s">
        <v>53</v>
      </c>
      <c r="C230" t="s">
        <v>54</v>
      </c>
      <c r="D230" t="s">
        <v>55</v>
      </c>
      <c r="E230" t="s">
        <v>56</v>
      </c>
      <c r="F230" t="s">
        <v>848</v>
      </c>
      <c r="G230" t="s">
        <v>856</v>
      </c>
      <c r="H230" t="s">
        <v>56</v>
      </c>
      <c r="I230" t="s">
        <v>857</v>
      </c>
      <c r="J230" t="s">
        <v>851</v>
      </c>
      <c r="K230" t="s">
        <v>640</v>
      </c>
      <c r="L230" t="s">
        <v>56</v>
      </c>
      <c r="M230" t="s">
        <v>56</v>
      </c>
      <c r="N230" t="s">
        <v>252</v>
      </c>
      <c r="O230" t="s">
        <v>790</v>
      </c>
      <c r="P230" t="s">
        <v>791</v>
      </c>
      <c r="Q230" t="s">
        <v>393</v>
      </c>
      <c r="R230" t="s">
        <v>248</v>
      </c>
      <c r="S230">
        <v>40000000</v>
      </c>
      <c r="T230">
        <v>-345667164.70999998</v>
      </c>
      <c r="U230" t="s">
        <v>68</v>
      </c>
      <c r="V230" t="s">
        <v>792</v>
      </c>
      <c r="W230" s="9">
        <v>60601571</v>
      </c>
      <c r="X230" t="s">
        <v>858</v>
      </c>
      <c r="Y230" s="1">
        <v>46017</v>
      </c>
      <c r="Z230" s="1">
        <v>46077</v>
      </c>
      <c r="AA230" s="2">
        <v>45413.48</v>
      </c>
      <c r="AB230" s="2">
        <v>38486</v>
      </c>
      <c r="AC230" s="2">
        <v>6927.48</v>
      </c>
      <c r="AD230" s="2">
        <v>45413.48</v>
      </c>
      <c r="AE230" t="s">
        <v>860</v>
      </c>
      <c r="AF230" t="s">
        <v>72</v>
      </c>
      <c r="AG230">
        <v>1</v>
      </c>
      <c r="AH230" t="s">
        <v>73</v>
      </c>
      <c r="AI230" t="s">
        <v>74</v>
      </c>
      <c r="AJ230" t="s">
        <v>75</v>
      </c>
      <c r="AK230" t="s">
        <v>76</v>
      </c>
      <c r="AL230" t="s">
        <v>77</v>
      </c>
      <c r="AM230" t="s">
        <v>78</v>
      </c>
      <c r="AN230" t="s">
        <v>795</v>
      </c>
      <c r="AO230" t="s">
        <v>80</v>
      </c>
      <c r="AP230" t="s">
        <v>46</v>
      </c>
      <c r="AQ230" t="s">
        <v>81</v>
      </c>
      <c r="AR230" t="str">
        <f t="shared" si="6"/>
        <v>60601571.STATAM</v>
      </c>
      <c r="AS230">
        <f t="shared" si="7"/>
        <v>48679286.969999976</v>
      </c>
      <c r="AT230" t="s">
        <v>82</v>
      </c>
    </row>
    <row r="231" spans="1:46" x14ac:dyDescent="0.35">
      <c r="A231" t="s">
        <v>52</v>
      </c>
      <c r="B231" t="s">
        <v>53</v>
      </c>
      <c r="C231" t="s">
        <v>54</v>
      </c>
      <c r="D231" t="s">
        <v>55</v>
      </c>
      <c r="E231" t="s">
        <v>56</v>
      </c>
      <c r="F231" t="s">
        <v>848</v>
      </c>
      <c r="G231" t="s">
        <v>861</v>
      </c>
      <c r="H231" t="s">
        <v>56</v>
      </c>
      <c r="I231" t="s">
        <v>862</v>
      </c>
      <c r="J231" t="s">
        <v>851</v>
      </c>
      <c r="K231" t="s">
        <v>640</v>
      </c>
      <c r="L231" t="s">
        <v>56</v>
      </c>
      <c r="M231" t="s">
        <v>56</v>
      </c>
      <c r="N231" t="s">
        <v>295</v>
      </c>
      <c r="O231" t="s">
        <v>790</v>
      </c>
      <c r="P231" t="s">
        <v>791</v>
      </c>
      <c r="Q231" t="s">
        <v>393</v>
      </c>
      <c r="R231" t="s">
        <v>248</v>
      </c>
      <c r="S231">
        <v>40000000</v>
      </c>
      <c r="T231">
        <v>-345667164.70999998</v>
      </c>
      <c r="U231" t="s">
        <v>68</v>
      </c>
      <c r="V231" t="s">
        <v>792</v>
      </c>
      <c r="W231" s="9">
        <v>60601571</v>
      </c>
      <c r="X231" t="s">
        <v>863</v>
      </c>
      <c r="Y231" s="1">
        <v>46017</v>
      </c>
      <c r="Z231" s="1">
        <v>46077</v>
      </c>
      <c r="AA231" s="2">
        <v>324479.94</v>
      </c>
      <c r="AB231" s="2">
        <v>274983</v>
      </c>
      <c r="AC231" s="2">
        <v>49496.94</v>
      </c>
      <c r="AD231" s="2">
        <v>324479.94</v>
      </c>
      <c r="AE231" t="s">
        <v>864</v>
      </c>
      <c r="AF231" t="s">
        <v>72</v>
      </c>
      <c r="AG231">
        <v>1</v>
      </c>
      <c r="AH231" t="s">
        <v>73</v>
      </c>
      <c r="AI231" t="s">
        <v>74</v>
      </c>
      <c r="AJ231" t="s">
        <v>75</v>
      </c>
      <c r="AK231" t="s">
        <v>76</v>
      </c>
      <c r="AL231" t="s">
        <v>77</v>
      </c>
      <c r="AM231" t="s">
        <v>78</v>
      </c>
      <c r="AN231" t="s">
        <v>795</v>
      </c>
      <c r="AO231" t="s">
        <v>80</v>
      </c>
      <c r="AP231" t="s">
        <v>46</v>
      </c>
      <c r="AQ231" t="s">
        <v>81</v>
      </c>
      <c r="AR231" t="str">
        <f t="shared" si="6"/>
        <v>60601571.STATAM</v>
      </c>
      <c r="AS231">
        <f t="shared" si="7"/>
        <v>48679286.969999976</v>
      </c>
      <c r="AT231" t="s">
        <v>82</v>
      </c>
    </row>
    <row r="232" spans="1:46" x14ac:dyDescent="0.35">
      <c r="A232" t="s">
        <v>52</v>
      </c>
      <c r="B232" t="s">
        <v>53</v>
      </c>
      <c r="C232" t="s">
        <v>54</v>
      </c>
      <c r="D232" t="s">
        <v>55</v>
      </c>
      <c r="E232" t="s">
        <v>56</v>
      </c>
      <c r="F232" t="s">
        <v>848</v>
      </c>
      <c r="G232" t="s">
        <v>861</v>
      </c>
      <c r="H232" t="s">
        <v>56</v>
      </c>
      <c r="I232" t="s">
        <v>862</v>
      </c>
      <c r="J232" t="s">
        <v>851</v>
      </c>
      <c r="K232" t="s">
        <v>640</v>
      </c>
      <c r="L232" t="s">
        <v>56</v>
      </c>
      <c r="M232" t="s">
        <v>56</v>
      </c>
      <c r="N232" t="s">
        <v>252</v>
      </c>
      <c r="O232" t="s">
        <v>790</v>
      </c>
      <c r="P232" t="s">
        <v>791</v>
      </c>
      <c r="Q232" t="s">
        <v>393</v>
      </c>
      <c r="R232" t="s">
        <v>248</v>
      </c>
      <c r="S232">
        <v>40000000</v>
      </c>
      <c r="T232">
        <v>-345667164.70999998</v>
      </c>
      <c r="U232" t="s">
        <v>68</v>
      </c>
      <c r="V232" t="s">
        <v>792</v>
      </c>
      <c r="W232" s="9">
        <v>60601571</v>
      </c>
      <c r="X232" t="s">
        <v>863</v>
      </c>
      <c r="Y232" s="1">
        <v>46017</v>
      </c>
      <c r="Z232" s="1">
        <v>46077</v>
      </c>
      <c r="AA232" s="2">
        <v>2385.96</v>
      </c>
      <c r="AB232" s="2">
        <v>2022</v>
      </c>
      <c r="AC232" s="2">
        <v>363.96</v>
      </c>
      <c r="AD232" s="2">
        <v>2385.96</v>
      </c>
      <c r="AE232" t="s">
        <v>865</v>
      </c>
      <c r="AF232" t="s">
        <v>72</v>
      </c>
      <c r="AG232">
        <v>1</v>
      </c>
      <c r="AH232" t="s">
        <v>73</v>
      </c>
      <c r="AI232" t="s">
        <v>74</v>
      </c>
      <c r="AJ232" t="s">
        <v>75</v>
      </c>
      <c r="AK232" t="s">
        <v>76</v>
      </c>
      <c r="AL232" t="s">
        <v>77</v>
      </c>
      <c r="AM232" t="s">
        <v>78</v>
      </c>
      <c r="AN232" t="s">
        <v>795</v>
      </c>
      <c r="AO232" t="s">
        <v>80</v>
      </c>
      <c r="AP232" t="s">
        <v>46</v>
      </c>
      <c r="AQ232" t="s">
        <v>81</v>
      </c>
      <c r="AR232" t="str">
        <f t="shared" si="6"/>
        <v>60601571.STATAM</v>
      </c>
      <c r="AS232">
        <f t="shared" si="7"/>
        <v>48679286.969999976</v>
      </c>
      <c r="AT232" t="s">
        <v>82</v>
      </c>
    </row>
    <row r="233" spans="1:46" x14ac:dyDescent="0.35">
      <c r="A233" t="s">
        <v>52</v>
      </c>
      <c r="B233" t="s">
        <v>53</v>
      </c>
      <c r="C233" t="s">
        <v>54</v>
      </c>
      <c r="D233" t="s">
        <v>55</v>
      </c>
      <c r="E233" t="s">
        <v>56</v>
      </c>
      <c r="F233" t="s">
        <v>848</v>
      </c>
      <c r="G233" t="s">
        <v>866</v>
      </c>
      <c r="H233" t="s">
        <v>56</v>
      </c>
      <c r="I233" t="s">
        <v>867</v>
      </c>
      <c r="J233" t="s">
        <v>851</v>
      </c>
      <c r="K233" t="s">
        <v>640</v>
      </c>
      <c r="L233" t="s">
        <v>56</v>
      </c>
      <c r="M233" t="s">
        <v>56</v>
      </c>
      <c r="N233" t="s">
        <v>254</v>
      </c>
      <c r="O233" t="s">
        <v>790</v>
      </c>
      <c r="P233" t="s">
        <v>791</v>
      </c>
      <c r="Q233" t="s">
        <v>853</v>
      </c>
      <c r="R233" t="s">
        <v>248</v>
      </c>
      <c r="S233">
        <v>40000000</v>
      </c>
      <c r="T233">
        <v>-345667164.70999998</v>
      </c>
      <c r="U233" t="s">
        <v>68</v>
      </c>
      <c r="V233" t="s">
        <v>792</v>
      </c>
      <c r="W233" s="9">
        <v>60601571</v>
      </c>
      <c r="X233" t="s">
        <v>868</v>
      </c>
      <c r="Y233" s="1">
        <v>46017</v>
      </c>
      <c r="Z233" s="1">
        <v>46077</v>
      </c>
      <c r="AA233" s="2">
        <v>2775808.4</v>
      </c>
      <c r="AB233" s="2">
        <v>2352380</v>
      </c>
      <c r="AC233" s="2">
        <v>423428.4</v>
      </c>
      <c r="AD233" s="2">
        <v>2775808.4</v>
      </c>
      <c r="AE233" t="s">
        <v>869</v>
      </c>
      <c r="AF233" t="s">
        <v>72</v>
      </c>
      <c r="AG233">
        <v>1</v>
      </c>
      <c r="AH233" t="s">
        <v>73</v>
      </c>
      <c r="AI233" t="s">
        <v>74</v>
      </c>
      <c r="AJ233" t="s">
        <v>75</v>
      </c>
      <c r="AK233" t="s">
        <v>76</v>
      </c>
      <c r="AL233" t="s">
        <v>77</v>
      </c>
      <c r="AM233" t="s">
        <v>78</v>
      </c>
      <c r="AN233" t="s">
        <v>795</v>
      </c>
      <c r="AO233" t="s">
        <v>80</v>
      </c>
      <c r="AP233" t="s">
        <v>46</v>
      </c>
      <c r="AQ233" t="s">
        <v>81</v>
      </c>
      <c r="AR233" t="str">
        <f t="shared" si="6"/>
        <v>60601571.STATAM</v>
      </c>
      <c r="AS233">
        <f t="shared" si="7"/>
        <v>48679286.969999976</v>
      </c>
      <c r="AT233" t="s">
        <v>82</v>
      </c>
    </row>
    <row r="234" spans="1:46" x14ac:dyDescent="0.35">
      <c r="A234" t="s">
        <v>52</v>
      </c>
      <c r="B234" t="s">
        <v>53</v>
      </c>
      <c r="C234" t="s">
        <v>54</v>
      </c>
      <c r="D234" t="s">
        <v>55</v>
      </c>
      <c r="E234" t="s">
        <v>56</v>
      </c>
      <c r="F234" t="s">
        <v>848</v>
      </c>
      <c r="G234" t="s">
        <v>870</v>
      </c>
      <c r="H234" t="s">
        <v>56</v>
      </c>
      <c r="I234" t="s">
        <v>871</v>
      </c>
      <c r="J234" t="s">
        <v>851</v>
      </c>
      <c r="K234" t="s">
        <v>640</v>
      </c>
      <c r="L234" t="s">
        <v>56</v>
      </c>
      <c r="M234" t="s">
        <v>56</v>
      </c>
      <c r="N234" t="s">
        <v>261</v>
      </c>
      <c r="O234" t="s">
        <v>790</v>
      </c>
      <c r="P234" t="s">
        <v>791</v>
      </c>
      <c r="Q234" t="s">
        <v>853</v>
      </c>
      <c r="R234" t="s">
        <v>248</v>
      </c>
      <c r="S234">
        <v>40000000</v>
      </c>
      <c r="T234">
        <v>-345667164.70999998</v>
      </c>
      <c r="U234" t="s">
        <v>68</v>
      </c>
      <c r="V234" t="s">
        <v>792</v>
      </c>
      <c r="W234" s="9">
        <v>60601571</v>
      </c>
      <c r="X234" t="s">
        <v>872</v>
      </c>
      <c r="Y234" s="1">
        <v>46017</v>
      </c>
      <c r="Z234" s="1">
        <v>46077</v>
      </c>
      <c r="AA234" s="2">
        <v>2803.68</v>
      </c>
      <c r="AB234" s="2">
        <v>2376</v>
      </c>
      <c r="AC234" s="2">
        <v>427.68</v>
      </c>
      <c r="AD234" s="2">
        <v>2803.68</v>
      </c>
      <c r="AE234" t="s">
        <v>873</v>
      </c>
      <c r="AF234" t="s">
        <v>72</v>
      </c>
      <c r="AG234">
        <v>1</v>
      </c>
      <c r="AH234" t="s">
        <v>73</v>
      </c>
      <c r="AI234" t="s">
        <v>74</v>
      </c>
      <c r="AJ234" t="s">
        <v>75</v>
      </c>
      <c r="AK234" t="s">
        <v>76</v>
      </c>
      <c r="AL234" t="s">
        <v>77</v>
      </c>
      <c r="AM234" t="s">
        <v>78</v>
      </c>
      <c r="AN234" t="s">
        <v>795</v>
      </c>
      <c r="AO234" t="s">
        <v>80</v>
      </c>
      <c r="AP234" t="s">
        <v>46</v>
      </c>
      <c r="AQ234" t="s">
        <v>81</v>
      </c>
      <c r="AR234" t="str">
        <f t="shared" si="6"/>
        <v>60601571.STATAM</v>
      </c>
      <c r="AS234">
        <f t="shared" si="7"/>
        <v>48679286.969999976</v>
      </c>
      <c r="AT234" t="s">
        <v>82</v>
      </c>
    </row>
    <row r="235" spans="1:46" x14ac:dyDescent="0.35">
      <c r="A235" t="s">
        <v>52</v>
      </c>
      <c r="B235" t="s">
        <v>53</v>
      </c>
      <c r="C235" t="s">
        <v>54</v>
      </c>
      <c r="D235" t="s">
        <v>55</v>
      </c>
      <c r="E235" t="s">
        <v>56</v>
      </c>
      <c r="F235" t="s">
        <v>848</v>
      </c>
      <c r="G235" t="s">
        <v>874</v>
      </c>
      <c r="H235" t="s">
        <v>56</v>
      </c>
      <c r="I235" t="s">
        <v>875</v>
      </c>
      <c r="J235" t="s">
        <v>851</v>
      </c>
      <c r="K235" t="s">
        <v>640</v>
      </c>
      <c r="L235" t="s">
        <v>56</v>
      </c>
      <c r="M235" t="s">
        <v>56</v>
      </c>
      <c r="N235" t="s">
        <v>252</v>
      </c>
      <c r="O235" t="s">
        <v>790</v>
      </c>
      <c r="P235" t="s">
        <v>791</v>
      </c>
      <c r="Q235" t="s">
        <v>853</v>
      </c>
      <c r="R235" t="s">
        <v>248</v>
      </c>
      <c r="S235">
        <v>40000000</v>
      </c>
      <c r="T235">
        <v>-345667164.70999998</v>
      </c>
      <c r="U235" t="s">
        <v>68</v>
      </c>
      <c r="V235" t="s">
        <v>792</v>
      </c>
      <c r="W235" s="9">
        <v>60601571</v>
      </c>
      <c r="X235" t="s">
        <v>876</v>
      </c>
      <c r="Y235" s="1">
        <v>46017</v>
      </c>
      <c r="Z235" s="1">
        <v>46077</v>
      </c>
      <c r="AA235" s="2">
        <v>72837.86</v>
      </c>
      <c r="AB235" s="2">
        <v>61727</v>
      </c>
      <c r="AC235" s="2">
        <v>11110.86</v>
      </c>
      <c r="AD235" s="2">
        <v>72837.86</v>
      </c>
      <c r="AE235" t="s">
        <v>877</v>
      </c>
      <c r="AF235" t="s">
        <v>72</v>
      </c>
      <c r="AG235">
        <v>1</v>
      </c>
      <c r="AH235" t="s">
        <v>73</v>
      </c>
      <c r="AI235" t="s">
        <v>74</v>
      </c>
      <c r="AJ235" t="s">
        <v>75</v>
      </c>
      <c r="AK235" t="s">
        <v>76</v>
      </c>
      <c r="AL235" t="s">
        <v>77</v>
      </c>
      <c r="AM235" t="s">
        <v>78</v>
      </c>
      <c r="AN235" t="s">
        <v>795</v>
      </c>
      <c r="AO235" t="s">
        <v>80</v>
      </c>
      <c r="AP235" t="s">
        <v>46</v>
      </c>
      <c r="AQ235" t="s">
        <v>81</v>
      </c>
      <c r="AR235" t="str">
        <f t="shared" si="6"/>
        <v>60601571.STATAM</v>
      </c>
      <c r="AS235">
        <f t="shared" si="7"/>
        <v>48679286.969999976</v>
      </c>
      <c r="AT235" t="s">
        <v>82</v>
      </c>
    </row>
    <row r="236" spans="1:46" x14ac:dyDescent="0.35">
      <c r="A236" t="s">
        <v>52</v>
      </c>
      <c r="B236" t="s">
        <v>53</v>
      </c>
      <c r="C236" t="s">
        <v>54</v>
      </c>
      <c r="D236" t="s">
        <v>55</v>
      </c>
      <c r="E236" t="s">
        <v>56</v>
      </c>
      <c r="F236" t="s">
        <v>848</v>
      </c>
      <c r="G236" t="s">
        <v>874</v>
      </c>
      <c r="H236" t="s">
        <v>56</v>
      </c>
      <c r="I236" t="s">
        <v>875</v>
      </c>
      <c r="J236" t="s">
        <v>851</v>
      </c>
      <c r="K236" t="s">
        <v>640</v>
      </c>
      <c r="L236" t="s">
        <v>56</v>
      </c>
      <c r="M236" t="s">
        <v>56</v>
      </c>
      <c r="N236" t="s">
        <v>261</v>
      </c>
      <c r="O236" t="s">
        <v>790</v>
      </c>
      <c r="P236" t="s">
        <v>791</v>
      </c>
      <c r="Q236" t="s">
        <v>853</v>
      </c>
      <c r="R236" t="s">
        <v>248</v>
      </c>
      <c r="S236">
        <v>40000000</v>
      </c>
      <c r="T236">
        <v>-345667164.70999998</v>
      </c>
      <c r="U236" t="s">
        <v>68</v>
      </c>
      <c r="V236" t="s">
        <v>792</v>
      </c>
      <c r="W236" s="9">
        <v>60601571</v>
      </c>
      <c r="X236" t="s">
        <v>876</v>
      </c>
      <c r="Y236" s="1">
        <v>46017</v>
      </c>
      <c r="Z236" s="1">
        <v>46077</v>
      </c>
      <c r="AA236" s="2">
        <v>4833.28</v>
      </c>
      <c r="AB236" s="2">
        <v>4096</v>
      </c>
      <c r="AC236" s="2">
        <v>737.28</v>
      </c>
      <c r="AD236" s="2">
        <v>4833.28</v>
      </c>
      <c r="AE236" t="s">
        <v>878</v>
      </c>
      <c r="AF236" t="s">
        <v>72</v>
      </c>
      <c r="AG236">
        <v>1</v>
      </c>
      <c r="AH236" t="s">
        <v>73</v>
      </c>
      <c r="AI236" t="s">
        <v>74</v>
      </c>
      <c r="AJ236" t="s">
        <v>75</v>
      </c>
      <c r="AK236" t="s">
        <v>76</v>
      </c>
      <c r="AL236" t="s">
        <v>77</v>
      </c>
      <c r="AM236" t="s">
        <v>78</v>
      </c>
      <c r="AN236" t="s">
        <v>795</v>
      </c>
      <c r="AO236" t="s">
        <v>80</v>
      </c>
      <c r="AP236" t="s">
        <v>46</v>
      </c>
      <c r="AQ236" t="s">
        <v>81</v>
      </c>
      <c r="AR236" t="str">
        <f t="shared" si="6"/>
        <v>60601571.STATAM</v>
      </c>
      <c r="AS236">
        <f t="shared" si="7"/>
        <v>48679286.969999976</v>
      </c>
      <c r="AT236" t="s">
        <v>82</v>
      </c>
    </row>
    <row r="237" spans="1:46" x14ac:dyDescent="0.35">
      <c r="A237" t="s">
        <v>52</v>
      </c>
      <c r="B237" t="s">
        <v>53</v>
      </c>
      <c r="C237" t="s">
        <v>54</v>
      </c>
      <c r="D237" t="s">
        <v>55</v>
      </c>
      <c r="E237" t="s">
        <v>56</v>
      </c>
      <c r="F237" t="s">
        <v>848</v>
      </c>
      <c r="G237" t="s">
        <v>879</v>
      </c>
      <c r="H237" t="s">
        <v>56</v>
      </c>
      <c r="I237" t="s">
        <v>880</v>
      </c>
      <c r="J237" t="s">
        <v>851</v>
      </c>
      <c r="K237" t="s">
        <v>640</v>
      </c>
      <c r="L237" t="s">
        <v>56</v>
      </c>
      <c r="M237" t="s">
        <v>56</v>
      </c>
      <c r="N237" t="s">
        <v>295</v>
      </c>
      <c r="O237" t="s">
        <v>790</v>
      </c>
      <c r="P237" t="s">
        <v>791</v>
      </c>
      <c r="Q237" t="s">
        <v>853</v>
      </c>
      <c r="R237" t="s">
        <v>248</v>
      </c>
      <c r="S237">
        <v>40000000</v>
      </c>
      <c r="T237">
        <v>-345667164.70999998</v>
      </c>
      <c r="U237" t="s">
        <v>68</v>
      </c>
      <c r="V237" t="s">
        <v>792</v>
      </c>
      <c r="W237" s="9">
        <v>60601571</v>
      </c>
      <c r="X237" t="s">
        <v>881</v>
      </c>
      <c r="Y237" s="1">
        <v>46017</v>
      </c>
      <c r="Z237" s="1">
        <v>46077</v>
      </c>
      <c r="AA237" s="2">
        <v>1104.48</v>
      </c>
      <c r="AB237" s="2">
        <v>936</v>
      </c>
      <c r="AC237" s="2">
        <v>168.48</v>
      </c>
      <c r="AD237" s="2">
        <v>1104.48</v>
      </c>
      <c r="AE237" t="s">
        <v>882</v>
      </c>
      <c r="AF237" t="s">
        <v>72</v>
      </c>
      <c r="AG237">
        <v>1</v>
      </c>
      <c r="AH237" t="s">
        <v>73</v>
      </c>
      <c r="AI237" t="s">
        <v>74</v>
      </c>
      <c r="AJ237" t="s">
        <v>75</v>
      </c>
      <c r="AK237" t="s">
        <v>76</v>
      </c>
      <c r="AL237" t="s">
        <v>77</v>
      </c>
      <c r="AM237" t="s">
        <v>78</v>
      </c>
      <c r="AN237" t="s">
        <v>795</v>
      </c>
      <c r="AO237" t="s">
        <v>80</v>
      </c>
      <c r="AP237" t="s">
        <v>46</v>
      </c>
      <c r="AQ237" t="s">
        <v>81</v>
      </c>
      <c r="AR237" t="str">
        <f t="shared" si="6"/>
        <v>60601571.STATAM</v>
      </c>
      <c r="AS237">
        <f t="shared" si="7"/>
        <v>48679286.969999976</v>
      </c>
      <c r="AT237" t="s">
        <v>82</v>
      </c>
    </row>
    <row r="238" spans="1:46" x14ac:dyDescent="0.35">
      <c r="A238" t="s">
        <v>52</v>
      </c>
      <c r="B238" t="s">
        <v>53</v>
      </c>
      <c r="C238" t="s">
        <v>54</v>
      </c>
      <c r="D238" t="s">
        <v>55</v>
      </c>
      <c r="E238" t="s">
        <v>56</v>
      </c>
      <c r="F238" t="s">
        <v>848</v>
      </c>
      <c r="G238" t="s">
        <v>879</v>
      </c>
      <c r="H238" t="s">
        <v>56</v>
      </c>
      <c r="I238" t="s">
        <v>880</v>
      </c>
      <c r="J238" t="s">
        <v>851</v>
      </c>
      <c r="K238" t="s">
        <v>640</v>
      </c>
      <c r="L238" t="s">
        <v>56</v>
      </c>
      <c r="M238" t="s">
        <v>56</v>
      </c>
      <c r="N238" t="s">
        <v>252</v>
      </c>
      <c r="O238" t="s">
        <v>790</v>
      </c>
      <c r="P238" t="s">
        <v>791</v>
      </c>
      <c r="Q238" t="s">
        <v>853</v>
      </c>
      <c r="R238" t="s">
        <v>248</v>
      </c>
      <c r="S238">
        <v>40000000</v>
      </c>
      <c r="T238">
        <v>-345667164.70999998</v>
      </c>
      <c r="U238" t="s">
        <v>68</v>
      </c>
      <c r="V238" t="s">
        <v>792</v>
      </c>
      <c r="W238" s="9">
        <v>60601571</v>
      </c>
      <c r="X238" t="s">
        <v>881</v>
      </c>
      <c r="Y238" s="1">
        <v>46017</v>
      </c>
      <c r="Z238" s="1">
        <v>46077</v>
      </c>
      <c r="AA238" s="2">
        <v>288120.59999999998</v>
      </c>
      <c r="AB238" s="2">
        <v>244170</v>
      </c>
      <c r="AC238" s="2">
        <v>43950.6</v>
      </c>
      <c r="AD238" s="2">
        <v>288120.59999999998</v>
      </c>
      <c r="AE238" t="s">
        <v>883</v>
      </c>
      <c r="AF238" t="s">
        <v>72</v>
      </c>
      <c r="AG238">
        <v>1</v>
      </c>
      <c r="AH238" t="s">
        <v>73</v>
      </c>
      <c r="AI238" t="s">
        <v>74</v>
      </c>
      <c r="AJ238" t="s">
        <v>75</v>
      </c>
      <c r="AK238" t="s">
        <v>76</v>
      </c>
      <c r="AL238" t="s">
        <v>77</v>
      </c>
      <c r="AM238" t="s">
        <v>78</v>
      </c>
      <c r="AN238" t="s">
        <v>795</v>
      </c>
      <c r="AO238" t="s">
        <v>80</v>
      </c>
      <c r="AP238" t="s">
        <v>46</v>
      </c>
      <c r="AQ238" t="s">
        <v>81</v>
      </c>
      <c r="AR238" t="str">
        <f t="shared" si="6"/>
        <v>60601571.STATAM</v>
      </c>
      <c r="AS238">
        <f t="shared" si="7"/>
        <v>48679286.969999976</v>
      </c>
      <c r="AT238" t="s">
        <v>82</v>
      </c>
    </row>
    <row r="239" spans="1:46" x14ac:dyDescent="0.35">
      <c r="A239" t="s">
        <v>52</v>
      </c>
      <c r="B239" t="s">
        <v>53</v>
      </c>
      <c r="C239" t="s">
        <v>54</v>
      </c>
      <c r="D239" t="s">
        <v>55</v>
      </c>
      <c r="E239" t="s">
        <v>56</v>
      </c>
      <c r="F239" t="s">
        <v>848</v>
      </c>
      <c r="G239" t="s">
        <v>879</v>
      </c>
      <c r="H239" t="s">
        <v>56</v>
      </c>
      <c r="I239" t="s">
        <v>880</v>
      </c>
      <c r="J239" t="s">
        <v>851</v>
      </c>
      <c r="K239" t="s">
        <v>640</v>
      </c>
      <c r="L239" t="s">
        <v>56</v>
      </c>
      <c r="M239" t="s">
        <v>56</v>
      </c>
      <c r="N239" t="s">
        <v>261</v>
      </c>
      <c r="O239" t="s">
        <v>790</v>
      </c>
      <c r="P239" t="s">
        <v>791</v>
      </c>
      <c r="Q239" t="s">
        <v>853</v>
      </c>
      <c r="R239" t="s">
        <v>248</v>
      </c>
      <c r="S239">
        <v>40000000</v>
      </c>
      <c r="T239">
        <v>-345667164.70999998</v>
      </c>
      <c r="U239" t="s">
        <v>68</v>
      </c>
      <c r="V239" t="s">
        <v>792</v>
      </c>
      <c r="W239" s="9">
        <v>60601571</v>
      </c>
      <c r="X239" t="s">
        <v>881</v>
      </c>
      <c r="Y239" s="1">
        <v>46017</v>
      </c>
      <c r="Z239" s="1">
        <v>46077</v>
      </c>
      <c r="AA239" s="2">
        <v>30868.799999999999</v>
      </c>
      <c r="AB239" s="2">
        <v>26160</v>
      </c>
      <c r="AC239" s="2">
        <v>4708.8</v>
      </c>
      <c r="AD239" s="2">
        <v>30868.799999999999</v>
      </c>
      <c r="AE239" t="s">
        <v>884</v>
      </c>
      <c r="AF239" t="s">
        <v>72</v>
      </c>
      <c r="AG239">
        <v>1</v>
      </c>
      <c r="AH239" t="s">
        <v>73</v>
      </c>
      <c r="AI239" t="s">
        <v>74</v>
      </c>
      <c r="AJ239" t="s">
        <v>75</v>
      </c>
      <c r="AK239" t="s">
        <v>76</v>
      </c>
      <c r="AL239" t="s">
        <v>77</v>
      </c>
      <c r="AM239" t="s">
        <v>78</v>
      </c>
      <c r="AN239" t="s">
        <v>795</v>
      </c>
      <c r="AO239" t="s">
        <v>80</v>
      </c>
      <c r="AP239" t="s">
        <v>46</v>
      </c>
      <c r="AQ239" t="s">
        <v>81</v>
      </c>
      <c r="AR239" t="str">
        <f t="shared" si="6"/>
        <v>60601571.STATAM</v>
      </c>
      <c r="AS239">
        <f t="shared" si="7"/>
        <v>48679286.969999976</v>
      </c>
      <c r="AT239" t="s">
        <v>82</v>
      </c>
    </row>
    <row r="240" spans="1:46" x14ac:dyDescent="0.35">
      <c r="A240" t="s">
        <v>52</v>
      </c>
      <c r="B240" t="s">
        <v>53</v>
      </c>
      <c r="C240" t="s">
        <v>54</v>
      </c>
      <c r="D240" t="s">
        <v>55</v>
      </c>
      <c r="E240" t="s">
        <v>56</v>
      </c>
      <c r="F240" t="s">
        <v>848</v>
      </c>
      <c r="G240" t="s">
        <v>885</v>
      </c>
      <c r="H240" t="s">
        <v>56</v>
      </c>
      <c r="I240" t="s">
        <v>886</v>
      </c>
      <c r="J240" t="s">
        <v>851</v>
      </c>
      <c r="K240" t="s">
        <v>640</v>
      </c>
      <c r="L240" t="s">
        <v>56</v>
      </c>
      <c r="M240" t="s">
        <v>56</v>
      </c>
      <c r="N240" t="s">
        <v>852</v>
      </c>
      <c r="O240" t="s">
        <v>887</v>
      </c>
      <c r="P240" t="s">
        <v>888</v>
      </c>
      <c r="Q240" t="s">
        <v>853</v>
      </c>
      <c r="R240" t="s">
        <v>248</v>
      </c>
      <c r="S240">
        <v>40000000</v>
      </c>
      <c r="T240">
        <v>-345667164.70999998</v>
      </c>
      <c r="U240" t="s">
        <v>68</v>
      </c>
      <c r="V240" t="s">
        <v>792</v>
      </c>
      <c r="W240" s="9">
        <v>60601571</v>
      </c>
      <c r="X240" t="s">
        <v>889</v>
      </c>
      <c r="Y240" s="1">
        <v>46017</v>
      </c>
      <c r="Z240" s="1">
        <v>46077</v>
      </c>
      <c r="AA240" s="2">
        <v>4280888.96</v>
      </c>
      <c r="AB240" s="2">
        <v>3627872</v>
      </c>
      <c r="AC240" s="2">
        <v>653016.96</v>
      </c>
      <c r="AD240" s="2">
        <v>4280888.96</v>
      </c>
      <c r="AE240" t="s">
        <v>890</v>
      </c>
      <c r="AF240" t="s">
        <v>72</v>
      </c>
      <c r="AG240">
        <v>1</v>
      </c>
      <c r="AH240" t="s">
        <v>73</v>
      </c>
      <c r="AI240" t="s">
        <v>74</v>
      </c>
      <c r="AJ240" t="s">
        <v>75</v>
      </c>
      <c r="AK240" t="s">
        <v>76</v>
      </c>
      <c r="AL240" t="s">
        <v>77</v>
      </c>
      <c r="AM240" t="s">
        <v>78</v>
      </c>
      <c r="AN240" t="s">
        <v>795</v>
      </c>
      <c r="AO240" t="s">
        <v>80</v>
      </c>
      <c r="AP240" t="s">
        <v>46</v>
      </c>
      <c r="AQ240" t="s">
        <v>81</v>
      </c>
      <c r="AR240" t="str">
        <f t="shared" si="6"/>
        <v>60601571.STATAM</v>
      </c>
      <c r="AS240">
        <f t="shared" si="7"/>
        <v>48679286.969999976</v>
      </c>
      <c r="AT240" t="s">
        <v>82</v>
      </c>
    </row>
    <row r="241" spans="1:46" x14ac:dyDescent="0.35">
      <c r="A241" t="s">
        <v>52</v>
      </c>
      <c r="B241" t="s">
        <v>53</v>
      </c>
      <c r="C241" t="s">
        <v>54</v>
      </c>
      <c r="D241" t="s">
        <v>55</v>
      </c>
      <c r="E241" t="s">
        <v>56</v>
      </c>
      <c r="F241" t="s">
        <v>848</v>
      </c>
      <c r="G241" t="s">
        <v>891</v>
      </c>
      <c r="H241" t="s">
        <v>56</v>
      </c>
      <c r="I241" t="s">
        <v>892</v>
      </c>
      <c r="J241" t="s">
        <v>851</v>
      </c>
      <c r="K241" t="s">
        <v>640</v>
      </c>
      <c r="L241" t="s">
        <v>56</v>
      </c>
      <c r="M241" t="s">
        <v>56</v>
      </c>
      <c r="N241" t="s">
        <v>252</v>
      </c>
      <c r="O241" t="s">
        <v>887</v>
      </c>
      <c r="P241" t="s">
        <v>888</v>
      </c>
      <c r="Q241" t="s">
        <v>853</v>
      </c>
      <c r="R241" t="s">
        <v>248</v>
      </c>
      <c r="S241">
        <v>40000000</v>
      </c>
      <c r="T241">
        <v>-345667164.70999998</v>
      </c>
      <c r="U241" t="s">
        <v>68</v>
      </c>
      <c r="V241" t="s">
        <v>792</v>
      </c>
      <c r="W241" s="9">
        <v>60601571</v>
      </c>
      <c r="X241" t="s">
        <v>893</v>
      </c>
      <c r="Y241" s="1">
        <v>46017</v>
      </c>
      <c r="Z241" s="1">
        <v>46077</v>
      </c>
      <c r="AA241" s="2">
        <v>180812.58</v>
      </c>
      <c r="AB241" s="2">
        <v>153231</v>
      </c>
      <c r="AC241" s="2">
        <v>27581.58</v>
      </c>
      <c r="AD241" s="2">
        <v>180812.58</v>
      </c>
      <c r="AE241" t="s">
        <v>894</v>
      </c>
      <c r="AF241" t="s">
        <v>72</v>
      </c>
      <c r="AG241">
        <v>1</v>
      </c>
      <c r="AH241" t="s">
        <v>73</v>
      </c>
      <c r="AI241" t="s">
        <v>74</v>
      </c>
      <c r="AJ241" t="s">
        <v>75</v>
      </c>
      <c r="AK241" t="s">
        <v>76</v>
      </c>
      <c r="AL241" t="s">
        <v>77</v>
      </c>
      <c r="AM241" t="s">
        <v>78</v>
      </c>
      <c r="AN241" t="s">
        <v>795</v>
      </c>
      <c r="AO241" t="s">
        <v>80</v>
      </c>
      <c r="AP241" t="s">
        <v>46</v>
      </c>
      <c r="AQ241" t="s">
        <v>81</v>
      </c>
      <c r="AR241" t="str">
        <f t="shared" si="6"/>
        <v>60601571.STATAM</v>
      </c>
      <c r="AS241">
        <f t="shared" si="7"/>
        <v>48679286.969999976</v>
      </c>
      <c r="AT241" t="s">
        <v>82</v>
      </c>
    </row>
    <row r="242" spans="1:46" x14ac:dyDescent="0.35">
      <c r="A242" t="s">
        <v>52</v>
      </c>
      <c r="B242" t="s">
        <v>53</v>
      </c>
      <c r="C242" t="s">
        <v>54</v>
      </c>
      <c r="D242" t="s">
        <v>55</v>
      </c>
      <c r="E242" t="s">
        <v>56</v>
      </c>
      <c r="F242" t="s">
        <v>848</v>
      </c>
      <c r="G242" t="s">
        <v>895</v>
      </c>
      <c r="H242" t="s">
        <v>56</v>
      </c>
      <c r="I242" t="s">
        <v>896</v>
      </c>
      <c r="J242" t="s">
        <v>851</v>
      </c>
      <c r="K242" t="s">
        <v>640</v>
      </c>
      <c r="L242" t="s">
        <v>56</v>
      </c>
      <c r="M242" t="s">
        <v>56</v>
      </c>
      <c r="N242" t="s">
        <v>897</v>
      </c>
      <c r="O242" t="s">
        <v>790</v>
      </c>
      <c r="P242" t="s">
        <v>791</v>
      </c>
      <c r="Q242" t="s">
        <v>853</v>
      </c>
      <c r="R242" t="s">
        <v>248</v>
      </c>
      <c r="S242">
        <v>40000000</v>
      </c>
      <c r="T242">
        <v>-345667164.70999998</v>
      </c>
      <c r="U242" t="s">
        <v>68</v>
      </c>
      <c r="V242" t="s">
        <v>792</v>
      </c>
      <c r="W242" s="9">
        <v>60601571</v>
      </c>
      <c r="X242" t="s">
        <v>898</v>
      </c>
      <c r="Y242" s="1">
        <v>46017</v>
      </c>
      <c r="Z242" s="1">
        <v>46077</v>
      </c>
      <c r="AA242" s="2">
        <v>273422.52</v>
      </c>
      <c r="AB242" s="2">
        <v>231714</v>
      </c>
      <c r="AC242" s="2">
        <v>41708.519999999997</v>
      </c>
      <c r="AD242" s="2">
        <v>273422.52</v>
      </c>
      <c r="AE242" t="s">
        <v>899</v>
      </c>
      <c r="AF242" t="s">
        <v>72</v>
      </c>
      <c r="AG242">
        <v>1</v>
      </c>
      <c r="AH242" t="s">
        <v>73</v>
      </c>
      <c r="AI242" t="s">
        <v>74</v>
      </c>
      <c r="AJ242" t="s">
        <v>75</v>
      </c>
      <c r="AK242" t="s">
        <v>76</v>
      </c>
      <c r="AL242" t="s">
        <v>77</v>
      </c>
      <c r="AM242" t="s">
        <v>78</v>
      </c>
      <c r="AN242" t="s">
        <v>795</v>
      </c>
      <c r="AO242" t="s">
        <v>80</v>
      </c>
      <c r="AP242" t="s">
        <v>46</v>
      </c>
      <c r="AQ242" t="s">
        <v>81</v>
      </c>
      <c r="AR242" t="str">
        <f t="shared" si="6"/>
        <v>60601571.STATAM</v>
      </c>
      <c r="AS242">
        <f t="shared" si="7"/>
        <v>48679286.969999976</v>
      </c>
      <c r="AT242" t="s">
        <v>82</v>
      </c>
    </row>
    <row r="243" spans="1:46" x14ac:dyDescent="0.35">
      <c r="A243" t="s">
        <v>52</v>
      </c>
      <c r="B243" t="s">
        <v>53</v>
      </c>
      <c r="C243" t="s">
        <v>54</v>
      </c>
      <c r="D243" t="s">
        <v>55</v>
      </c>
      <c r="E243" t="s">
        <v>56</v>
      </c>
      <c r="F243" t="s">
        <v>848</v>
      </c>
      <c r="G243" t="s">
        <v>900</v>
      </c>
      <c r="H243" t="s">
        <v>56</v>
      </c>
      <c r="I243" t="s">
        <v>901</v>
      </c>
      <c r="J243" t="s">
        <v>851</v>
      </c>
      <c r="K243" t="s">
        <v>640</v>
      </c>
      <c r="L243" t="s">
        <v>56</v>
      </c>
      <c r="M243" t="s">
        <v>56</v>
      </c>
      <c r="N243" t="s">
        <v>897</v>
      </c>
      <c r="O243" t="s">
        <v>902</v>
      </c>
      <c r="P243" t="s">
        <v>903</v>
      </c>
      <c r="Q243" t="s">
        <v>853</v>
      </c>
      <c r="R243" t="s">
        <v>248</v>
      </c>
      <c r="S243">
        <v>40000000</v>
      </c>
      <c r="T243">
        <v>-345667164.70999998</v>
      </c>
      <c r="U243" t="s">
        <v>68</v>
      </c>
      <c r="V243" t="s">
        <v>792</v>
      </c>
      <c r="W243" s="9">
        <v>60601571</v>
      </c>
      <c r="X243" t="s">
        <v>904</v>
      </c>
      <c r="Y243" s="1">
        <v>46017</v>
      </c>
      <c r="Z243" s="1">
        <v>46077</v>
      </c>
      <c r="AA243" s="2">
        <v>30380.28</v>
      </c>
      <c r="AB243" s="2">
        <v>25746</v>
      </c>
      <c r="AC243" s="2">
        <v>4634.28</v>
      </c>
      <c r="AD243" s="2">
        <v>30380.28</v>
      </c>
      <c r="AE243" t="s">
        <v>905</v>
      </c>
      <c r="AF243" t="s">
        <v>72</v>
      </c>
      <c r="AG243">
        <v>1</v>
      </c>
      <c r="AH243" t="s">
        <v>73</v>
      </c>
      <c r="AI243" t="s">
        <v>74</v>
      </c>
      <c r="AJ243" t="s">
        <v>75</v>
      </c>
      <c r="AK243" t="s">
        <v>76</v>
      </c>
      <c r="AL243" t="s">
        <v>77</v>
      </c>
      <c r="AM243" t="s">
        <v>78</v>
      </c>
      <c r="AN243" t="s">
        <v>795</v>
      </c>
      <c r="AO243" t="s">
        <v>80</v>
      </c>
      <c r="AP243" t="s">
        <v>46</v>
      </c>
      <c r="AQ243" t="s">
        <v>81</v>
      </c>
      <c r="AR243" t="str">
        <f t="shared" si="6"/>
        <v>60601571.STATAM</v>
      </c>
      <c r="AS243">
        <f t="shared" si="7"/>
        <v>48679286.969999976</v>
      </c>
      <c r="AT243" t="s">
        <v>82</v>
      </c>
    </row>
    <row r="244" spans="1:46" x14ac:dyDescent="0.35">
      <c r="A244" t="s">
        <v>52</v>
      </c>
      <c r="B244" t="s">
        <v>53</v>
      </c>
      <c r="C244" t="s">
        <v>54</v>
      </c>
      <c r="D244" t="s">
        <v>55</v>
      </c>
      <c r="E244" t="s">
        <v>56</v>
      </c>
      <c r="F244" t="s">
        <v>848</v>
      </c>
      <c r="G244" t="s">
        <v>870</v>
      </c>
      <c r="H244" t="s">
        <v>56</v>
      </c>
      <c r="I244" t="s">
        <v>906</v>
      </c>
      <c r="J244" t="s">
        <v>851</v>
      </c>
      <c r="K244" t="s">
        <v>640</v>
      </c>
      <c r="L244" t="s">
        <v>56</v>
      </c>
      <c r="M244" t="s">
        <v>56</v>
      </c>
      <c r="N244" t="s">
        <v>295</v>
      </c>
      <c r="O244" t="s">
        <v>790</v>
      </c>
      <c r="P244" t="s">
        <v>791</v>
      </c>
      <c r="Q244" t="s">
        <v>853</v>
      </c>
      <c r="R244" t="s">
        <v>248</v>
      </c>
      <c r="S244">
        <v>40000000</v>
      </c>
      <c r="T244">
        <v>-345667164.70999998</v>
      </c>
      <c r="U244" t="s">
        <v>68</v>
      </c>
      <c r="V244" t="s">
        <v>792</v>
      </c>
      <c r="W244" s="9">
        <v>60601571</v>
      </c>
      <c r="X244" t="s">
        <v>907</v>
      </c>
      <c r="Y244" s="1">
        <v>46017</v>
      </c>
      <c r="Z244" s="1">
        <v>46077</v>
      </c>
      <c r="AA244" s="2">
        <v>24147.52</v>
      </c>
      <c r="AB244" s="2">
        <v>20464</v>
      </c>
      <c r="AC244" s="2">
        <v>3683.52</v>
      </c>
      <c r="AD244" s="2">
        <v>24147.52</v>
      </c>
      <c r="AE244" t="s">
        <v>908</v>
      </c>
      <c r="AF244" t="s">
        <v>72</v>
      </c>
      <c r="AG244">
        <v>1</v>
      </c>
      <c r="AH244" t="s">
        <v>73</v>
      </c>
      <c r="AI244" t="s">
        <v>74</v>
      </c>
      <c r="AJ244" t="s">
        <v>75</v>
      </c>
      <c r="AK244" t="s">
        <v>76</v>
      </c>
      <c r="AL244" t="s">
        <v>77</v>
      </c>
      <c r="AM244" t="s">
        <v>78</v>
      </c>
      <c r="AN244" t="s">
        <v>795</v>
      </c>
      <c r="AO244" t="s">
        <v>80</v>
      </c>
      <c r="AP244" t="s">
        <v>46</v>
      </c>
      <c r="AQ244" t="s">
        <v>81</v>
      </c>
      <c r="AR244" t="str">
        <f t="shared" si="6"/>
        <v>60601571.STATAM</v>
      </c>
      <c r="AS244">
        <f t="shared" si="7"/>
        <v>48679286.969999976</v>
      </c>
      <c r="AT244" t="s">
        <v>82</v>
      </c>
    </row>
    <row r="245" spans="1:46" x14ac:dyDescent="0.35">
      <c r="A245" t="s">
        <v>52</v>
      </c>
      <c r="B245" t="s">
        <v>53</v>
      </c>
      <c r="C245" t="s">
        <v>54</v>
      </c>
      <c r="D245" t="s">
        <v>55</v>
      </c>
      <c r="E245" t="s">
        <v>56</v>
      </c>
      <c r="F245" t="s">
        <v>848</v>
      </c>
      <c r="G245" t="s">
        <v>909</v>
      </c>
      <c r="H245" t="s">
        <v>56</v>
      </c>
      <c r="I245" t="s">
        <v>910</v>
      </c>
      <c r="J245" t="s">
        <v>851</v>
      </c>
      <c r="K245" t="s">
        <v>640</v>
      </c>
      <c r="L245" t="s">
        <v>56</v>
      </c>
      <c r="M245" t="s">
        <v>56</v>
      </c>
      <c r="N245" t="s">
        <v>897</v>
      </c>
      <c r="O245" t="s">
        <v>790</v>
      </c>
      <c r="P245" t="s">
        <v>791</v>
      </c>
      <c r="Q245" t="s">
        <v>247</v>
      </c>
      <c r="R245" t="s">
        <v>248</v>
      </c>
      <c r="S245">
        <v>40000000</v>
      </c>
      <c r="T245">
        <v>-345667164.70999998</v>
      </c>
      <c r="U245" t="s">
        <v>68</v>
      </c>
      <c r="V245" t="s">
        <v>792</v>
      </c>
      <c r="W245" s="9">
        <v>60601571</v>
      </c>
      <c r="X245" t="s">
        <v>911</v>
      </c>
      <c r="Y245" s="1">
        <v>46017</v>
      </c>
      <c r="Z245" s="1">
        <v>46077</v>
      </c>
      <c r="AA245" s="2">
        <v>53613.3</v>
      </c>
      <c r="AB245" s="2">
        <v>45435</v>
      </c>
      <c r="AC245" s="2">
        <v>8178.3</v>
      </c>
      <c r="AD245" s="2">
        <v>53613.3</v>
      </c>
      <c r="AE245" t="s">
        <v>912</v>
      </c>
      <c r="AF245" t="s">
        <v>72</v>
      </c>
      <c r="AG245">
        <v>1</v>
      </c>
      <c r="AH245" t="s">
        <v>73</v>
      </c>
      <c r="AI245" t="s">
        <v>74</v>
      </c>
      <c r="AJ245" t="s">
        <v>75</v>
      </c>
      <c r="AK245" t="s">
        <v>76</v>
      </c>
      <c r="AL245" t="s">
        <v>77</v>
      </c>
      <c r="AM245" t="s">
        <v>78</v>
      </c>
      <c r="AN245" t="s">
        <v>795</v>
      </c>
      <c r="AO245" t="s">
        <v>80</v>
      </c>
      <c r="AP245" t="s">
        <v>46</v>
      </c>
      <c r="AQ245" t="s">
        <v>81</v>
      </c>
      <c r="AR245" t="str">
        <f t="shared" si="6"/>
        <v>60601571.STATAM</v>
      </c>
      <c r="AS245">
        <f t="shared" si="7"/>
        <v>48679286.969999976</v>
      </c>
      <c r="AT245" t="s">
        <v>82</v>
      </c>
    </row>
    <row r="246" spans="1:46" x14ac:dyDescent="0.35">
      <c r="A246" t="s">
        <v>52</v>
      </c>
      <c r="B246" t="s">
        <v>53</v>
      </c>
      <c r="C246" t="s">
        <v>54</v>
      </c>
      <c r="D246" t="s">
        <v>55</v>
      </c>
      <c r="E246" t="s">
        <v>56</v>
      </c>
      <c r="F246" t="s">
        <v>848</v>
      </c>
      <c r="G246" t="s">
        <v>866</v>
      </c>
      <c r="H246" t="s">
        <v>56</v>
      </c>
      <c r="I246" t="s">
        <v>913</v>
      </c>
      <c r="J246" t="s">
        <v>851</v>
      </c>
      <c r="K246" t="s">
        <v>640</v>
      </c>
      <c r="L246" t="s">
        <v>56</v>
      </c>
      <c r="M246" t="s">
        <v>56</v>
      </c>
      <c r="N246" t="s">
        <v>914</v>
      </c>
      <c r="O246" t="s">
        <v>790</v>
      </c>
      <c r="P246" t="s">
        <v>791</v>
      </c>
      <c r="Q246" t="s">
        <v>853</v>
      </c>
      <c r="R246" t="s">
        <v>248</v>
      </c>
      <c r="S246">
        <v>40000000</v>
      </c>
      <c r="T246">
        <v>-345667164.70999998</v>
      </c>
      <c r="U246" t="s">
        <v>68</v>
      </c>
      <c r="V246" t="s">
        <v>792</v>
      </c>
      <c r="W246" s="9">
        <v>60601571</v>
      </c>
      <c r="X246" t="s">
        <v>915</v>
      </c>
      <c r="Y246" s="1">
        <v>46017</v>
      </c>
      <c r="Z246" s="1">
        <v>46077</v>
      </c>
      <c r="AA246" s="2">
        <v>1092351.96</v>
      </c>
      <c r="AB246" s="2">
        <v>925722</v>
      </c>
      <c r="AC246" s="2">
        <v>166629.96</v>
      </c>
      <c r="AD246" s="2">
        <v>1092351.96</v>
      </c>
      <c r="AE246" t="s">
        <v>916</v>
      </c>
      <c r="AF246" t="s">
        <v>72</v>
      </c>
      <c r="AG246">
        <v>1</v>
      </c>
      <c r="AH246" t="s">
        <v>73</v>
      </c>
      <c r="AI246" t="s">
        <v>74</v>
      </c>
      <c r="AJ246" t="s">
        <v>75</v>
      </c>
      <c r="AK246" t="s">
        <v>76</v>
      </c>
      <c r="AL246" t="s">
        <v>77</v>
      </c>
      <c r="AM246" t="s">
        <v>78</v>
      </c>
      <c r="AN246" t="s">
        <v>795</v>
      </c>
      <c r="AO246" t="s">
        <v>80</v>
      </c>
      <c r="AP246" t="s">
        <v>46</v>
      </c>
      <c r="AQ246" t="s">
        <v>81</v>
      </c>
      <c r="AR246" t="str">
        <f t="shared" si="6"/>
        <v>60601571.STATAM</v>
      </c>
      <c r="AS246">
        <f t="shared" si="7"/>
        <v>48679286.969999976</v>
      </c>
      <c r="AT246" t="s">
        <v>82</v>
      </c>
    </row>
    <row r="247" spans="1:46" x14ac:dyDescent="0.35">
      <c r="A247" t="s">
        <v>52</v>
      </c>
      <c r="B247" t="s">
        <v>53</v>
      </c>
      <c r="C247" t="s">
        <v>54</v>
      </c>
      <c r="D247" t="s">
        <v>55</v>
      </c>
      <c r="E247" t="s">
        <v>56</v>
      </c>
      <c r="F247" t="s">
        <v>848</v>
      </c>
      <c r="G247" t="s">
        <v>917</v>
      </c>
      <c r="H247" t="s">
        <v>56</v>
      </c>
      <c r="I247" t="s">
        <v>918</v>
      </c>
      <c r="J247" t="s">
        <v>851</v>
      </c>
      <c r="K247" t="s">
        <v>640</v>
      </c>
      <c r="L247" t="s">
        <v>56</v>
      </c>
      <c r="M247" t="s">
        <v>56</v>
      </c>
      <c r="N247" t="s">
        <v>295</v>
      </c>
      <c r="O247" t="s">
        <v>887</v>
      </c>
      <c r="P247" t="s">
        <v>888</v>
      </c>
      <c r="Q247" t="s">
        <v>393</v>
      </c>
      <c r="R247" t="s">
        <v>248</v>
      </c>
      <c r="S247">
        <v>40000000</v>
      </c>
      <c r="T247">
        <v>-345667164.70999998</v>
      </c>
      <c r="U247" t="s">
        <v>68</v>
      </c>
      <c r="V247" t="s">
        <v>792</v>
      </c>
      <c r="W247" s="9">
        <v>60601571</v>
      </c>
      <c r="X247" t="s">
        <v>919</v>
      </c>
      <c r="Y247" s="1">
        <v>46020</v>
      </c>
      <c r="Z247" s="1">
        <v>46080</v>
      </c>
      <c r="AA247" s="2">
        <v>6302.38</v>
      </c>
      <c r="AB247" s="2">
        <v>5341</v>
      </c>
      <c r="AC247" s="2">
        <v>961.38</v>
      </c>
      <c r="AD247" s="2">
        <v>6302.38</v>
      </c>
      <c r="AE247" t="s">
        <v>920</v>
      </c>
      <c r="AF247" t="s">
        <v>72</v>
      </c>
      <c r="AG247">
        <v>-2</v>
      </c>
      <c r="AH247" t="s">
        <v>117</v>
      </c>
      <c r="AI247" t="s">
        <v>74</v>
      </c>
      <c r="AJ247" t="s">
        <v>75</v>
      </c>
      <c r="AK247" t="s">
        <v>76</v>
      </c>
      <c r="AL247" t="s">
        <v>77</v>
      </c>
      <c r="AM247" t="s">
        <v>78</v>
      </c>
      <c r="AN247" t="s">
        <v>795</v>
      </c>
      <c r="AO247" t="s">
        <v>119</v>
      </c>
      <c r="AP247" t="s">
        <v>46</v>
      </c>
      <c r="AQ247" t="s">
        <v>81</v>
      </c>
      <c r="AR247" t="str">
        <f t="shared" si="6"/>
        <v>60601571.STATAM</v>
      </c>
      <c r="AS247">
        <f t="shared" si="7"/>
        <v>48679286.969999976</v>
      </c>
      <c r="AT247" t="s">
        <v>82</v>
      </c>
    </row>
    <row r="248" spans="1:46" x14ac:dyDescent="0.35">
      <c r="A248" t="s">
        <v>52</v>
      </c>
      <c r="B248" t="s">
        <v>53</v>
      </c>
      <c r="C248" t="s">
        <v>54</v>
      </c>
      <c r="D248" t="s">
        <v>55</v>
      </c>
      <c r="E248" t="s">
        <v>56</v>
      </c>
      <c r="F248" t="s">
        <v>848</v>
      </c>
      <c r="G248" t="s">
        <v>921</v>
      </c>
      <c r="H248" t="s">
        <v>56</v>
      </c>
      <c r="I248" t="s">
        <v>922</v>
      </c>
      <c r="J248" t="s">
        <v>851</v>
      </c>
      <c r="K248" t="s">
        <v>640</v>
      </c>
      <c r="L248" t="s">
        <v>56</v>
      </c>
      <c r="M248" t="s">
        <v>56</v>
      </c>
      <c r="N248" t="s">
        <v>923</v>
      </c>
      <c r="O248" t="s">
        <v>887</v>
      </c>
      <c r="P248" t="s">
        <v>888</v>
      </c>
      <c r="Q248" t="s">
        <v>393</v>
      </c>
      <c r="R248" t="s">
        <v>248</v>
      </c>
      <c r="S248">
        <v>40000000</v>
      </c>
      <c r="T248">
        <v>-345667164.70999998</v>
      </c>
      <c r="U248" t="s">
        <v>68</v>
      </c>
      <c r="V248" t="s">
        <v>792</v>
      </c>
      <c r="W248" s="9">
        <v>60601571</v>
      </c>
      <c r="X248" t="s">
        <v>924</v>
      </c>
      <c r="Y248" s="1">
        <v>46020</v>
      </c>
      <c r="Z248" s="1">
        <v>46080</v>
      </c>
      <c r="AA248" s="2">
        <v>719951.04</v>
      </c>
      <c r="AB248" s="2">
        <v>610128</v>
      </c>
      <c r="AC248" s="2">
        <v>109823.03999999999</v>
      </c>
      <c r="AD248" s="2">
        <v>719951.04</v>
      </c>
      <c r="AE248" t="s">
        <v>925</v>
      </c>
      <c r="AF248" t="s">
        <v>72</v>
      </c>
      <c r="AG248">
        <v>-2</v>
      </c>
      <c r="AH248" t="s">
        <v>117</v>
      </c>
      <c r="AI248" t="s">
        <v>74</v>
      </c>
      <c r="AJ248" t="s">
        <v>75</v>
      </c>
      <c r="AK248" t="s">
        <v>76</v>
      </c>
      <c r="AL248" t="s">
        <v>77</v>
      </c>
      <c r="AM248" t="s">
        <v>78</v>
      </c>
      <c r="AN248" t="s">
        <v>795</v>
      </c>
      <c r="AO248" t="s">
        <v>119</v>
      </c>
      <c r="AP248" t="s">
        <v>46</v>
      </c>
      <c r="AQ248" t="s">
        <v>81</v>
      </c>
      <c r="AR248" t="str">
        <f t="shared" si="6"/>
        <v>60601571.STATAM</v>
      </c>
      <c r="AS248">
        <f t="shared" si="7"/>
        <v>48679286.969999976</v>
      </c>
      <c r="AT248" t="s">
        <v>82</v>
      </c>
    </row>
    <row r="249" spans="1:46" x14ac:dyDescent="0.35">
      <c r="A249" t="s">
        <v>52</v>
      </c>
      <c r="B249" t="s">
        <v>53</v>
      </c>
      <c r="C249" t="s">
        <v>54</v>
      </c>
      <c r="D249" t="s">
        <v>55</v>
      </c>
      <c r="E249" t="s">
        <v>56</v>
      </c>
      <c r="F249" t="s">
        <v>848</v>
      </c>
      <c r="G249" t="s">
        <v>856</v>
      </c>
      <c r="H249" t="s">
        <v>56</v>
      </c>
      <c r="I249" t="s">
        <v>926</v>
      </c>
      <c r="J249" t="s">
        <v>851</v>
      </c>
      <c r="K249" t="s">
        <v>640</v>
      </c>
      <c r="L249" t="s">
        <v>56</v>
      </c>
      <c r="M249" t="s">
        <v>56</v>
      </c>
      <c r="N249" t="s">
        <v>897</v>
      </c>
      <c r="O249" t="s">
        <v>790</v>
      </c>
      <c r="P249" t="s">
        <v>791</v>
      </c>
      <c r="Q249" t="s">
        <v>393</v>
      </c>
      <c r="R249" t="s">
        <v>248</v>
      </c>
      <c r="S249">
        <v>40000000</v>
      </c>
      <c r="T249">
        <v>-345667164.70999998</v>
      </c>
      <c r="U249" t="s">
        <v>68</v>
      </c>
      <c r="V249" t="s">
        <v>792</v>
      </c>
      <c r="W249" s="9">
        <v>60601571</v>
      </c>
      <c r="X249" t="s">
        <v>927</v>
      </c>
      <c r="Y249" s="1">
        <v>46020</v>
      </c>
      <c r="Z249" s="1">
        <v>46080</v>
      </c>
      <c r="AA249" s="2">
        <v>477661.64</v>
      </c>
      <c r="AB249" s="2">
        <v>404798</v>
      </c>
      <c r="AC249" s="2">
        <v>72863.64</v>
      </c>
      <c r="AD249" s="2">
        <v>477661.64</v>
      </c>
      <c r="AE249" t="s">
        <v>928</v>
      </c>
      <c r="AF249" t="s">
        <v>72</v>
      </c>
      <c r="AG249">
        <v>-2</v>
      </c>
      <c r="AH249" t="s">
        <v>117</v>
      </c>
      <c r="AI249" t="s">
        <v>74</v>
      </c>
      <c r="AJ249" t="s">
        <v>75</v>
      </c>
      <c r="AK249" t="s">
        <v>76</v>
      </c>
      <c r="AL249" t="s">
        <v>77</v>
      </c>
      <c r="AM249" t="s">
        <v>78</v>
      </c>
      <c r="AN249" t="s">
        <v>795</v>
      </c>
      <c r="AO249" t="s">
        <v>119</v>
      </c>
      <c r="AP249" t="s">
        <v>46</v>
      </c>
      <c r="AQ249" t="s">
        <v>81</v>
      </c>
      <c r="AR249" t="str">
        <f t="shared" si="6"/>
        <v>60601571.STATAM</v>
      </c>
      <c r="AS249">
        <f t="shared" si="7"/>
        <v>48679286.969999976</v>
      </c>
      <c r="AT249" t="s">
        <v>82</v>
      </c>
    </row>
    <row r="250" spans="1:46" x14ac:dyDescent="0.35">
      <c r="A250" t="s">
        <v>52</v>
      </c>
      <c r="B250" t="s">
        <v>53</v>
      </c>
      <c r="C250" t="s">
        <v>54</v>
      </c>
      <c r="D250" t="s">
        <v>55</v>
      </c>
      <c r="E250" t="s">
        <v>56</v>
      </c>
      <c r="F250" t="s">
        <v>848</v>
      </c>
      <c r="G250" t="s">
        <v>929</v>
      </c>
      <c r="H250" t="s">
        <v>56</v>
      </c>
      <c r="I250" t="s">
        <v>930</v>
      </c>
      <c r="J250" t="s">
        <v>851</v>
      </c>
      <c r="K250" t="s">
        <v>640</v>
      </c>
      <c r="L250" t="s">
        <v>56</v>
      </c>
      <c r="M250" t="s">
        <v>56</v>
      </c>
      <c r="N250" t="s">
        <v>295</v>
      </c>
      <c r="O250" t="s">
        <v>790</v>
      </c>
      <c r="P250" t="s">
        <v>791</v>
      </c>
      <c r="Q250" t="s">
        <v>393</v>
      </c>
      <c r="R250" t="s">
        <v>248</v>
      </c>
      <c r="S250">
        <v>40000000</v>
      </c>
      <c r="T250">
        <v>-345667164.70999998</v>
      </c>
      <c r="U250" t="s">
        <v>68</v>
      </c>
      <c r="V250" t="s">
        <v>792</v>
      </c>
      <c r="W250" s="9">
        <v>60601571</v>
      </c>
      <c r="X250" t="s">
        <v>931</v>
      </c>
      <c r="Y250" s="1">
        <v>46020</v>
      </c>
      <c r="Z250" s="1">
        <v>46080</v>
      </c>
      <c r="AA250" s="2">
        <v>1723073.76</v>
      </c>
      <c r="AB250" s="2">
        <v>1460232</v>
      </c>
      <c r="AC250" s="2">
        <v>262841.76</v>
      </c>
      <c r="AD250" s="2">
        <v>1723073.76</v>
      </c>
      <c r="AE250" t="s">
        <v>932</v>
      </c>
      <c r="AF250" t="s">
        <v>72</v>
      </c>
      <c r="AG250">
        <v>-2</v>
      </c>
      <c r="AH250" t="s">
        <v>117</v>
      </c>
      <c r="AI250" t="s">
        <v>74</v>
      </c>
      <c r="AJ250" t="s">
        <v>75</v>
      </c>
      <c r="AK250" t="s">
        <v>76</v>
      </c>
      <c r="AL250" t="s">
        <v>77</v>
      </c>
      <c r="AM250" t="s">
        <v>78</v>
      </c>
      <c r="AN250" t="s">
        <v>795</v>
      </c>
      <c r="AO250" t="s">
        <v>119</v>
      </c>
      <c r="AP250" t="s">
        <v>46</v>
      </c>
      <c r="AQ250" t="s">
        <v>81</v>
      </c>
      <c r="AR250" t="str">
        <f t="shared" si="6"/>
        <v>60601571.STATAM</v>
      </c>
      <c r="AS250">
        <f t="shared" si="7"/>
        <v>48679286.969999976</v>
      </c>
      <c r="AT250" t="s">
        <v>82</v>
      </c>
    </row>
    <row r="251" spans="1:46" x14ac:dyDescent="0.35">
      <c r="A251" t="s">
        <v>52</v>
      </c>
      <c r="B251" t="s">
        <v>53</v>
      </c>
      <c r="C251" t="s">
        <v>54</v>
      </c>
      <c r="D251" t="s">
        <v>55</v>
      </c>
      <c r="E251" t="s">
        <v>56</v>
      </c>
      <c r="F251" t="s">
        <v>848</v>
      </c>
      <c r="G251" t="s">
        <v>929</v>
      </c>
      <c r="H251" t="s">
        <v>56</v>
      </c>
      <c r="I251" t="s">
        <v>930</v>
      </c>
      <c r="J251" t="s">
        <v>851</v>
      </c>
      <c r="K251" t="s">
        <v>640</v>
      </c>
      <c r="L251" t="s">
        <v>56</v>
      </c>
      <c r="M251" t="s">
        <v>56</v>
      </c>
      <c r="N251" t="s">
        <v>252</v>
      </c>
      <c r="O251" t="s">
        <v>790</v>
      </c>
      <c r="P251" t="s">
        <v>791</v>
      </c>
      <c r="Q251" t="s">
        <v>393</v>
      </c>
      <c r="R251" t="s">
        <v>248</v>
      </c>
      <c r="S251">
        <v>40000000</v>
      </c>
      <c r="T251">
        <v>-345667164.70999998</v>
      </c>
      <c r="U251" t="s">
        <v>68</v>
      </c>
      <c r="V251" t="s">
        <v>792</v>
      </c>
      <c r="W251" s="9">
        <v>60601571</v>
      </c>
      <c r="X251" t="s">
        <v>931</v>
      </c>
      <c r="Y251" s="1">
        <v>46020</v>
      </c>
      <c r="Z251" s="1">
        <v>46080</v>
      </c>
      <c r="AA251" s="2">
        <v>37145.22</v>
      </c>
      <c r="AB251" s="2">
        <v>31479</v>
      </c>
      <c r="AC251" s="2">
        <v>5666.22</v>
      </c>
      <c r="AD251" s="2">
        <v>37145.22</v>
      </c>
      <c r="AE251" t="s">
        <v>933</v>
      </c>
      <c r="AF251" t="s">
        <v>72</v>
      </c>
      <c r="AG251">
        <v>-2</v>
      </c>
      <c r="AH251" t="s">
        <v>117</v>
      </c>
      <c r="AI251" t="s">
        <v>74</v>
      </c>
      <c r="AJ251" t="s">
        <v>75</v>
      </c>
      <c r="AK251" t="s">
        <v>76</v>
      </c>
      <c r="AL251" t="s">
        <v>77</v>
      </c>
      <c r="AM251" t="s">
        <v>78</v>
      </c>
      <c r="AN251" t="s">
        <v>795</v>
      </c>
      <c r="AO251" t="s">
        <v>119</v>
      </c>
      <c r="AP251" t="s">
        <v>46</v>
      </c>
      <c r="AQ251" t="s">
        <v>81</v>
      </c>
      <c r="AR251" t="str">
        <f t="shared" si="6"/>
        <v>60601571.STATAM</v>
      </c>
      <c r="AS251">
        <f t="shared" si="7"/>
        <v>48679286.969999976</v>
      </c>
      <c r="AT251" t="s">
        <v>82</v>
      </c>
    </row>
    <row r="252" spans="1:46" x14ac:dyDescent="0.35">
      <c r="A252" t="s">
        <v>52</v>
      </c>
      <c r="B252" t="s">
        <v>53</v>
      </c>
      <c r="C252" t="s">
        <v>54</v>
      </c>
      <c r="D252" t="s">
        <v>55</v>
      </c>
      <c r="E252" t="s">
        <v>56</v>
      </c>
      <c r="F252" t="s">
        <v>848</v>
      </c>
      <c r="G252" t="s">
        <v>929</v>
      </c>
      <c r="H252" t="s">
        <v>56</v>
      </c>
      <c r="I252" t="s">
        <v>930</v>
      </c>
      <c r="J252" t="s">
        <v>851</v>
      </c>
      <c r="K252" t="s">
        <v>640</v>
      </c>
      <c r="L252" t="s">
        <v>56</v>
      </c>
      <c r="M252" t="s">
        <v>56</v>
      </c>
      <c r="N252" t="s">
        <v>261</v>
      </c>
      <c r="O252" t="s">
        <v>790</v>
      </c>
      <c r="P252" t="s">
        <v>791</v>
      </c>
      <c r="Q252" t="s">
        <v>393</v>
      </c>
      <c r="R252" t="s">
        <v>248</v>
      </c>
      <c r="S252">
        <v>40000000</v>
      </c>
      <c r="T252">
        <v>-345667164.70999998</v>
      </c>
      <c r="U252" t="s">
        <v>68</v>
      </c>
      <c r="V252" t="s">
        <v>792</v>
      </c>
      <c r="W252" s="9">
        <v>60601571</v>
      </c>
      <c r="X252" t="s">
        <v>931</v>
      </c>
      <c r="Y252" s="1">
        <v>46020</v>
      </c>
      <c r="Z252" s="1">
        <v>46080</v>
      </c>
      <c r="AA252" s="2">
        <v>64310</v>
      </c>
      <c r="AB252" s="2">
        <v>54500</v>
      </c>
      <c r="AC252" s="2">
        <v>9810</v>
      </c>
      <c r="AD252" s="2">
        <v>64310</v>
      </c>
      <c r="AE252" t="s">
        <v>934</v>
      </c>
      <c r="AF252" t="s">
        <v>72</v>
      </c>
      <c r="AG252">
        <v>-2</v>
      </c>
      <c r="AH252" t="s">
        <v>117</v>
      </c>
      <c r="AI252" t="s">
        <v>74</v>
      </c>
      <c r="AJ252" t="s">
        <v>75</v>
      </c>
      <c r="AK252" t="s">
        <v>76</v>
      </c>
      <c r="AL252" t="s">
        <v>77</v>
      </c>
      <c r="AM252" t="s">
        <v>78</v>
      </c>
      <c r="AN252" t="s">
        <v>795</v>
      </c>
      <c r="AO252" t="s">
        <v>119</v>
      </c>
      <c r="AP252" t="s">
        <v>46</v>
      </c>
      <c r="AQ252" t="s">
        <v>81</v>
      </c>
      <c r="AR252" t="str">
        <f t="shared" si="6"/>
        <v>60601571.STATAM</v>
      </c>
      <c r="AS252">
        <f t="shared" si="7"/>
        <v>48679286.969999976</v>
      </c>
      <c r="AT252" t="s">
        <v>82</v>
      </c>
    </row>
    <row r="253" spans="1:46" x14ac:dyDescent="0.35">
      <c r="A253" t="s">
        <v>52</v>
      </c>
      <c r="B253" t="s">
        <v>53</v>
      </c>
      <c r="C253" t="s">
        <v>54</v>
      </c>
      <c r="D253" t="s">
        <v>55</v>
      </c>
      <c r="E253" t="s">
        <v>56</v>
      </c>
      <c r="F253" t="s">
        <v>848</v>
      </c>
      <c r="G253" t="s">
        <v>935</v>
      </c>
      <c r="H253" t="s">
        <v>56</v>
      </c>
      <c r="I253" t="s">
        <v>936</v>
      </c>
      <c r="J253" t="s">
        <v>851</v>
      </c>
      <c r="K253" t="s">
        <v>640</v>
      </c>
      <c r="L253" t="s">
        <v>937</v>
      </c>
      <c r="M253" t="s">
        <v>56</v>
      </c>
      <c r="N253" t="s">
        <v>923</v>
      </c>
      <c r="O253" t="s">
        <v>887</v>
      </c>
      <c r="P253" t="s">
        <v>888</v>
      </c>
      <c r="Q253" t="s">
        <v>393</v>
      </c>
      <c r="R253" t="s">
        <v>248</v>
      </c>
      <c r="S253">
        <v>40000000</v>
      </c>
      <c r="T253">
        <v>-345667164.70999998</v>
      </c>
      <c r="U253" t="s">
        <v>68</v>
      </c>
      <c r="V253" t="s">
        <v>792</v>
      </c>
      <c r="W253" s="9">
        <v>60601571</v>
      </c>
      <c r="X253" t="s">
        <v>938</v>
      </c>
      <c r="Y253" s="1">
        <v>46020</v>
      </c>
      <c r="Z253" s="1">
        <v>46080</v>
      </c>
      <c r="AA253" s="2">
        <v>1439902.08</v>
      </c>
      <c r="AB253" s="2">
        <v>1220256</v>
      </c>
      <c r="AC253" s="2">
        <v>219646.07999999999</v>
      </c>
      <c r="AD253" s="2">
        <v>1439902.08</v>
      </c>
      <c r="AE253" t="s">
        <v>939</v>
      </c>
      <c r="AF253" t="s">
        <v>72</v>
      </c>
      <c r="AG253">
        <v>-2</v>
      </c>
      <c r="AH253" t="s">
        <v>117</v>
      </c>
      <c r="AI253" t="s">
        <v>74</v>
      </c>
      <c r="AJ253" t="s">
        <v>75</v>
      </c>
      <c r="AK253" t="s">
        <v>76</v>
      </c>
      <c r="AL253" t="s">
        <v>77</v>
      </c>
      <c r="AM253" t="s">
        <v>78</v>
      </c>
      <c r="AN253" t="s">
        <v>795</v>
      </c>
      <c r="AO253" t="s">
        <v>119</v>
      </c>
      <c r="AP253" t="s">
        <v>46</v>
      </c>
      <c r="AQ253" t="s">
        <v>81</v>
      </c>
      <c r="AR253" t="str">
        <f t="shared" si="6"/>
        <v>60601571.STATAM</v>
      </c>
      <c r="AS253">
        <f t="shared" si="7"/>
        <v>48679286.969999976</v>
      </c>
      <c r="AT253" t="s">
        <v>82</v>
      </c>
    </row>
    <row r="254" spans="1:46" x14ac:dyDescent="0.35">
      <c r="A254" t="s">
        <v>52</v>
      </c>
      <c r="B254" t="s">
        <v>53</v>
      </c>
      <c r="C254" t="s">
        <v>54</v>
      </c>
      <c r="D254" t="s">
        <v>55</v>
      </c>
      <c r="E254" t="s">
        <v>56</v>
      </c>
      <c r="F254" t="s">
        <v>848</v>
      </c>
      <c r="G254" t="s">
        <v>940</v>
      </c>
      <c r="H254" t="s">
        <v>56</v>
      </c>
      <c r="I254" t="s">
        <v>941</v>
      </c>
      <c r="J254" t="s">
        <v>851</v>
      </c>
      <c r="K254" t="s">
        <v>640</v>
      </c>
      <c r="L254" t="s">
        <v>56</v>
      </c>
      <c r="M254" t="s">
        <v>56</v>
      </c>
      <c r="N254" t="s">
        <v>897</v>
      </c>
      <c r="O254" t="s">
        <v>887</v>
      </c>
      <c r="P254" t="s">
        <v>888</v>
      </c>
      <c r="Q254" t="s">
        <v>393</v>
      </c>
      <c r="R254" t="s">
        <v>248</v>
      </c>
      <c r="S254">
        <v>40000000</v>
      </c>
      <c r="T254">
        <v>-345667164.70999998</v>
      </c>
      <c r="U254" t="s">
        <v>68</v>
      </c>
      <c r="V254" t="s">
        <v>792</v>
      </c>
      <c r="W254" s="9">
        <v>60601571</v>
      </c>
      <c r="X254" t="s">
        <v>942</v>
      </c>
      <c r="Y254" s="1">
        <v>46020</v>
      </c>
      <c r="Z254" s="1">
        <v>46080</v>
      </c>
      <c r="AA254" s="2">
        <v>111367.22</v>
      </c>
      <c r="AB254" s="2">
        <v>94379</v>
      </c>
      <c r="AC254" s="2">
        <v>16988.22</v>
      </c>
      <c r="AD254" s="2">
        <v>111367.22</v>
      </c>
      <c r="AE254" t="s">
        <v>943</v>
      </c>
      <c r="AF254" t="s">
        <v>72</v>
      </c>
      <c r="AG254">
        <v>-2</v>
      </c>
      <c r="AH254" t="s">
        <v>117</v>
      </c>
      <c r="AI254" t="s">
        <v>74</v>
      </c>
      <c r="AJ254" t="s">
        <v>75</v>
      </c>
      <c r="AK254" t="s">
        <v>76</v>
      </c>
      <c r="AL254" t="s">
        <v>77</v>
      </c>
      <c r="AM254" t="s">
        <v>78</v>
      </c>
      <c r="AN254" t="s">
        <v>795</v>
      </c>
      <c r="AO254" t="s">
        <v>119</v>
      </c>
      <c r="AP254" t="s">
        <v>46</v>
      </c>
      <c r="AQ254" t="s">
        <v>81</v>
      </c>
      <c r="AR254" t="str">
        <f t="shared" si="6"/>
        <v>60601571.STATAM</v>
      </c>
      <c r="AS254">
        <f t="shared" si="7"/>
        <v>48679286.969999976</v>
      </c>
      <c r="AT254" t="s">
        <v>82</v>
      </c>
    </row>
    <row r="255" spans="1:46" x14ac:dyDescent="0.35">
      <c r="A255" t="s">
        <v>52</v>
      </c>
      <c r="B255" t="s">
        <v>53</v>
      </c>
      <c r="C255" t="s">
        <v>54</v>
      </c>
      <c r="D255" t="s">
        <v>55</v>
      </c>
      <c r="E255" t="s">
        <v>56</v>
      </c>
      <c r="F255" t="s">
        <v>848</v>
      </c>
      <c r="G255" t="s">
        <v>879</v>
      </c>
      <c r="H255" t="s">
        <v>56</v>
      </c>
      <c r="I255" t="s">
        <v>944</v>
      </c>
      <c r="J255" t="s">
        <v>851</v>
      </c>
      <c r="K255" t="s">
        <v>640</v>
      </c>
      <c r="L255" t="s">
        <v>56</v>
      </c>
      <c r="M255" t="s">
        <v>56</v>
      </c>
      <c r="N255" t="s">
        <v>295</v>
      </c>
      <c r="O255" t="s">
        <v>790</v>
      </c>
      <c r="P255" t="s">
        <v>791</v>
      </c>
      <c r="Q255" t="s">
        <v>853</v>
      </c>
      <c r="R255" t="s">
        <v>248</v>
      </c>
      <c r="S255">
        <v>40000000</v>
      </c>
      <c r="T255">
        <v>-345667164.70999998</v>
      </c>
      <c r="U255" t="s">
        <v>68</v>
      </c>
      <c r="V255" t="s">
        <v>792</v>
      </c>
      <c r="W255" s="9">
        <v>60601571</v>
      </c>
      <c r="X255" t="s">
        <v>945</v>
      </c>
      <c r="Y255" s="1">
        <v>46020</v>
      </c>
      <c r="Z255" s="1">
        <v>46080</v>
      </c>
      <c r="AA255" s="2">
        <v>32582.16</v>
      </c>
      <c r="AB255" s="2">
        <v>27612</v>
      </c>
      <c r="AC255" s="2">
        <v>4970.16</v>
      </c>
      <c r="AD255" s="2">
        <v>32582.16</v>
      </c>
      <c r="AE255" t="s">
        <v>946</v>
      </c>
      <c r="AF255" t="s">
        <v>72</v>
      </c>
      <c r="AG255">
        <v>-2</v>
      </c>
      <c r="AH255" t="s">
        <v>117</v>
      </c>
      <c r="AI255" t="s">
        <v>74</v>
      </c>
      <c r="AJ255" t="s">
        <v>75</v>
      </c>
      <c r="AK255" t="s">
        <v>76</v>
      </c>
      <c r="AL255" t="s">
        <v>77</v>
      </c>
      <c r="AM255" t="s">
        <v>78</v>
      </c>
      <c r="AN255" t="s">
        <v>795</v>
      </c>
      <c r="AO255" t="s">
        <v>119</v>
      </c>
      <c r="AP255" t="s">
        <v>46</v>
      </c>
      <c r="AQ255" t="s">
        <v>81</v>
      </c>
      <c r="AR255" t="str">
        <f t="shared" si="6"/>
        <v>60601571.STATAM</v>
      </c>
      <c r="AS255">
        <f t="shared" si="7"/>
        <v>48679286.969999976</v>
      </c>
      <c r="AT255" t="s">
        <v>82</v>
      </c>
    </row>
    <row r="256" spans="1:46" x14ac:dyDescent="0.35">
      <c r="A256" t="s">
        <v>52</v>
      </c>
      <c r="B256" t="s">
        <v>53</v>
      </c>
      <c r="C256" t="s">
        <v>54</v>
      </c>
      <c r="D256" t="s">
        <v>55</v>
      </c>
      <c r="E256" t="s">
        <v>56</v>
      </c>
      <c r="F256" t="s">
        <v>848</v>
      </c>
      <c r="G256" t="s">
        <v>874</v>
      </c>
      <c r="H256" t="s">
        <v>56</v>
      </c>
      <c r="I256" t="s">
        <v>947</v>
      </c>
      <c r="J256" t="s">
        <v>851</v>
      </c>
      <c r="K256" t="s">
        <v>640</v>
      </c>
      <c r="L256" t="s">
        <v>56</v>
      </c>
      <c r="M256" t="s">
        <v>56</v>
      </c>
      <c r="N256" t="s">
        <v>252</v>
      </c>
      <c r="O256" t="s">
        <v>790</v>
      </c>
      <c r="P256" t="s">
        <v>791</v>
      </c>
      <c r="Q256" t="s">
        <v>853</v>
      </c>
      <c r="R256" t="s">
        <v>248</v>
      </c>
      <c r="S256">
        <v>40000000</v>
      </c>
      <c r="T256">
        <v>-345667164.70999998</v>
      </c>
      <c r="U256" t="s">
        <v>68</v>
      </c>
      <c r="V256" t="s">
        <v>792</v>
      </c>
      <c r="W256" s="9">
        <v>60601571</v>
      </c>
      <c r="X256" t="s">
        <v>948</v>
      </c>
      <c r="Y256" s="1">
        <v>46020</v>
      </c>
      <c r="Z256" s="1">
        <v>46080</v>
      </c>
      <c r="AA256" s="2">
        <v>377736.88</v>
      </c>
      <c r="AB256" s="2">
        <v>320116</v>
      </c>
      <c r="AC256" s="2">
        <v>57620.88</v>
      </c>
      <c r="AD256" s="2">
        <v>377736.88</v>
      </c>
      <c r="AE256" t="s">
        <v>949</v>
      </c>
      <c r="AF256" t="s">
        <v>72</v>
      </c>
      <c r="AG256">
        <v>-2</v>
      </c>
      <c r="AH256" t="s">
        <v>117</v>
      </c>
      <c r="AI256" t="s">
        <v>74</v>
      </c>
      <c r="AJ256" t="s">
        <v>75</v>
      </c>
      <c r="AK256" t="s">
        <v>76</v>
      </c>
      <c r="AL256" t="s">
        <v>77</v>
      </c>
      <c r="AM256" t="s">
        <v>78</v>
      </c>
      <c r="AN256" t="s">
        <v>795</v>
      </c>
      <c r="AO256" t="s">
        <v>119</v>
      </c>
      <c r="AP256" t="s">
        <v>46</v>
      </c>
      <c r="AQ256" t="s">
        <v>81</v>
      </c>
      <c r="AR256" t="str">
        <f t="shared" si="6"/>
        <v>60601571.STATAM</v>
      </c>
      <c r="AS256">
        <f t="shared" si="7"/>
        <v>48679286.969999976</v>
      </c>
      <c r="AT256" t="s">
        <v>82</v>
      </c>
    </row>
    <row r="257" spans="1:46" x14ac:dyDescent="0.35">
      <c r="A257" t="s">
        <v>52</v>
      </c>
      <c r="B257" t="s">
        <v>53</v>
      </c>
      <c r="C257" t="s">
        <v>54</v>
      </c>
      <c r="D257" t="s">
        <v>55</v>
      </c>
      <c r="E257" t="s">
        <v>56</v>
      </c>
      <c r="F257" t="s">
        <v>848</v>
      </c>
      <c r="G257" t="s">
        <v>950</v>
      </c>
      <c r="H257" t="s">
        <v>56</v>
      </c>
      <c r="I257" t="s">
        <v>951</v>
      </c>
      <c r="J257" t="s">
        <v>851</v>
      </c>
      <c r="K257" t="s">
        <v>640</v>
      </c>
      <c r="L257" t="s">
        <v>56</v>
      </c>
      <c r="M257" t="s">
        <v>56</v>
      </c>
      <c r="N257" t="s">
        <v>252</v>
      </c>
      <c r="O257" t="s">
        <v>790</v>
      </c>
      <c r="P257" t="s">
        <v>791</v>
      </c>
      <c r="Q257" t="s">
        <v>853</v>
      </c>
      <c r="R257" t="s">
        <v>248</v>
      </c>
      <c r="S257">
        <v>40000000</v>
      </c>
      <c r="T257">
        <v>-345667164.70999998</v>
      </c>
      <c r="U257" t="s">
        <v>68</v>
      </c>
      <c r="V257" t="s">
        <v>792</v>
      </c>
      <c r="W257" s="9">
        <v>60601571</v>
      </c>
      <c r="X257" t="s">
        <v>952</v>
      </c>
      <c r="Y257" s="1">
        <v>46020</v>
      </c>
      <c r="Z257" s="1">
        <v>46080</v>
      </c>
      <c r="AA257" s="2">
        <v>113243.42</v>
      </c>
      <c r="AB257" s="2">
        <v>95969</v>
      </c>
      <c r="AC257" s="2">
        <v>17274.419999999998</v>
      </c>
      <c r="AD257" s="2">
        <v>113243.42</v>
      </c>
      <c r="AE257" t="s">
        <v>953</v>
      </c>
      <c r="AF257" t="s">
        <v>72</v>
      </c>
      <c r="AG257">
        <v>-2</v>
      </c>
      <c r="AH257" t="s">
        <v>117</v>
      </c>
      <c r="AI257" t="s">
        <v>74</v>
      </c>
      <c r="AJ257" t="s">
        <v>75</v>
      </c>
      <c r="AK257" t="s">
        <v>76</v>
      </c>
      <c r="AL257" t="s">
        <v>77</v>
      </c>
      <c r="AM257" t="s">
        <v>78</v>
      </c>
      <c r="AN257" t="s">
        <v>795</v>
      </c>
      <c r="AO257" t="s">
        <v>119</v>
      </c>
      <c r="AP257" t="s">
        <v>46</v>
      </c>
      <c r="AQ257" t="s">
        <v>81</v>
      </c>
      <c r="AR257" t="str">
        <f t="shared" si="6"/>
        <v>60601571.STATAM</v>
      </c>
      <c r="AS257">
        <f t="shared" si="7"/>
        <v>48679286.969999976</v>
      </c>
      <c r="AT257" t="s">
        <v>82</v>
      </c>
    </row>
    <row r="258" spans="1:46" x14ac:dyDescent="0.35">
      <c r="A258" t="s">
        <v>52</v>
      </c>
      <c r="B258" t="s">
        <v>53</v>
      </c>
      <c r="C258" t="s">
        <v>54</v>
      </c>
      <c r="D258" t="s">
        <v>55</v>
      </c>
      <c r="E258" t="s">
        <v>56</v>
      </c>
      <c r="F258" t="s">
        <v>848</v>
      </c>
      <c r="G258" t="s">
        <v>950</v>
      </c>
      <c r="H258" t="s">
        <v>56</v>
      </c>
      <c r="I258" t="s">
        <v>951</v>
      </c>
      <c r="J258" t="s">
        <v>851</v>
      </c>
      <c r="K258" t="s">
        <v>640</v>
      </c>
      <c r="L258" t="s">
        <v>56</v>
      </c>
      <c r="M258" t="s">
        <v>56</v>
      </c>
      <c r="N258" t="s">
        <v>897</v>
      </c>
      <c r="O258" t="s">
        <v>790</v>
      </c>
      <c r="P258" t="s">
        <v>791</v>
      </c>
      <c r="Q258" t="s">
        <v>853</v>
      </c>
      <c r="R258" t="s">
        <v>248</v>
      </c>
      <c r="S258">
        <v>40000000</v>
      </c>
      <c r="T258">
        <v>-345667164.70999998</v>
      </c>
      <c r="U258" t="s">
        <v>68</v>
      </c>
      <c r="V258" t="s">
        <v>792</v>
      </c>
      <c r="W258" s="9">
        <v>60601571</v>
      </c>
      <c r="X258" t="s">
        <v>952</v>
      </c>
      <c r="Y258" s="1">
        <v>46020</v>
      </c>
      <c r="Z258" s="1">
        <v>46080</v>
      </c>
      <c r="AA258" s="2">
        <v>1673060.64</v>
      </c>
      <c r="AB258" s="2">
        <v>1417848</v>
      </c>
      <c r="AC258" s="2">
        <v>255212.64</v>
      </c>
      <c r="AD258" s="2">
        <v>1673060.64</v>
      </c>
      <c r="AE258" t="s">
        <v>954</v>
      </c>
      <c r="AF258" t="s">
        <v>72</v>
      </c>
      <c r="AG258">
        <v>-2</v>
      </c>
      <c r="AH258" t="s">
        <v>117</v>
      </c>
      <c r="AI258" t="s">
        <v>74</v>
      </c>
      <c r="AJ258" t="s">
        <v>75</v>
      </c>
      <c r="AK258" t="s">
        <v>76</v>
      </c>
      <c r="AL258" t="s">
        <v>77</v>
      </c>
      <c r="AM258" t="s">
        <v>78</v>
      </c>
      <c r="AN258" t="s">
        <v>795</v>
      </c>
      <c r="AO258" t="s">
        <v>119</v>
      </c>
      <c r="AP258" t="s">
        <v>46</v>
      </c>
      <c r="AQ258" t="s">
        <v>81</v>
      </c>
      <c r="AR258" t="str">
        <f t="shared" si="6"/>
        <v>60601571.STATAM</v>
      </c>
      <c r="AS258">
        <f t="shared" si="7"/>
        <v>48679286.969999976</v>
      </c>
      <c r="AT258" t="s">
        <v>82</v>
      </c>
    </row>
    <row r="259" spans="1:46" x14ac:dyDescent="0.35">
      <c r="A259" t="s">
        <v>52</v>
      </c>
      <c r="B259" t="s">
        <v>53</v>
      </c>
      <c r="C259" t="s">
        <v>54</v>
      </c>
      <c r="D259" t="s">
        <v>55</v>
      </c>
      <c r="E259" t="s">
        <v>56</v>
      </c>
      <c r="F259" t="s">
        <v>848</v>
      </c>
      <c r="G259" t="s">
        <v>870</v>
      </c>
      <c r="H259" t="s">
        <v>56</v>
      </c>
      <c r="I259" t="s">
        <v>955</v>
      </c>
      <c r="J259" t="s">
        <v>851</v>
      </c>
      <c r="K259" t="s">
        <v>640</v>
      </c>
      <c r="L259" t="s">
        <v>56</v>
      </c>
      <c r="M259" t="s">
        <v>56</v>
      </c>
      <c r="N259" t="s">
        <v>252</v>
      </c>
      <c r="O259" t="s">
        <v>790</v>
      </c>
      <c r="P259" t="s">
        <v>791</v>
      </c>
      <c r="Q259" t="s">
        <v>853</v>
      </c>
      <c r="R259" t="s">
        <v>248</v>
      </c>
      <c r="S259">
        <v>40000000</v>
      </c>
      <c r="T259">
        <v>-345667164.70999998</v>
      </c>
      <c r="U259" t="s">
        <v>68</v>
      </c>
      <c r="V259" t="s">
        <v>792</v>
      </c>
      <c r="W259" s="9">
        <v>60601571</v>
      </c>
      <c r="X259" t="s">
        <v>956</v>
      </c>
      <c r="Y259" s="1">
        <v>46020</v>
      </c>
      <c r="Z259" s="1">
        <v>46080</v>
      </c>
      <c r="AA259" s="2">
        <v>4078.08</v>
      </c>
      <c r="AB259" s="2">
        <v>3456</v>
      </c>
      <c r="AC259" s="2">
        <v>622.08000000000004</v>
      </c>
      <c r="AD259" s="2">
        <v>4078.08</v>
      </c>
      <c r="AE259" t="s">
        <v>957</v>
      </c>
      <c r="AF259" t="s">
        <v>72</v>
      </c>
      <c r="AG259">
        <v>-2</v>
      </c>
      <c r="AH259" t="s">
        <v>117</v>
      </c>
      <c r="AI259" t="s">
        <v>74</v>
      </c>
      <c r="AJ259" t="s">
        <v>75</v>
      </c>
      <c r="AK259" t="s">
        <v>76</v>
      </c>
      <c r="AL259" t="s">
        <v>77</v>
      </c>
      <c r="AM259" t="s">
        <v>78</v>
      </c>
      <c r="AN259" t="s">
        <v>795</v>
      </c>
      <c r="AO259" t="s">
        <v>119</v>
      </c>
      <c r="AP259" t="s">
        <v>46</v>
      </c>
      <c r="AQ259" t="s">
        <v>81</v>
      </c>
      <c r="AR259" t="str">
        <f t="shared" si="6"/>
        <v>60601571.STATAM</v>
      </c>
      <c r="AS259">
        <f t="shared" si="7"/>
        <v>48679286.969999976</v>
      </c>
      <c r="AT259" t="s">
        <v>82</v>
      </c>
    </row>
    <row r="260" spans="1:46" x14ac:dyDescent="0.35">
      <c r="A260" t="s">
        <v>52</v>
      </c>
      <c r="B260" t="s">
        <v>53</v>
      </c>
      <c r="C260" t="s">
        <v>54</v>
      </c>
      <c r="D260" t="s">
        <v>55</v>
      </c>
      <c r="E260" t="s">
        <v>56</v>
      </c>
      <c r="F260" t="s">
        <v>848</v>
      </c>
      <c r="G260" t="s">
        <v>870</v>
      </c>
      <c r="H260" t="s">
        <v>56</v>
      </c>
      <c r="I260" t="s">
        <v>955</v>
      </c>
      <c r="J260" t="s">
        <v>851</v>
      </c>
      <c r="K260" t="s">
        <v>640</v>
      </c>
      <c r="L260" t="s">
        <v>56</v>
      </c>
      <c r="M260" t="s">
        <v>56</v>
      </c>
      <c r="N260" t="s">
        <v>295</v>
      </c>
      <c r="O260" t="s">
        <v>790</v>
      </c>
      <c r="P260" t="s">
        <v>791</v>
      </c>
      <c r="Q260" t="s">
        <v>853</v>
      </c>
      <c r="R260" t="s">
        <v>248</v>
      </c>
      <c r="S260">
        <v>40000000</v>
      </c>
      <c r="T260">
        <v>-345667164.70999998</v>
      </c>
      <c r="U260" t="s">
        <v>68</v>
      </c>
      <c r="V260" t="s">
        <v>792</v>
      </c>
      <c r="W260" s="9">
        <v>60601571</v>
      </c>
      <c r="X260" t="s">
        <v>956</v>
      </c>
      <c r="Y260" s="1">
        <v>46020</v>
      </c>
      <c r="Z260" s="1">
        <v>46080</v>
      </c>
      <c r="AA260" s="2">
        <v>408205.66</v>
      </c>
      <c r="AB260" s="2">
        <v>345937</v>
      </c>
      <c r="AC260" s="2">
        <v>62268.66</v>
      </c>
      <c r="AD260" s="2">
        <v>408205.66</v>
      </c>
      <c r="AE260" t="s">
        <v>958</v>
      </c>
      <c r="AF260" t="s">
        <v>72</v>
      </c>
      <c r="AG260">
        <v>-2</v>
      </c>
      <c r="AH260" t="s">
        <v>117</v>
      </c>
      <c r="AI260" t="s">
        <v>74</v>
      </c>
      <c r="AJ260" t="s">
        <v>75</v>
      </c>
      <c r="AK260" t="s">
        <v>76</v>
      </c>
      <c r="AL260" t="s">
        <v>77</v>
      </c>
      <c r="AM260" t="s">
        <v>78</v>
      </c>
      <c r="AN260" t="s">
        <v>795</v>
      </c>
      <c r="AO260" t="s">
        <v>119</v>
      </c>
      <c r="AP260" t="s">
        <v>46</v>
      </c>
      <c r="AQ260" t="s">
        <v>81</v>
      </c>
      <c r="AR260" t="str">
        <f t="shared" si="6"/>
        <v>60601571.STATAM</v>
      </c>
      <c r="AS260">
        <f t="shared" si="7"/>
        <v>48679286.969999976</v>
      </c>
      <c r="AT260" t="s">
        <v>82</v>
      </c>
    </row>
    <row r="261" spans="1:46" x14ac:dyDescent="0.35">
      <c r="A261" t="s">
        <v>52</v>
      </c>
      <c r="B261" t="s">
        <v>53</v>
      </c>
      <c r="C261" t="s">
        <v>54</v>
      </c>
      <c r="D261" t="s">
        <v>55</v>
      </c>
      <c r="E261" t="s">
        <v>56</v>
      </c>
      <c r="F261" t="s">
        <v>848</v>
      </c>
      <c r="G261" t="s">
        <v>959</v>
      </c>
      <c r="H261" t="s">
        <v>780</v>
      </c>
      <c r="I261" t="s">
        <v>960</v>
      </c>
      <c r="J261" t="s">
        <v>851</v>
      </c>
      <c r="K261" t="s">
        <v>640</v>
      </c>
      <c r="L261" t="s">
        <v>56</v>
      </c>
      <c r="M261" t="s">
        <v>56</v>
      </c>
      <c r="N261" t="s">
        <v>782</v>
      </c>
      <c r="O261" t="s">
        <v>790</v>
      </c>
      <c r="P261" t="s">
        <v>791</v>
      </c>
      <c r="Q261" t="s">
        <v>853</v>
      </c>
      <c r="R261" t="s">
        <v>248</v>
      </c>
      <c r="S261">
        <v>40000000</v>
      </c>
      <c r="T261">
        <v>-345667164.70999998</v>
      </c>
      <c r="U261" t="s">
        <v>68</v>
      </c>
      <c r="V261" t="s">
        <v>792</v>
      </c>
      <c r="W261" s="9">
        <v>60601571</v>
      </c>
      <c r="X261" t="s">
        <v>961</v>
      </c>
      <c r="Y261" s="1">
        <v>46027</v>
      </c>
      <c r="Z261" s="1">
        <v>46087</v>
      </c>
      <c r="AA261" s="2">
        <v>1534000</v>
      </c>
      <c r="AB261" s="2">
        <v>1300000</v>
      </c>
      <c r="AC261" s="2">
        <v>234000</v>
      </c>
      <c r="AD261" s="2">
        <v>1534000</v>
      </c>
      <c r="AE261" t="s">
        <v>962</v>
      </c>
      <c r="AF261" t="s">
        <v>72</v>
      </c>
      <c r="AG261">
        <v>-9</v>
      </c>
      <c r="AH261" t="s">
        <v>117</v>
      </c>
      <c r="AI261" t="s">
        <v>74</v>
      </c>
      <c r="AJ261" t="s">
        <v>75</v>
      </c>
      <c r="AK261" t="s">
        <v>76</v>
      </c>
      <c r="AL261" t="s">
        <v>118</v>
      </c>
      <c r="AM261" t="s">
        <v>78</v>
      </c>
      <c r="AN261" t="s">
        <v>795</v>
      </c>
      <c r="AO261" t="s">
        <v>119</v>
      </c>
      <c r="AP261" t="s">
        <v>46</v>
      </c>
      <c r="AQ261" t="s">
        <v>81</v>
      </c>
      <c r="AR261" t="str">
        <f t="shared" si="6"/>
        <v>60601571.STATAM</v>
      </c>
      <c r="AS261">
        <f t="shared" si="7"/>
        <v>48679286.969999976</v>
      </c>
      <c r="AT261" t="s">
        <v>82</v>
      </c>
    </row>
    <row r="262" spans="1:46" x14ac:dyDescent="0.35">
      <c r="A262" t="s">
        <v>52</v>
      </c>
      <c r="B262" t="s">
        <v>53</v>
      </c>
      <c r="C262" t="s">
        <v>54</v>
      </c>
      <c r="D262" t="s">
        <v>55</v>
      </c>
      <c r="E262" t="s">
        <v>56</v>
      </c>
      <c r="F262" t="s">
        <v>848</v>
      </c>
      <c r="G262" t="s">
        <v>963</v>
      </c>
      <c r="H262" t="s">
        <v>56</v>
      </c>
      <c r="I262" t="s">
        <v>964</v>
      </c>
      <c r="J262" t="s">
        <v>851</v>
      </c>
      <c r="K262" t="s">
        <v>640</v>
      </c>
      <c r="L262" t="s">
        <v>56</v>
      </c>
      <c r="M262" t="s">
        <v>56</v>
      </c>
      <c r="N262" t="s">
        <v>682</v>
      </c>
      <c r="O262" t="s">
        <v>887</v>
      </c>
      <c r="P262" t="s">
        <v>888</v>
      </c>
      <c r="Q262" t="s">
        <v>965</v>
      </c>
      <c r="R262" t="s">
        <v>248</v>
      </c>
      <c r="S262">
        <v>40000000</v>
      </c>
      <c r="T262">
        <v>-345667164.70999998</v>
      </c>
      <c r="U262" t="s">
        <v>68</v>
      </c>
      <c r="V262" t="s">
        <v>792</v>
      </c>
      <c r="W262" s="9">
        <v>60601571</v>
      </c>
      <c r="X262" t="s">
        <v>966</v>
      </c>
      <c r="Y262" s="1">
        <v>46030</v>
      </c>
      <c r="Z262" s="1">
        <v>46090</v>
      </c>
      <c r="AA262" s="2">
        <v>133762.65</v>
      </c>
      <c r="AB262" s="2">
        <v>113358.18</v>
      </c>
      <c r="AC262" s="2">
        <v>20404.47</v>
      </c>
      <c r="AD262" s="2">
        <v>133762.65</v>
      </c>
      <c r="AE262" t="s">
        <v>967</v>
      </c>
      <c r="AF262" t="s">
        <v>72</v>
      </c>
      <c r="AG262">
        <v>-12</v>
      </c>
      <c r="AH262" t="s">
        <v>117</v>
      </c>
      <c r="AI262" t="s">
        <v>74</v>
      </c>
      <c r="AJ262" t="s">
        <v>127</v>
      </c>
      <c r="AK262" t="s">
        <v>334</v>
      </c>
      <c r="AL262" t="s">
        <v>118</v>
      </c>
      <c r="AM262" t="s">
        <v>78</v>
      </c>
      <c r="AN262" t="s">
        <v>795</v>
      </c>
      <c r="AO262" t="s">
        <v>119</v>
      </c>
      <c r="AP262" t="s">
        <v>46</v>
      </c>
      <c r="AQ262" t="s">
        <v>335</v>
      </c>
      <c r="AR262" t="str">
        <f t="shared" si="6"/>
        <v>60601571.SPMINAM</v>
      </c>
      <c r="AS262">
        <f t="shared" si="7"/>
        <v>1752670.26</v>
      </c>
      <c r="AT262" t="s">
        <v>82</v>
      </c>
    </row>
    <row r="263" spans="1:46" x14ac:dyDescent="0.35">
      <c r="A263" t="s">
        <v>52</v>
      </c>
      <c r="B263" t="s">
        <v>53</v>
      </c>
      <c r="C263" t="s">
        <v>54</v>
      </c>
      <c r="D263" t="s">
        <v>55</v>
      </c>
      <c r="E263" t="s">
        <v>56</v>
      </c>
      <c r="F263" t="s">
        <v>848</v>
      </c>
      <c r="G263" t="s">
        <v>968</v>
      </c>
      <c r="H263" t="s">
        <v>56</v>
      </c>
      <c r="I263" t="s">
        <v>969</v>
      </c>
      <c r="J263" t="s">
        <v>851</v>
      </c>
      <c r="K263" t="s">
        <v>640</v>
      </c>
      <c r="L263" t="s">
        <v>56</v>
      </c>
      <c r="M263" t="s">
        <v>56</v>
      </c>
      <c r="N263" t="s">
        <v>252</v>
      </c>
      <c r="O263" t="s">
        <v>887</v>
      </c>
      <c r="P263" t="s">
        <v>888</v>
      </c>
      <c r="Q263" t="s">
        <v>965</v>
      </c>
      <c r="R263" t="s">
        <v>248</v>
      </c>
      <c r="S263">
        <v>40000000</v>
      </c>
      <c r="T263">
        <v>-345667164.70999998</v>
      </c>
      <c r="U263" t="s">
        <v>68</v>
      </c>
      <c r="V263" t="s">
        <v>792</v>
      </c>
      <c r="W263" s="9">
        <v>60601571</v>
      </c>
      <c r="X263" t="s">
        <v>970</v>
      </c>
      <c r="Y263" s="1">
        <v>46030</v>
      </c>
      <c r="Z263" s="1">
        <v>46090</v>
      </c>
      <c r="AA263" s="2">
        <v>694374.61</v>
      </c>
      <c r="AB263" s="2">
        <v>588453.06000000006</v>
      </c>
      <c r="AC263" s="2">
        <v>105921.55</v>
      </c>
      <c r="AD263" s="2">
        <v>694374.61</v>
      </c>
      <c r="AE263" t="s">
        <v>971</v>
      </c>
      <c r="AF263" t="s">
        <v>72</v>
      </c>
      <c r="AG263">
        <v>-12</v>
      </c>
      <c r="AH263" t="s">
        <v>117</v>
      </c>
      <c r="AI263" t="s">
        <v>74</v>
      </c>
      <c r="AJ263" t="s">
        <v>75</v>
      </c>
      <c r="AK263" t="s">
        <v>76</v>
      </c>
      <c r="AL263" t="s">
        <v>118</v>
      </c>
      <c r="AM263" t="s">
        <v>78</v>
      </c>
      <c r="AN263" t="s">
        <v>795</v>
      </c>
      <c r="AO263" t="s">
        <v>119</v>
      </c>
      <c r="AP263" t="s">
        <v>46</v>
      </c>
      <c r="AQ263" t="s">
        <v>81</v>
      </c>
      <c r="AR263" t="str">
        <f t="shared" si="6"/>
        <v>60601571.STATAM</v>
      </c>
      <c r="AS263">
        <f t="shared" si="7"/>
        <v>48679286.969999976</v>
      </c>
      <c r="AT263" t="s">
        <v>82</v>
      </c>
    </row>
    <row r="264" spans="1:46" x14ac:dyDescent="0.35">
      <c r="A264" t="s">
        <v>52</v>
      </c>
      <c r="B264" t="s">
        <v>53</v>
      </c>
      <c r="C264" t="s">
        <v>54</v>
      </c>
      <c r="D264" t="s">
        <v>55</v>
      </c>
      <c r="E264" t="s">
        <v>56</v>
      </c>
      <c r="F264" t="s">
        <v>848</v>
      </c>
      <c r="G264" t="s">
        <v>972</v>
      </c>
      <c r="H264" t="s">
        <v>56</v>
      </c>
      <c r="I264" t="s">
        <v>973</v>
      </c>
      <c r="J264" t="s">
        <v>56</v>
      </c>
      <c r="K264" t="s">
        <v>640</v>
      </c>
      <c r="L264" t="s">
        <v>56</v>
      </c>
      <c r="M264" t="s">
        <v>56</v>
      </c>
      <c r="N264" t="s">
        <v>252</v>
      </c>
      <c r="O264" t="s">
        <v>974</v>
      </c>
      <c r="P264" t="s">
        <v>975</v>
      </c>
      <c r="Q264" t="s">
        <v>976</v>
      </c>
      <c r="R264" t="s">
        <v>248</v>
      </c>
      <c r="S264">
        <v>40000000</v>
      </c>
      <c r="T264">
        <v>-345667164.70999998</v>
      </c>
      <c r="U264" t="s">
        <v>68</v>
      </c>
      <c r="V264" t="s">
        <v>792</v>
      </c>
      <c r="W264" s="9">
        <v>60601571</v>
      </c>
      <c r="X264" t="s">
        <v>977</v>
      </c>
      <c r="Y264" s="1">
        <v>46030</v>
      </c>
      <c r="Z264" s="1">
        <v>46090</v>
      </c>
      <c r="AA264" s="2">
        <v>8318.58</v>
      </c>
      <c r="AB264" s="2">
        <v>7049.64</v>
      </c>
      <c r="AC264" s="2">
        <v>1268.94</v>
      </c>
      <c r="AD264" s="2">
        <v>8318.58</v>
      </c>
      <c r="AE264" t="s">
        <v>978</v>
      </c>
      <c r="AF264" t="s">
        <v>72</v>
      </c>
      <c r="AG264">
        <v>-12</v>
      </c>
      <c r="AH264" t="s">
        <v>117</v>
      </c>
      <c r="AI264" t="s">
        <v>74</v>
      </c>
      <c r="AJ264" t="s">
        <v>75</v>
      </c>
      <c r="AK264" t="s">
        <v>76</v>
      </c>
      <c r="AL264" t="s">
        <v>118</v>
      </c>
      <c r="AM264" t="s">
        <v>78</v>
      </c>
      <c r="AN264" t="s">
        <v>979</v>
      </c>
      <c r="AO264" t="s">
        <v>119</v>
      </c>
      <c r="AP264" t="s">
        <v>46</v>
      </c>
      <c r="AQ264" t="s">
        <v>81</v>
      </c>
      <c r="AR264" t="str">
        <f t="shared" ref="AR264:AR327" si="8">W264&amp;"."&amp;AQ264</f>
        <v>60601571.STATAM</v>
      </c>
      <c r="AS264">
        <f t="shared" ref="AS264:AS327" si="9">SUMIFS(AD:AD,AQ:AQ,AQ264,W:W,W264)</f>
        <v>48679286.969999976</v>
      </c>
      <c r="AT264" t="s">
        <v>82</v>
      </c>
    </row>
    <row r="265" spans="1:46" x14ac:dyDescent="0.35">
      <c r="A265" t="s">
        <v>52</v>
      </c>
      <c r="B265" t="s">
        <v>53</v>
      </c>
      <c r="C265" t="s">
        <v>54</v>
      </c>
      <c r="D265" t="s">
        <v>55</v>
      </c>
      <c r="E265" t="s">
        <v>56</v>
      </c>
      <c r="F265" t="s">
        <v>848</v>
      </c>
      <c r="G265" t="s">
        <v>972</v>
      </c>
      <c r="H265" t="s">
        <v>56</v>
      </c>
      <c r="I265" t="s">
        <v>973</v>
      </c>
      <c r="J265" t="s">
        <v>56</v>
      </c>
      <c r="K265" t="s">
        <v>640</v>
      </c>
      <c r="L265" t="s">
        <v>56</v>
      </c>
      <c r="M265" t="s">
        <v>56</v>
      </c>
      <c r="N265" t="s">
        <v>295</v>
      </c>
      <c r="O265" t="s">
        <v>974</v>
      </c>
      <c r="P265" t="s">
        <v>975</v>
      </c>
      <c r="Q265" t="s">
        <v>976</v>
      </c>
      <c r="R265" t="s">
        <v>248</v>
      </c>
      <c r="S265">
        <v>40000000</v>
      </c>
      <c r="T265">
        <v>-345667164.70999998</v>
      </c>
      <c r="U265" t="s">
        <v>68</v>
      </c>
      <c r="V265" t="s">
        <v>792</v>
      </c>
      <c r="W265" s="9">
        <v>60601571</v>
      </c>
      <c r="X265" t="s">
        <v>977</v>
      </c>
      <c r="Y265" s="1">
        <v>46030</v>
      </c>
      <c r="Z265" s="1">
        <v>46090</v>
      </c>
      <c r="AA265" s="2">
        <v>13154.36</v>
      </c>
      <c r="AB265" s="2">
        <v>11147.76</v>
      </c>
      <c r="AC265" s="2">
        <v>2006.6</v>
      </c>
      <c r="AD265" s="2">
        <v>13154.36</v>
      </c>
      <c r="AE265" t="s">
        <v>980</v>
      </c>
      <c r="AF265" t="s">
        <v>72</v>
      </c>
      <c r="AG265">
        <v>-12</v>
      </c>
      <c r="AH265" t="s">
        <v>117</v>
      </c>
      <c r="AI265" t="s">
        <v>74</v>
      </c>
      <c r="AJ265" t="s">
        <v>75</v>
      </c>
      <c r="AK265" t="s">
        <v>76</v>
      </c>
      <c r="AL265" t="s">
        <v>118</v>
      </c>
      <c r="AM265" t="s">
        <v>78</v>
      </c>
      <c r="AN265" t="s">
        <v>979</v>
      </c>
      <c r="AO265" t="s">
        <v>119</v>
      </c>
      <c r="AP265" t="s">
        <v>46</v>
      </c>
      <c r="AQ265" t="s">
        <v>81</v>
      </c>
      <c r="AR265" t="str">
        <f t="shared" si="8"/>
        <v>60601571.STATAM</v>
      </c>
      <c r="AS265">
        <f t="shared" si="9"/>
        <v>48679286.969999976</v>
      </c>
      <c r="AT265" t="s">
        <v>82</v>
      </c>
    </row>
    <row r="266" spans="1:46" x14ac:dyDescent="0.35">
      <c r="A266" t="s">
        <v>52</v>
      </c>
      <c r="B266" t="s">
        <v>53</v>
      </c>
      <c r="C266" t="s">
        <v>54</v>
      </c>
      <c r="D266" t="s">
        <v>55</v>
      </c>
      <c r="E266" t="s">
        <v>56</v>
      </c>
      <c r="F266" t="s">
        <v>848</v>
      </c>
      <c r="G266" t="s">
        <v>972</v>
      </c>
      <c r="H266" t="s">
        <v>56</v>
      </c>
      <c r="I266" t="s">
        <v>973</v>
      </c>
      <c r="J266" t="s">
        <v>56</v>
      </c>
      <c r="K266" t="s">
        <v>640</v>
      </c>
      <c r="L266" t="s">
        <v>56</v>
      </c>
      <c r="M266" t="s">
        <v>56</v>
      </c>
      <c r="N266" t="s">
        <v>254</v>
      </c>
      <c r="O266" t="s">
        <v>974</v>
      </c>
      <c r="P266" t="s">
        <v>975</v>
      </c>
      <c r="Q266" t="s">
        <v>976</v>
      </c>
      <c r="R266" t="s">
        <v>248</v>
      </c>
      <c r="S266">
        <v>40000000</v>
      </c>
      <c r="T266">
        <v>-345667164.70999998</v>
      </c>
      <c r="U266" t="s">
        <v>68</v>
      </c>
      <c r="V266" t="s">
        <v>792</v>
      </c>
      <c r="W266" s="9">
        <v>60601571</v>
      </c>
      <c r="X266" t="s">
        <v>977</v>
      </c>
      <c r="Y266" s="1">
        <v>46030</v>
      </c>
      <c r="Z266" s="1">
        <v>46090</v>
      </c>
      <c r="AA266" s="2">
        <v>357097.27</v>
      </c>
      <c r="AB266" s="2">
        <v>302624.8</v>
      </c>
      <c r="AC266" s="2">
        <v>54472.47</v>
      </c>
      <c r="AD266" s="2">
        <v>357097.27</v>
      </c>
      <c r="AE266" t="s">
        <v>981</v>
      </c>
      <c r="AF266" t="s">
        <v>72</v>
      </c>
      <c r="AG266">
        <v>-12</v>
      </c>
      <c r="AH266" t="s">
        <v>117</v>
      </c>
      <c r="AI266" t="s">
        <v>74</v>
      </c>
      <c r="AJ266" t="s">
        <v>75</v>
      </c>
      <c r="AK266" t="s">
        <v>76</v>
      </c>
      <c r="AL266" t="s">
        <v>118</v>
      </c>
      <c r="AM266" t="s">
        <v>78</v>
      </c>
      <c r="AN266" t="s">
        <v>979</v>
      </c>
      <c r="AO266" t="s">
        <v>119</v>
      </c>
      <c r="AP266" t="s">
        <v>46</v>
      </c>
      <c r="AQ266" t="s">
        <v>81</v>
      </c>
      <c r="AR266" t="str">
        <f t="shared" si="8"/>
        <v>60601571.STATAM</v>
      </c>
      <c r="AS266">
        <f t="shared" si="9"/>
        <v>48679286.969999976</v>
      </c>
      <c r="AT266" t="s">
        <v>82</v>
      </c>
    </row>
    <row r="267" spans="1:46" x14ac:dyDescent="0.35">
      <c r="A267" t="s">
        <v>52</v>
      </c>
      <c r="B267" t="s">
        <v>53</v>
      </c>
      <c r="C267" t="s">
        <v>54</v>
      </c>
      <c r="D267" t="s">
        <v>55</v>
      </c>
      <c r="E267" t="s">
        <v>56</v>
      </c>
      <c r="F267" t="s">
        <v>848</v>
      </c>
      <c r="G267" t="s">
        <v>982</v>
      </c>
      <c r="H267" t="s">
        <v>56</v>
      </c>
      <c r="I267" t="s">
        <v>983</v>
      </c>
      <c r="J267" t="s">
        <v>61</v>
      </c>
      <c r="K267" t="s">
        <v>640</v>
      </c>
      <c r="L267" t="s">
        <v>56</v>
      </c>
      <c r="M267" t="s">
        <v>56</v>
      </c>
      <c r="N267" t="s">
        <v>254</v>
      </c>
      <c r="O267" t="s">
        <v>887</v>
      </c>
      <c r="P267" t="s">
        <v>888</v>
      </c>
      <c r="Q267" t="s">
        <v>984</v>
      </c>
      <c r="R267" t="s">
        <v>248</v>
      </c>
      <c r="S267">
        <v>40000000</v>
      </c>
      <c r="T267">
        <v>-345667164.70999998</v>
      </c>
      <c r="U267" t="s">
        <v>68</v>
      </c>
      <c r="V267" t="s">
        <v>792</v>
      </c>
      <c r="W267" s="9">
        <v>60601571</v>
      </c>
      <c r="X267" t="s">
        <v>985</v>
      </c>
      <c r="Y267" s="1">
        <v>46030</v>
      </c>
      <c r="Z267" s="1">
        <v>46090</v>
      </c>
      <c r="AA267" s="2">
        <v>161693.04</v>
      </c>
      <c r="AB267" s="2">
        <v>137028</v>
      </c>
      <c r="AC267" s="2">
        <v>24665.040000000001</v>
      </c>
      <c r="AD267" s="2">
        <v>161693.04</v>
      </c>
      <c r="AE267" t="s">
        <v>986</v>
      </c>
      <c r="AF267" t="s">
        <v>72</v>
      </c>
      <c r="AG267">
        <v>-12</v>
      </c>
      <c r="AH267" t="s">
        <v>117</v>
      </c>
      <c r="AI267" t="s">
        <v>74</v>
      </c>
      <c r="AJ267" t="s">
        <v>75</v>
      </c>
      <c r="AK267" t="s">
        <v>76</v>
      </c>
      <c r="AL267" t="s">
        <v>118</v>
      </c>
      <c r="AM267" t="s">
        <v>78</v>
      </c>
      <c r="AN267" t="s">
        <v>795</v>
      </c>
      <c r="AO267" t="s">
        <v>119</v>
      </c>
      <c r="AP267" t="s">
        <v>46</v>
      </c>
      <c r="AQ267" t="s">
        <v>81</v>
      </c>
      <c r="AR267" t="str">
        <f t="shared" si="8"/>
        <v>60601571.STATAM</v>
      </c>
      <c r="AS267">
        <f t="shared" si="9"/>
        <v>48679286.969999976</v>
      </c>
      <c r="AT267" t="s">
        <v>82</v>
      </c>
    </row>
    <row r="268" spans="1:46" x14ac:dyDescent="0.35">
      <c r="A268" t="s">
        <v>52</v>
      </c>
      <c r="B268" t="s">
        <v>53</v>
      </c>
      <c r="C268" t="s">
        <v>54</v>
      </c>
      <c r="D268" t="s">
        <v>55</v>
      </c>
      <c r="E268" t="s">
        <v>56</v>
      </c>
      <c r="F268" t="s">
        <v>848</v>
      </c>
      <c r="G268" t="s">
        <v>987</v>
      </c>
      <c r="H268" t="s">
        <v>56</v>
      </c>
      <c r="I268" t="s">
        <v>988</v>
      </c>
      <c r="J268" t="s">
        <v>61</v>
      </c>
      <c r="K268" t="s">
        <v>640</v>
      </c>
      <c r="L268" t="s">
        <v>56</v>
      </c>
      <c r="M268" t="s">
        <v>56</v>
      </c>
      <c r="N268" t="s">
        <v>254</v>
      </c>
      <c r="O268" t="s">
        <v>887</v>
      </c>
      <c r="P268" t="s">
        <v>888</v>
      </c>
      <c r="Q268" t="s">
        <v>984</v>
      </c>
      <c r="R268" t="s">
        <v>248</v>
      </c>
      <c r="S268">
        <v>40000000</v>
      </c>
      <c r="T268">
        <v>-345667164.70999998</v>
      </c>
      <c r="U268" t="s">
        <v>68</v>
      </c>
      <c r="V268" t="s">
        <v>792</v>
      </c>
      <c r="W268" s="9">
        <v>60601571</v>
      </c>
      <c r="X268" t="s">
        <v>989</v>
      </c>
      <c r="Y268" s="1">
        <v>46030</v>
      </c>
      <c r="Z268" s="1">
        <v>46090</v>
      </c>
      <c r="AA268" s="2">
        <v>355636.66</v>
      </c>
      <c r="AB268" s="2">
        <v>301387</v>
      </c>
      <c r="AC268" s="2">
        <v>54249.66</v>
      </c>
      <c r="AD268" s="2">
        <v>355636.66</v>
      </c>
      <c r="AE268" t="s">
        <v>990</v>
      </c>
      <c r="AF268" t="s">
        <v>72</v>
      </c>
      <c r="AG268">
        <v>-12</v>
      </c>
      <c r="AH268" t="s">
        <v>117</v>
      </c>
      <c r="AI268" t="s">
        <v>74</v>
      </c>
      <c r="AJ268" t="s">
        <v>75</v>
      </c>
      <c r="AK268" t="s">
        <v>76</v>
      </c>
      <c r="AL268" t="s">
        <v>118</v>
      </c>
      <c r="AM268" t="s">
        <v>78</v>
      </c>
      <c r="AN268" t="s">
        <v>795</v>
      </c>
      <c r="AO268" t="s">
        <v>119</v>
      </c>
      <c r="AP268" t="s">
        <v>46</v>
      </c>
      <c r="AQ268" t="s">
        <v>81</v>
      </c>
      <c r="AR268" t="str">
        <f t="shared" si="8"/>
        <v>60601571.STATAM</v>
      </c>
      <c r="AS268">
        <f t="shared" si="9"/>
        <v>48679286.969999976</v>
      </c>
      <c r="AT268" t="s">
        <v>82</v>
      </c>
    </row>
    <row r="269" spans="1:46" x14ac:dyDescent="0.35">
      <c r="A269" t="s">
        <v>52</v>
      </c>
      <c r="B269" t="s">
        <v>53</v>
      </c>
      <c r="C269" t="s">
        <v>54</v>
      </c>
      <c r="D269" t="s">
        <v>55</v>
      </c>
      <c r="E269" t="s">
        <v>56</v>
      </c>
      <c r="F269" t="s">
        <v>848</v>
      </c>
      <c r="G269" t="s">
        <v>909</v>
      </c>
      <c r="H269" t="s">
        <v>56</v>
      </c>
      <c r="I269" t="s">
        <v>991</v>
      </c>
      <c r="J269" t="s">
        <v>851</v>
      </c>
      <c r="K269" t="s">
        <v>640</v>
      </c>
      <c r="L269" t="s">
        <v>56</v>
      </c>
      <c r="M269" t="s">
        <v>56</v>
      </c>
      <c r="N269" t="s">
        <v>897</v>
      </c>
      <c r="O269" t="s">
        <v>790</v>
      </c>
      <c r="P269" t="s">
        <v>791</v>
      </c>
      <c r="Q269" t="s">
        <v>247</v>
      </c>
      <c r="R269" t="s">
        <v>248</v>
      </c>
      <c r="S269">
        <v>40000000</v>
      </c>
      <c r="T269">
        <v>-345667164.70999998</v>
      </c>
      <c r="U269" t="s">
        <v>68</v>
      </c>
      <c r="V269" t="s">
        <v>792</v>
      </c>
      <c r="W269" s="9">
        <v>60601571</v>
      </c>
      <c r="X269" t="s">
        <v>992</v>
      </c>
      <c r="Y269" s="1">
        <v>46030</v>
      </c>
      <c r="Z269" s="1">
        <v>46090</v>
      </c>
      <c r="AA269" s="2">
        <v>30713.040000000001</v>
      </c>
      <c r="AB269" s="2">
        <v>26028</v>
      </c>
      <c r="AC269" s="2">
        <v>4685.04</v>
      </c>
      <c r="AD269" s="2">
        <v>30713.040000000001</v>
      </c>
      <c r="AE269" t="s">
        <v>993</v>
      </c>
      <c r="AF269" t="s">
        <v>72</v>
      </c>
      <c r="AG269">
        <v>-12</v>
      </c>
      <c r="AH269" t="s">
        <v>117</v>
      </c>
      <c r="AI269" t="s">
        <v>74</v>
      </c>
      <c r="AJ269" t="s">
        <v>75</v>
      </c>
      <c r="AK269" t="s">
        <v>76</v>
      </c>
      <c r="AL269" t="s">
        <v>118</v>
      </c>
      <c r="AM269" t="s">
        <v>78</v>
      </c>
      <c r="AN269" t="s">
        <v>795</v>
      </c>
      <c r="AO269" t="s">
        <v>119</v>
      </c>
      <c r="AP269" t="s">
        <v>46</v>
      </c>
      <c r="AQ269" t="s">
        <v>81</v>
      </c>
      <c r="AR269" t="str">
        <f t="shared" si="8"/>
        <v>60601571.STATAM</v>
      </c>
      <c r="AS269">
        <f t="shared" si="9"/>
        <v>48679286.969999976</v>
      </c>
      <c r="AT269" t="s">
        <v>82</v>
      </c>
    </row>
    <row r="270" spans="1:46" x14ac:dyDescent="0.35">
      <c r="A270" t="s">
        <v>52</v>
      </c>
      <c r="B270" t="s">
        <v>53</v>
      </c>
      <c r="C270" t="s">
        <v>54</v>
      </c>
      <c r="D270" t="s">
        <v>55</v>
      </c>
      <c r="E270" t="s">
        <v>56</v>
      </c>
      <c r="F270" t="s">
        <v>848</v>
      </c>
      <c r="G270" t="s">
        <v>994</v>
      </c>
      <c r="H270" t="s">
        <v>56</v>
      </c>
      <c r="I270" t="s">
        <v>995</v>
      </c>
      <c r="J270" t="s">
        <v>851</v>
      </c>
      <c r="K270" t="s">
        <v>640</v>
      </c>
      <c r="L270" t="s">
        <v>56</v>
      </c>
      <c r="M270" t="s">
        <v>56</v>
      </c>
      <c r="N270" t="s">
        <v>852</v>
      </c>
      <c r="O270" t="s">
        <v>790</v>
      </c>
      <c r="P270" t="s">
        <v>791</v>
      </c>
      <c r="Q270" t="s">
        <v>247</v>
      </c>
      <c r="R270" t="s">
        <v>248</v>
      </c>
      <c r="S270">
        <v>40000000</v>
      </c>
      <c r="T270">
        <v>-345667164.70999998</v>
      </c>
      <c r="U270" t="s">
        <v>68</v>
      </c>
      <c r="V270" t="s">
        <v>792</v>
      </c>
      <c r="W270" s="9">
        <v>60601571</v>
      </c>
      <c r="X270" t="s">
        <v>996</v>
      </c>
      <c r="Y270" s="1">
        <v>46030</v>
      </c>
      <c r="Z270" s="1">
        <v>46090</v>
      </c>
      <c r="AA270" s="2">
        <v>2948040.02</v>
      </c>
      <c r="AB270" s="2">
        <v>2498339</v>
      </c>
      <c r="AC270" s="2">
        <v>449701.02</v>
      </c>
      <c r="AD270" s="2">
        <v>2948040.02</v>
      </c>
      <c r="AE270" t="s">
        <v>997</v>
      </c>
      <c r="AF270" t="s">
        <v>72</v>
      </c>
      <c r="AG270">
        <v>-12</v>
      </c>
      <c r="AH270" t="s">
        <v>117</v>
      </c>
      <c r="AI270" t="s">
        <v>74</v>
      </c>
      <c r="AJ270" t="s">
        <v>75</v>
      </c>
      <c r="AK270" t="s">
        <v>76</v>
      </c>
      <c r="AL270" t="s">
        <v>118</v>
      </c>
      <c r="AM270" t="s">
        <v>78</v>
      </c>
      <c r="AN270" t="s">
        <v>795</v>
      </c>
      <c r="AO270" t="s">
        <v>119</v>
      </c>
      <c r="AP270" t="s">
        <v>46</v>
      </c>
      <c r="AQ270" t="s">
        <v>81</v>
      </c>
      <c r="AR270" t="str">
        <f t="shared" si="8"/>
        <v>60601571.STATAM</v>
      </c>
      <c r="AS270">
        <f t="shared" si="9"/>
        <v>48679286.969999976</v>
      </c>
      <c r="AT270" t="s">
        <v>82</v>
      </c>
    </row>
    <row r="271" spans="1:46" x14ac:dyDescent="0.35">
      <c r="A271" t="s">
        <v>52</v>
      </c>
      <c r="B271" t="s">
        <v>53</v>
      </c>
      <c r="C271" t="s">
        <v>54</v>
      </c>
      <c r="D271" t="s">
        <v>55</v>
      </c>
      <c r="E271" t="s">
        <v>56</v>
      </c>
      <c r="F271" t="s">
        <v>848</v>
      </c>
      <c r="G271" t="s">
        <v>998</v>
      </c>
      <c r="H271" t="s">
        <v>56</v>
      </c>
      <c r="I271" t="s">
        <v>999</v>
      </c>
      <c r="J271" t="s">
        <v>851</v>
      </c>
      <c r="K271" t="s">
        <v>640</v>
      </c>
      <c r="L271" t="s">
        <v>56</v>
      </c>
      <c r="M271" t="s">
        <v>56</v>
      </c>
      <c r="N271" t="s">
        <v>295</v>
      </c>
      <c r="O271" t="s">
        <v>790</v>
      </c>
      <c r="P271" t="s">
        <v>791</v>
      </c>
      <c r="Q271" t="s">
        <v>853</v>
      </c>
      <c r="R271" t="s">
        <v>248</v>
      </c>
      <c r="S271">
        <v>40000000</v>
      </c>
      <c r="T271">
        <v>-345667164.70999998</v>
      </c>
      <c r="U271" t="s">
        <v>68</v>
      </c>
      <c r="V271" t="s">
        <v>792</v>
      </c>
      <c r="W271" s="9">
        <v>60601571</v>
      </c>
      <c r="X271" t="s">
        <v>1000</v>
      </c>
      <c r="Y271" s="1">
        <v>46030</v>
      </c>
      <c r="Z271" s="1">
        <v>46090</v>
      </c>
      <c r="AA271" s="2">
        <v>766233</v>
      </c>
      <c r="AB271" s="2">
        <v>649350</v>
      </c>
      <c r="AC271" s="2">
        <v>116883</v>
      </c>
      <c r="AD271" s="2">
        <v>766233</v>
      </c>
      <c r="AE271" t="s">
        <v>1001</v>
      </c>
      <c r="AF271" t="s">
        <v>72</v>
      </c>
      <c r="AG271">
        <v>-12</v>
      </c>
      <c r="AH271" t="s">
        <v>117</v>
      </c>
      <c r="AI271" t="s">
        <v>74</v>
      </c>
      <c r="AJ271" t="s">
        <v>75</v>
      </c>
      <c r="AK271" t="s">
        <v>76</v>
      </c>
      <c r="AL271" t="s">
        <v>118</v>
      </c>
      <c r="AM271" t="s">
        <v>78</v>
      </c>
      <c r="AN271" t="s">
        <v>795</v>
      </c>
      <c r="AO271" t="s">
        <v>119</v>
      </c>
      <c r="AP271" t="s">
        <v>46</v>
      </c>
      <c r="AQ271" t="s">
        <v>81</v>
      </c>
      <c r="AR271" t="str">
        <f t="shared" si="8"/>
        <v>60601571.STATAM</v>
      </c>
      <c r="AS271">
        <f t="shared" si="9"/>
        <v>48679286.969999976</v>
      </c>
      <c r="AT271" t="s">
        <v>82</v>
      </c>
    </row>
    <row r="272" spans="1:46" x14ac:dyDescent="0.35">
      <c r="A272" t="s">
        <v>52</v>
      </c>
      <c r="B272" t="s">
        <v>53</v>
      </c>
      <c r="C272" t="s">
        <v>54</v>
      </c>
      <c r="D272" t="s">
        <v>55</v>
      </c>
      <c r="E272" t="s">
        <v>56</v>
      </c>
      <c r="F272" t="s">
        <v>848</v>
      </c>
      <c r="G272" t="s">
        <v>950</v>
      </c>
      <c r="H272" t="s">
        <v>56</v>
      </c>
      <c r="I272" t="s">
        <v>1002</v>
      </c>
      <c r="J272" t="s">
        <v>851</v>
      </c>
      <c r="K272" t="s">
        <v>640</v>
      </c>
      <c r="L272" t="s">
        <v>56</v>
      </c>
      <c r="M272" t="s">
        <v>56</v>
      </c>
      <c r="N272" t="s">
        <v>897</v>
      </c>
      <c r="O272" t="s">
        <v>790</v>
      </c>
      <c r="P272" t="s">
        <v>791</v>
      </c>
      <c r="Q272" t="s">
        <v>853</v>
      </c>
      <c r="R272" t="s">
        <v>248</v>
      </c>
      <c r="S272">
        <v>40000000</v>
      </c>
      <c r="T272">
        <v>-345667164.70999998</v>
      </c>
      <c r="U272" t="s">
        <v>68</v>
      </c>
      <c r="V272" t="s">
        <v>792</v>
      </c>
      <c r="W272" s="9">
        <v>60601571</v>
      </c>
      <c r="X272" t="s">
        <v>1003</v>
      </c>
      <c r="Y272" s="1">
        <v>46030</v>
      </c>
      <c r="Z272" s="1">
        <v>46090</v>
      </c>
      <c r="AA272" s="2">
        <v>688154.76</v>
      </c>
      <c r="AB272" s="2">
        <v>583182</v>
      </c>
      <c r="AC272" s="2">
        <v>104972.76</v>
      </c>
      <c r="AD272" s="2">
        <v>688154.76</v>
      </c>
      <c r="AE272" t="s">
        <v>1004</v>
      </c>
      <c r="AF272" t="s">
        <v>72</v>
      </c>
      <c r="AG272">
        <v>-12</v>
      </c>
      <c r="AH272" t="s">
        <v>117</v>
      </c>
      <c r="AI272" t="s">
        <v>74</v>
      </c>
      <c r="AJ272" t="s">
        <v>75</v>
      </c>
      <c r="AK272" t="s">
        <v>76</v>
      </c>
      <c r="AL272" t="s">
        <v>118</v>
      </c>
      <c r="AM272" t="s">
        <v>78</v>
      </c>
      <c r="AN272" t="s">
        <v>795</v>
      </c>
      <c r="AO272" t="s">
        <v>119</v>
      </c>
      <c r="AP272" t="s">
        <v>46</v>
      </c>
      <c r="AQ272" t="s">
        <v>81</v>
      </c>
      <c r="AR272" t="str">
        <f t="shared" si="8"/>
        <v>60601571.STATAM</v>
      </c>
      <c r="AS272">
        <f t="shared" si="9"/>
        <v>48679286.969999976</v>
      </c>
      <c r="AT272" t="s">
        <v>82</v>
      </c>
    </row>
    <row r="273" spans="1:46" x14ac:dyDescent="0.35">
      <c r="A273" t="s">
        <v>52</v>
      </c>
      <c r="B273" t="s">
        <v>53</v>
      </c>
      <c r="C273" t="s">
        <v>54</v>
      </c>
      <c r="D273" t="s">
        <v>55</v>
      </c>
      <c r="E273" t="s">
        <v>56</v>
      </c>
      <c r="F273" t="s">
        <v>848</v>
      </c>
      <c r="G273" t="s">
        <v>950</v>
      </c>
      <c r="H273" t="s">
        <v>56</v>
      </c>
      <c r="I273" t="s">
        <v>1002</v>
      </c>
      <c r="J273" t="s">
        <v>851</v>
      </c>
      <c r="K273" t="s">
        <v>640</v>
      </c>
      <c r="L273" t="s">
        <v>56</v>
      </c>
      <c r="M273" t="s">
        <v>56</v>
      </c>
      <c r="N273" t="s">
        <v>252</v>
      </c>
      <c r="O273" t="s">
        <v>790</v>
      </c>
      <c r="P273" t="s">
        <v>791</v>
      </c>
      <c r="Q273" t="s">
        <v>853</v>
      </c>
      <c r="R273" t="s">
        <v>248</v>
      </c>
      <c r="S273">
        <v>40000000</v>
      </c>
      <c r="T273">
        <v>-345667164.70999998</v>
      </c>
      <c r="U273" t="s">
        <v>68</v>
      </c>
      <c r="V273" t="s">
        <v>792</v>
      </c>
      <c r="W273" s="9">
        <v>60601571</v>
      </c>
      <c r="X273" t="s">
        <v>1003</v>
      </c>
      <c r="Y273" s="1">
        <v>46030</v>
      </c>
      <c r="Z273" s="1">
        <v>46090</v>
      </c>
      <c r="AA273" s="2">
        <v>107114.5</v>
      </c>
      <c r="AB273" s="2">
        <v>90775</v>
      </c>
      <c r="AC273" s="2">
        <v>16339.5</v>
      </c>
      <c r="AD273" s="2">
        <v>107114.5</v>
      </c>
      <c r="AE273" t="s">
        <v>1005</v>
      </c>
      <c r="AF273" t="s">
        <v>72</v>
      </c>
      <c r="AG273">
        <v>-12</v>
      </c>
      <c r="AH273" t="s">
        <v>117</v>
      </c>
      <c r="AI273" t="s">
        <v>74</v>
      </c>
      <c r="AJ273" t="s">
        <v>75</v>
      </c>
      <c r="AK273" t="s">
        <v>76</v>
      </c>
      <c r="AL273" t="s">
        <v>118</v>
      </c>
      <c r="AM273" t="s">
        <v>78</v>
      </c>
      <c r="AN273" t="s">
        <v>795</v>
      </c>
      <c r="AO273" t="s">
        <v>119</v>
      </c>
      <c r="AP273" t="s">
        <v>46</v>
      </c>
      <c r="AQ273" t="s">
        <v>81</v>
      </c>
      <c r="AR273" t="str">
        <f t="shared" si="8"/>
        <v>60601571.STATAM</v>
      </c>
      <c r="AS273">
        <f t="shared" si="9"/>
        <v>48679286.969999976</v>
      </c>
      <c r="AT273" t="s">
        <v>82</v>
      </c>
    </row>
    <row r="274" spans="1:46" x14ac:dyDescent="0.35">
      <c r="A274" t="s">
        <v>52</v>
      </c>
      <c r="B274" t="s">
        <v>53</v>
      </c>
      <c r="C274" t="s">
        <v>54</v>
      </c>
      <c r="D274" t="s">
        <v>55</v>
      </c>
      <c r="E274" t="s">
        <v>56</v>
      </c>
      <c r="F274" t="s">
        <v>848</v>
      </c>
      <c r="G274" t="s">
        <v>874</v>
      </c>
      <c r="H274" t="s">
        <v>56</v>
      </c>
      <c r="I274" t="s">
        <v>1006</v>
      </c>
      <c r="J274" t="s">
        <v>851</v>
      </c>
      <c r="K274" t="s">
        <v>640</v>
      </c>
      <c r="L274" t="s">
        <v>56</v>
      </c>
      <c r="M274" t="s">
        <v>56</v>
      </c>
      <c r="N274" t="s">
        <v>252</v>
      </c>
      <c r="O274" t="s">
        <v>790</v>
      </c>
      <c r="P274" t="s">
        <v>791</v>
      </c>
      <c r="Q274" t="s">
        <v>853</v>
      </c>
      <c r="R274" t="s">
        <v>248</v>
      </c>
      <c r="S274">
        <v>40000000</v>
      </c>
      <c r="T274">
        <v>-345667164.70999998</v>
      </c>
      <c r="U274" t="s">
        <v>68</v>
      </c>
      <c r="V274" t="s">
        <v>792</v>
      </c>
      <c r="W274" s="9">
        <v>60601571</v>
      </c>
      <c r="X274" t="s">
        <v>1007</v>
      </c>
      <c r="Y274" s="1">
        <v>46030</v>
      </c>
      <c r="Z274" s="1">
        <v>46090</v>
      </c>
      <c r="AA274" s="2">
        <v>61702.2</v>
      </c>
      <c r="AB274" s="2">
        <v>52290</v>
      </c>
      <c r="AC274" s="2">
        <v>9412.2000000000007</v>
      </c>
      <c r="AD274" s="2">
        <v>61702.2</v>
      </c>
      <c r="AE274" t="s">
        <v>1008</v>
      </c>
      <c r="AF274" t="s">
        <v>72</v>
      </c>
      <c r="AG274">
        <v>-12</v>
      </c>
      <c r="AH274" t="s">
        <v>117</v>
      </c>
      <c r="AI274" t="s">
        <v>74</v>
      </c>
      <c r="AJ274" t="s">
        <v>75</v>
      </c>
      <c r="AK274" t="s">
        <v>76</v>
      </c>
      <c r="AL274" t="s">
        <v>118</v>
      </c>
      <c r="AM274" t="s">
        <v>78</v>
      </c>
      <c r="AN274" t="s">
        <v>795</v>
      </c>
      <c r="AO274" t="s">
        <v>119</v>
      </c>
      <c r="AP274" t="s">
        <v>46</v>
      </c>
      <c r="AQ274" t="s">
        <v>81</v>
      </c>
      <c r="AR274" t="str">
        <f t="shared" si="8"/>
        <v>60601571.STATAM</v>
      </c>
      <c r="AS274">
        <f t="shared" si="9"/>
        <v>48679286.969999976</v>
      </c>
      <c r="AT274" t="s">
        <v>82</v>
      </c>
    </row>
    <row r="275" spans="1:46" x14ac:dyDescent="0.35">
      <c r="A275" t="s">
        <v>52</v>
      </c>
      <c r="B275" t="s">
        <v>53</v>
      </c>
      <c r="C275" t="s">
        <v>54</v>
      </c>
      <c r="D275" t="s">
        <v>55</v>
      </c>
      <c r="E275" t="s">
        <v>56</v>
      </c>
      <c r="F275" t="s">
        <v>848</v>
      </c>
      <c r="G275" t="s">
        <v>870</v>
      </c>
      <c r="H275" t="s">
        <v>56</v>
      </c>
      <c r="I275" t="s">
        <v>1009</v>
      </c>
      <c r="J275" t="s">
        <v>851</v>
      </c>
      <c r="K275" t="s">
        <v>640</v>
      </c>
      <c r="L275" t="s">
        <v>56</v>
      </c>
      <c r="M275" t="s">
        <v>56</v>
      </c>
      <c r="N275" t="s">
        <v>295</v>
      </c>
      <c r="O275" t="s">
        <v>790</v>
      </c>
      <c r="P275" t="s">
        <v>791</v>
      </c>
      <c r="Q275" t="s">
        <v>853</v>
      </c>
      <c r="R275" t="s">
        <v>248</v>
      </c>
      <c r="S275">
        <v>40000000</v>
      </c>
      <c r="T275">
        <v>-345667164.70999998</v>
      </c>
      <c r="U275" t="s">
        <v>68</v>
      </c>
      <c r="V275" t="s">
        <v>792</v>
      </c>
      <c r="W275" s="9">
        <v>60601571</v>
      </c>
      <c r="X275" t="s">
        <v>1010</v>
      </c>
      <c r="Y275" s="1">
        <v>46030</v>
      </c>
      <c r="Z275" s="1">
        <v>46090</v>
      </c>
      <c r="AA275" s="2">
        <v>6036.88</v>
      </c>
      <c r="AB275" s="2">
        <v>5116</v>
      </c>
      <c r="AC275" s="2">
        <v>920.88</v>
      </c>
      <c r="AD275" s="2">
        <v>6036.88</v>
      </c>
      <c r="AE275" t="s">
        <v>1011</v>
      </c>
      <c r="AF275" t="s">
        <v>72</v>
      </c>
      <c r="AG275">
        <v>-12</v>
      </c>
      <c r="AH275" t="s">
        <v>117</v>
      </c>
      <c r="AI275" t="s">
        <v>74</v>
      </c>
      <c r="AJ275" t="s">
        <v>75</v>
      </c>
      <c r="AK275" t="s">
        <v>76</v>
      </c>
      <c r="AL275" t="s">
        <v>118</v>
      </c>
      <c r="AM275" t="s">
        <v>78</v>
      </c>
      <c r="AN275" t="s">
        <v>795</v>
      </c>
      <c r="AO275" t="s">
        <v>119</v>
      </c>
      <c r="AP275" t="s">
        <v>46</v>
      </c>
      <c r="AQ275" t="s">
        <v>81</v>
      </c>
      <c r="AR275" t="str">
        <f t="shared" si="8"/>
        <v>60601571.STATAM</v>
      </c>
      <c r="AS275">
        <f t="shared" si="9"/>
        <v>48679286.969999976</v>
      </c>
      <c r="AT275" t="s">
        <v>82</v>
      </c>
    </row>
    <row r="276" spans="1:46" x14ac:dyDescent="0.35">
      <c r="A276" t="s">
        <v>52</v>
      </c>
      <c r="B276" t="s">
        <v>53</v>
      </c>
      <c r="C276" t="s">
        <v>54</v>
      </c>
      <c r="D276" t="s">
        <v>55</v>
      </c>
      <c r="E276" t="s">
        <v>56</v>
      </c>
      <c r="F276" t="s">
        <v>848</v>
      </c>
      <c r="G276" t="s">
        <v>929</v>
      </c>
      <c r="H276" t="s">
        <v>56</v>
      </c>
      <c r="I276" t="s">
        <v>1012</v>
      </c>
      <c r="J276" t="s">
        <v>851</v>
      </c>
      <c r="K276" t="s">
        <v>640</v>
      </c>
      <c r="L276" t="s">
        <v>56</v>
      </c>
      <c r="M276" t="s">
        <v>56</v>
      </c>
      <c r="N276" t="s">
        <v>295</v>
      </c>
      <c r="O276" t="s">
        <v>790</v>
      </c>
      <c r="P276" t="s">
        <v>791</v>
      </c>
      <c r="Q276" t="s">
        <v>393</v>
      </c>
      <c r="R276" t="s">
        <v>248</v>
      </c>
      <c r="S276">
        <v>40000000</v>
      </c>
      <c r="T276">
        <v>-345667164.70999998</v>
      </c>
      <c r="U276" t="s">
        <v>68</v>
      </c>
      <c r="V276" t="s">
        <v>792</v>
      </c>
      <c r="W276" s="9">
        <v>60601571</v>
      </c>
      <c r="X276" t="s">
        <v>1013</v>
      </c>
      <c r="Y276" s="1">
        <v>46030</v>
      </c>
      <c r="Z276" s="1">
        <v>46090</v>
      </c>
      <c r="AA276" s="2">
        <v>5765028.0599999996</v>
      </c>
      <c r="AB276" s="2">
        <v>4885617</v>
      </c>
      <c r="AC276" s="2">
        <v>879411.06</v>
      </c>
      <c r="AD276" s="2">
        <v>5765028.0599999996</v>
      </c>
      <c r="AE276" t="s">
        <v>1014</v>
      </c>
      <c r="AF276" t="s">
        <v>72</v>
      </c>
      <c r="AG276">
        <v>-12</v>
      </c>
      <c r="AH276" t="s">
        <v>117</v>
      </c>
      <c r="AI276" t="s">
        <v>74</v>
      </c>
      <c r="AJ276" t="s">
        <v>75</v>
      </c>
      <c r="AK276" t="s">
        <v>76</v>
      </c>
      <c r="AL276" t="s">
        <v>118</v>
      </c>
      <c r="AM276" t="s">
        <v>78</v>
      </c>
      <c r="AN276" t="s">
        <v>795</v>
      </c>
      <c r="AO276" t="s">
        <v>119</v>
      </c>
      <c r="AP276" t="s">
        <v>46</v>
      </c>
      <c r="AQ276" t="s">
        <v>81</v>
      </c>
      <c r="AR276" t="str">
        <f t="shared" si="8"/>
        <v>60601571.STATAM</v>
      </c>
      <c r="AS276">
        <f t="shared" si="9"/>
        <v>48679286.969999976</v>
      </c>
      <c r="AT276" t="s">
        <v>82</v>
      </c>
    </row>
    <row r="277" spans="1:46" x14ac:dyDescent="0.35">
      <c r="A277" t="s">
        <v>52</v>
      </c>
      <c r="B277" t="s">
        <v>53</v>
      </c>
      <c r="C277" t="s">
        <v>54</v>
      </c>
      <c r="D277" t="s">
        <v>55</v>
      </c>
      <c r="E277" t="s">
        <v>56</v>
      </c>
      <c r="F277" t="s">
        <v>848</v>
      </c>
      <c r="G277" t="s">
        <v>929</v>
      </c>
      <c r="H277" t="s">
        <v>56</v>
      </c>
      <c r="I277" t="s">
        <v>1012</v>
      </c>
      <c r="J277" t="s">
        <v>851</v>
      </c>
      <c r="K277" t="s">
        <v>640</v>
      </c>
      <c r="L277" t="s">
        <v>56</v>
      </c>
      <c r="M277" t="s">
        <v>56</v>
      </c>
      <c r="N277" t="s">
        <v>252</v>
      </c>
      <c r="O277" t="s">
        <v>790</v>
      </c>
      <c r="P277" t="s">
        <v>791</v>
      </c>
      <c r="Q277" t="s">
        <v>393</v>
      </c>
      <c r="R277" t="s">
        <v>248</v>
      </c>
      <c r="S277">
        <v>40000000</v>
      </c>
      <c r="T277">
        <v>-345667164.70999998</v>
      </c>
      <c r="U277" t="s">
        <v>68</v>
      </c>
      <c r="V277" t="s">
        <v>792</v>
      </c>
      <c r="W277" s="9">
        <v>60601571</v>
      </c>
      <c r="X277" t="s">
        <v>1013</v>
      </c>
      <c r="Y277" s="1">
        <v>46030</v>
      </c>
      <c r="Z277" s="1">
        <v>46090</v>
      </c>
      <c r="AA277" s="2">
        <v>11530.96</v>
      </c>
      <c r="AB277" s="2">
        <v>9772</v>
      </c>
      <c r="AC277" s="2">
        <v>1758.96</v>
      </c>
      <c r="AD277" s="2">
        <v>11530.96</v>
      </c>
      <c r="AE277" t="s">
        <v>1015</v>
      </c>
      <c r="AF277" t="s">
        <v>72</v>
      </c>
      <c r="AG277">
        <v>-12</v>
      </c>
      <c r="AH277" t="s">
        <v>117</v>
      </c>
      <c r="AI277" t="s">
        <v>74</v>
      </c>
      <c r="AJ277" t="s">
        <v>75</v>
      </c>
      <c r="AK277" t="s">
        <v>76</v>
      </c>
      <c r="AL277" t="s">
        <v>118</v>
      </c>
      <c r="AM277" t="s">
        <v>78</v>
      </c>
      <c r="AN277" t="s">
        <v>795</v>
      </c>
      <c r="AO277" t="s">
        <v>119</v>
      </c>
      <c r="AP277" t="s">
        <v>46</v>
      </c>
      <c r="AQ277" t="s">
        <v>81</v>
      </c>
      <c r="AR277" t="str">
        <f t="shared" si="8"/>
        <v>60601571.STATAM</v>
      </c>
      <c r="AS277">
        <f t="shared" si="9"/>
        <v>48679286.969999976</v>
      </c>
      <c r="AT277" t="s">
        <v>82</v>
      </c>
    </row>
    <row r="278" spans="1:46" x14ac:dyDescent="0.35">
      <c r="A278" t="s">
        <v>52</v>
      </c>
      <c r="B278" t="s">
        <v>53</v>
      </c>
      <c r="C278" t="s">
        <v>54</v>
      </c>
      <c r="D278" t="s">
        <v>55</v>
      </c>
      <c r="E278" t="s">
        <v>56</v>
      </c>
      <c r="F278" t="s">
        <v>848</v>
      </c>
      <c r="G278" t="s">
        <v>1016</v>
      </c>
      <c r="H278" t="s">
        <v>56</v>
      </c>
      <c r="I278" t="s">
        <v>1017</v>
      </c>
      <c r="J278" t="s">
        <v>851</v>
      </c>
      <c r="K278" t="s">
        <v>640</v>
      </c>
      <c r="L278" t="s">
        <v>56</v>
      </c>
      <c r="M278" t="s">
        <v>56</v>
      </c>
      <c r="N278" t="s">
        <v>295</v>
      </c>
      <c r="O278" t="s">
        <v>790</v>
      </c>
      <c r="P278" t="s">
        <v>791</v>
      </c>
      <c r="Q278" t="s">
        <v>393</v>
      </c>
      <c r="R278" t="s">
        <v>248</v>
      </c>
      <c r="S278">
        <v>40000000</v>
      </c>
      <c r="T278">
        <v>-345667164.70999998</v>
      </c>
      <c r="U278" t="s">
        <v>68</v>
      </c>
      <c r="V278" t="s">
        <v>792</v>
      </c>
      <c r="W278" s="9">
        <v>60601571</v>
      </c>
      <c r="X278" t="s">
        <v>1018</v>
      </c>
      <c r="Y278" s="1">
        <v>46030</v>
      </c>
      <c r="Z278" s="1">
        <v>46090</v>
      </c>
      <c r="AA278" s="2">
        <v>126919.62</v>
      </c>
      <c r="AB278" s="2">
        <v>107559</v>
      </c>
      <c r="AC278" s="2">
        <v>19360.62</v>
      </c>
      <c r="AD278" s="2">
        <v>126919.62</v>
      </c>
      <c r="AE278" t="s">
        <v>1019</v>
      </c>
      <c r="AF278" t="s">
        <v>72</v>
      </c>
      <c r="AG278">
        <v>-12</v>
      </c>
      <c r="AH278" t="s">
        <v>117</v>
      </c>
      <c r="AI278" t="s">
        <v>74</v>
      </c>
      <c r="AJ278" t="s">
        <v>75</v>
      </c>
      <c r="AK278" t="s">
        <v>76</v>
      </c>
      <c r="AL278" t="s">
        <v>118</v>
      </c>
      <c r="AM278" t="s">
        <v>78</v>
      </c>
      <c r="AN278" t="s">
        <v>795</v>
      </c>
      <c r="AO278" t="s">
        <v>119</v>
      </c>
      <c r="AP278" t="s">
        <v>46</v>
      </c>
      <c r="AQ278" t="s">
        <v>81</v>
      </c>
      <c r="AR278" t="str">
        <f t="shared" si="8"/>
        <v>60601571.STATAM</v>
      </c>
      <c r="AS278">
        <f t="shared" si="9"/>
        <v>48679286.969999976</v>
      </c>
      <c r="AT278" t="s">
        <v>82</v>
      </c>
    </row>
    <row r="279" spans="1:46" x14ac:dyDescent="0.35">
      <c r="A279" t="s">
        <v>52</v>
      </c>
      <c r="B279" t="s">
        <v>53</v>
      </c>
      <c r="C279" t="s">
        <v>54</v>
      </c>
      <c r="D279" t="s">
        <v>55</v>
      </c>
      <c r="E279" t="s">
        <v>56</v>
      </c>
      <c r="F279" t="s">
        <v>848</v>
      </c>
      <c r="G279" t="s">
        <v>1016</v>
      </c>
      <c r="H279" t="s">
        <v>56</v>
      </c>
      <c r="I279" t="s">
        <v>1017</v>
      </c>
      <c r="J279" t="s">
        <v>851</v>
      </c>
      <c r="K279" t="s">
        <v>640</v>
      </c>
      <c r="L279" t="s">
        <v>56</v>
      </c>
      <c r="M279" t="s">
        <v>56</v>
      </c>
      <c r="N279" t="s">
        <v>252</v>
      </c>
      <c r="O279" t="s">
        <v>790</v>
      </c>
      <c r="P279" t="s">
        <v>791</v>
      </c>
      <c r="Q279" t="s">
        <v>393</v>
      </c>
      <c r="R279" t="s">
        <v>248</v>
      </c>
      <c r="S279">
        <v>40000000</v>
      </c>
      <c r="T279">
        <v>-345667164.70999998</v>
      </c>
      <c r="U279" t="s">
        <v>68</v>
      </c>
      <c r="V279" t="s">
        <v>792</v>
      </c>
      <c r="W279" s="9">
        <v>60601571</v>
      </c>
      <c r="X279" t="s">
        <v>1018</v>
      </c>
      <c r="Y279" s="1">
        <v>46030</v>
      </c>
      <c r="Z279" s="1">
        <v>46090</v>
      </c>
      <c r="AA279" s="2">
        <v>27423.200000000001</v>
      </c>
      <c r="AB279" s="2">
        <v>23240</v>
      </c>
      <c r="AC279" s="2">
        <v>4183.2</v>
      </c>
      <c r="AD279" s="2">
        <v>27423.200000000001</v>
      </c>
      <c r="AE279" t="s">
        <v>1020</v>
      </c>
      <c r="AF279" t="s">
        <v>72</v>
      </c>
      <c r="AG279">
        <v>-12</v>
      </c>
      <c r="AH279" t="s">
        <v>117</v>
      </c>
      <c r="AI279" t="s">
        <v>74</v>
      </c>
      <c r="AJ279" t="s">
        <v>75</v>
      </c>
      <c r="AK279" t="s">
        <v>76</v>
      </c>
      <c r="AL279" t="s">
        <v>118</v>
      </c>
      <c r="AM279" t="s">
        <v>78</v>
      </c>
      <c r="AN279" t="s">
        <v>795</v>
      </c>
      <c r="AO279" t="s">
        <v>119</v>
      </c>
      <c r="AP279" t="s">
        <v>46</v>
      </c>
      <c r="AQ279" t="s">
        <v>81</v>
      </c>
      <c r="AR279" t="str">
        <f t="shared" si="8"/>
        <v>60601571.STATAM</v>
      </c>
      <c r="AS279">
        <f t="shared" si="9"/>
        <v>48679286.969999976</v>
      </c>
      <c r="AT279" t="s">
        <v>82</v>
      </c>
    </row>
    <row r="280" spans="1:46" x14ac:dyDescent="0.35">
      <c r="A280" t="s">
        <v>52</v>
      </c>
      <c r="B280" t="s">
        <v>53</v>
      </c>
      <c r="C280" t="s">
        <v>54</v>
      </c>
      <c r="D280" t="s">
        <v>55</v>
      </c>
      <c r="E280" t="s">
        <v>56</v>
      </c>
      <c r="F280" t="s">
        <v>848</v>
      </c>
      <c r="G280" t="s">
        <v>856</v>
      </c>
      <c r="H280" t="s">
        <v>56</v>
      </c>
      <c r="I280" t="s">
        <v>1021</v>
      </c>
      <c r="J280" t="s">
        <v>851</v>
      </c>
      <c r="K280" t="s">
        <v>640</v>
      </c>
      <c r="L280" t="s">
        <v>56</v>
      </c>
      <c r="M280" t="s">
        <v>56</v>
      </c>
      <c r="N280" t="s">
        <v>252</v>
      </c>
      <c r="O280" t="s">
        <v>790</v>
      </c>
      <c r="P280" t="s">
        <v>791</v>
      </c>
      <c r="Q280" t="s">
        <v>393</v>
      </c>
      <c r="R280" t="s">
        <v>248</v>
      </c>
      <c r="S280">
        <v>40000000</v>
      </c>
      <c r="T280">
        <v>-345667164.70999998</v>
      </c>
      <c r="U280" t="s">
        <v>68</v>
      </c>
      <c r="V280" t="s">
        <v>792</v>
      </c>
      <c r="W280" s="9">
        <v>60601571</v>
      </c>
      <c r="X280" t="s">
        <v>1022</v>
      </c>
      <c r="Y280" s="1">
        <v>46030</v>
      </c>
      <c r="Z280" s="1">
        <v>46090</v>
      </c>
      <c r="AA280" s="2">
        <v>4450.96</v>
      </c>
      <c r="AB280" s="2">
        <v>3772</v>
      </c>
      <c r="AC280" s="2">
        <v>678.96</v>
      </c>
      <c r="AD280" s="2">
        <v>4450.96</v>
      </c>
      <c r="AE280" t="s">
        <v>1023</v>
      </c>
      <c r="AF280" t="s">
        <v>72</v>
      </c>
      <c r="AG280">
        <v>-12</v>
      </c>
      <c r="AH280" t="s">
        <v>117</v>
      </c>
      <c r="AI280" t="s">
        <v>74</v>
      </c>
      <c r="AJ280" t="s">
        <v>75</v>
      </c>
      <c r="AK280" t="s">
        <v>76</v>
      </c>
      <c r="AL280" t="s">
        <v>118</v>
      </c>
      <c r="AM280" t="s">
        <v>78</v>
      </c>
      <c r="AN280" t="s">
        <v>795</v>
      </c>
      <c r="AO280" t="s">
        <v>119</v>
      </c>
      <c r="AP280" t="s">
        <v>46</v>
      </c>
      <c r="AQ280" t="s">
        <v>81</v>
      </c>
      <c r="AR280" t="str">
        <f t="shared" si="8"/>
        <v>60601571.STATAM</v>
      </c>
      <c r="AS280">
        <f t="shared" si="9"/>
        <v>48679286.969999976</v>
      </c>
      <c r="AT280" t="s">
        <v>82</v>
      </c>
    </row>
    <row r="281" spans="1:46" x14ac:dyDescent="0.35">
      <c r="A281" t="s">
        <v>52</v>
      </c>
      <c r="B281" t="s">
        <v>53</v>
      </c>
      <c r="C281" t="s">
        <v>54</v>
      </c>
      <c r="D281" t="s">
        <v>55</v>
      </c>
      <c r="E281" t="s">
        <v>56</v>
      </c>
      <c r="F281" t="s">
        <v>848</v>
      </c>
      <c r="G281" t="s">
        <v>1024</v>
      </c>
      <c r="H281" t="s">
        <v>56</v>
      </c>
      <c r="I281" t="s">
        <v>1025</v>
      </c>
      <c r="J281" t="s">
        <v>61</v>
      </c>
      <c r="K281" t="s">
        <v>640</v>
      </c>
      <c r="L281" t="s">
        <v>56</v>
      </c>
      <c r="M281" t="s">
        <v>56</v>
      </c>
      <c r="N281" t="s">
        <v>252</v>
      </c>
      <c r="O281" t="s">
        <v>887</v>
      </c>
      <c r="P281" t="s">
        <v>888</v>
      </c>
      <c r="Q281" t="s">
        <v>1026</v>
      </c>
      <c r="R281" t="s">
        <v>248</v>
      </c>
      <c r="S281">
        <v>40000000</v>
      </c>
      <c r="T281">
        <v>-345667164.70999998</v>
      </c>
      <c r="U281" t="s">
        <v>68</v>
      </c>
      <c r="V281" t="s">
        <v>792</v>
      </c>
      <c r="W281" s="9">
        <v>60601571</v>
      </c>
      <c r="X281" t="s">
        <v>1027</v>
      </c>
      <c r="Y281" s="1">
        <v>46031</v>
      </c>
      <c r="Z281" s="1">
        <v>46091</v>
      </c>
      <c r="AA281" s="2">
        <v>147356.04</v>
      </c>
      <c r="AB281" s="2">
        <v>124878</v>
      </c>
      <c r="AC281" s="2">
        <v>22478.04</v>
      </c>
      <c r="AD281" s="2">
        <v>147356.04</v>
      </c>
      <c r="AE281" t="s">
        <v>1028</v>
      </c>
      <c r="AF281" t="s">
        <v>72</v>
      </c>
      <c r="AG281">
        <v>-13</v>
      </c>
      <c r="AH281" t="s">
        <v>117</v>
      </c>
      <c r="AI281" t="s">
        <v>74</v>
      </c>
      <c r="AJ281" t="s">
        <v>75</v>
      </c>
      <c r="AK281" t="s">
        <v>76</v>
      </c>
      <c r="AL281" t="s">
        <v>118</v>
      </c>
      <c r="AM281" t="s">
        <v>78</v>
      </c>
      <c r="AN281" t="s">
        <v>795</v>
      </c>
      <c r="AO281" t="s">
        <v>119</v>
      </c>
      <c r="AP281" t="s">
        <v>46</v>
      </c>
      <c r="AQ281" t="s">
        <v>81</v>
      </c>
      <c r="AR281" t="str">
        <f t="shared" si="8"/>
        <v>60601571.STATAM</v>
      </c>
      <c r="AS281">
        <f t="shared" si="9"/>
        <v>48679286.969999976</v>
      </c>
      <c r="AT281" t="s">
        <v>82</v>
      </c>
    </row>
    <row r="282" spans="1:46" x14ac:dyDescent="0.35">
      <c r="A282" t="s">
        <v>52</v>
      </c>
      <c r="B282" t="s">
        <v>53</v>
      </c>
      <c r="C282" t="s">
        <v>54</v>
      </c>
      <c r="D282" t="s">
        <v>55</v>
      </c>
      <c r="E282" t="s">
        <v>56</v>
      </c>
      <c r="F282" t="s">
        <v>848</v>
      </c>
      <c r="G282" t="s">
        <v>1024</v>
      </c>
      <c r="H282" t="s">
        <v>56</v>
      </c>
      <c r="I282" t="s">
        <v>1025</v>
      </c>
      <c r="J282" t="s">
        <v>61</v>
      </c>
      <c r="K282" t="s">
        <v>640</v>
      </c>
      <c r="L282" t="s">
        <v>56</v>
      </c>
      <c r="M282" t="s">
        <v>56</v>
      </c>
      <c r="N282" t="s">
        <v>295</v>
      </c>
      <c r="O282" t="s">
        <v>887</v>
      </c>
      <c r="P282" t="s">
        <v>888</v>
      </c>
      <c r="Q282" t="s">
        <v>1026</v>
      </c>
      <c r="R282" t="s">
        <v>248</v>
      </c>
      <c r="S282">
        <v>40000000</v>
      </c>
      <c r="T282">
        <v>-345667164.70999998</v>
      </c>
      <c r="U282" t="s">
        <v>68</v>
      </c>
      <c r="V282" t="s">
        <v>792</v>
      </c>
      <c r="W282" s="9">
        <v>60601571</v>
      </c>
      <c r="X282" t="s">
        <v>1027</v>
      </c>
      <c r="Y282" s="1">
        <v>46031</v>
      </c>
      <c r="Z282" s="1">
        <v>46091</v>
      </c>
      <c r="AA282" s="2">
        <v>180493.2</v>
      </c>
      <c r="AB282" s="2">
        <v>152960.34</v>
      </c>
      <c r="AC282" s="2">
        <v>27532.86</v>
      </c>
      <c r="AD282" s="2">
        <v>180493.2</v>
      </c>
      <c r="AE282" t="s">
        <v>1029</v>
      </c>
      <c r="AF282" t="s">
        <v>72</v>
      </c>
      <c r="AG282">
        <v>-13</v>
      </c>
      <c r="AH282" t="s">
        <v>117</v>
      </c>
      <c r="AI282" t="s">
        <v>74</v>
      </c>
      <c r="AJ282" t="s">
        <v>75</v>
      </c>
      <c r="AK282" t="s">
        <v>76</v>
      </c>
      <c r="AL282" t="s">
        <v>118</v>
      </c>
      <c r="AM282" t="s">
        <v>78</v>
      </c>
      <c r="AN282" t="s">
        <v>795</v>
      </c>
      <c r="AO282" t="s">
        <v>119</v>
      </c>
      <c r="AP282" t="s">
        <v>46</v>
      </c>
      <c r="AQ282" t="s">
        <v>81</v>
      </c>
      <c r="AR282" t="str">
        <f t="shared" si="8"/>
        <v>60601571.STATAM</v>
      </c>
      <c r="AS282">
        <f t="shared" si="9"/>
        <v>48679286.969999976</v>
      </c>
      <c r="AT282" t="s">
        <v>82</v>
      </c>
    </row>
    <row r="283" spans="1:46" x14ac:dyDescent="0.35">
      <c r="A283" t="s">
        <v>52</v>
      </c>
      <c r="B283" t="s">
        <v>53</v>
      </c>
      <c r="C283" t="s">
        <v>54</v>
      </c>
      <c r="D283" t="s">
        <v>55</v>
      </c>
      <c r="E283" t="s">
        <v>56</v>
      </c>
      <c r="F283" t="s">
        <v>848</v>
      </c>
      <c r="G283" t="s">
        <v>1030</v>
      </c>
      <c r="H283" t="s">
        <v>56</v>
      </c>
      <c r="I283" t="s">
        <v>1031</v>
      </c>
      <c r="J283" t="s">
        <v>851</v>
      </c>
      <c r="K283" t="s">
        <v>640</v>
      </c>
      <c r="L283" t="s">
        <v>56</v>
      </c>
      <c r="M283" t="s">
        <v>56</v>
      </c>
      <c r="N283" t="s">
        <v>252</v>
      </c>
      <c r="O283" t="s">
        <v>887</v>
      </c>
      <c r="P283" t="s">
        <v>888</v>
      </c>
      <c r="Q283" t="s">
        <v>965</v>
      </c>
      <c r="R283" t="s">
        <v>248</v>
      </c>
      <c r="S283">
        <v>40000000</v>
      </c>
      <c r="T283">
        <v>-345667164.70999998</v>
      </c>
      <c r="U283" t="s">
        <v>68</v>
      </c>
      <c r="V283" t="s">
        <v>792</v>
      </c>
      <c r="W283" s="9">
        <v>60601571</v>
      </c>
      <c r="X283" t="s">
        <v>1032</v>
      </c>
      <c r="Y283" s="1">
        <v>46031</v>
      </c>
      <c r="Z283" s="1">
        <v>46091</v>
      </c>
      <c r="AA283" s="2">
        <v>246777.64</v>
      </c>
      <c r="AB283" s="2">
        <v>209133.6</v>
      </c>
      <c r="AC283" s="2">
        <v>37644.04</v>
      </c>
      <c r="AD283" s="2">
        <v>246777.64</v>
      </c>
      <c r="AE283" t="s">
        <v>1033</v>
      </c>
      <c r="AF283" t="s">
        <v>72</v>
      </c>
      <c r="AG283">
        <v>-13</v>
      </c>
      <c r="AH283" t="s">
        <v>117</v>
      </c>
      <c r="AI283" t="s">
        <v>74</v>
      </c>
      <c r="AJ283" t="s">
        <v>75</v>
      </c>
      <c r="AK283" t="s">
        <v>76</v>
      </c>
      <c r="AL283" t="s">
        <v>118</v>
      </c>
      <c r="AM283" t="s">
        <v>78</v>
      </c>
      <c r="AN283" t="s">
        <v>795</v>
      </c>
      <c r="AO283" t="s">
        <v>119</v>
      </c>
      <c r="AP283" t="s">
        <v>46</v>
      </c>
      <c r="AQ283" t="s">
        <v>81</v>
      </c>
      <c r="AR283" t="str">
        <f t="shared" si="8"/>
        <v>60601571.STATAM</v>
      </c>
      <c r="AS283">
        <f t="shared" si="9"/>
        <v>48679286.969999976</v>
      </c>
      <c r="AT283" t="s">
        <v>82</v>
      </c>
    </row>
    <row r="284" spans="1:46" x14ac:dyDescent="0.35">
      <c r="A284" t="s">
        <v>52</v>
      </c>
      <c r="B284" t="s">
        <v>53</v>
      </c>
      <c r="C284" t="s">
        <v>54</v>
      </c>
      <c r="D284" t="s">
        <v>55</v>
      </c>
      <c r="E284" t="s">
        <v>56</v>
      </c>
      <c r="F284" t="s">
        <v>848</v>
      </c>
      <c r="G284" t="s">
        <v>1034</v>
      </c>
      <c r="H284" t="s">
        <v>56</v>
      </c>
      <c r="I284" t="s">
        <v>1035</v>
      </c>
      <c r="J284" t="s">
        <v>851</v>
      </c>
      <c r="K284" t="s">
        <v>640</v>
      </c>
      <c r="L284" t="s">
        <v>56</v>
      </c>
      <c r="M284" t="s">
        <v>56</v>
      </c>
      <c r="N284" t="s">
        <v>682</v>
      </c>
      <c r="O284" t="s">
        <v>887</v>
      </c>
      <c r="P284" t="s">
        <v>888</v>
      </c>
      <c r="Q284" t="s">
        <v>965</v>
      </c>
      <c r="R284" t="s">
        <v>248</v>
      </c>
      <c r="S284">
        <v>40000000</v>
      </c>
      <c r="T284">
        <v>-345667164.70999998</v>
      </c>
      <c r="U284" t="s">
        <v>68</v>
      </c>
      <c r="V284" t="s">
        <v>792</v>
      </c>
      <c r="W284" s="9">
        <v>60601571</v>
      </c>
      <c r="X284" t="s">
        <v>1036</v>
      </c>
      <c r="Y284" s="1">
        <v>46031</v>
      </c>
      <c r="Z284" s="1">
        <v>46091</v>
      </c>
      <c r="AA284" s="2">
        <v>994.03</v>
      </c>
      <c r="AB284" s="2">
        <v>842.4</v>
      </c>
      <c r="AC284" s="2">
        <v>151.63</v>
      </c>
      <c r="AD284" s="2">
        <v>994.03</v>
      </c>
      <c r="AE284" t="s">
        <v>1037</v>
      </c>
      <c r="AF284" t="s">
        <v>72</v>
      </c>
      <c r="AG284">
        <v>-13</v>
      </c>
      <c r="AH284" t="s">
        <v>117</v>
      </c>
      <c r="AI284" t="s">
        <v>74</v>
      </c>
      <c r="AJ284" t="s">
        <v>127</v>
      </c>
      <c r="AK284" t="s">
        <v>334</v>
      </c>
      <c r="AL284" t="s">
        <v>118</v>
      </c>
      <c r="AM284" t="s">
        <v>78</v>
      </c>
      <c r="AN284" t="s">
        <v>795</v>
      </c>
      <c r="AO284" t="s">
        <v>119</v>
      </c>
      <c r="AP284" t="s">
        <v>46</v>
      </c>
      <c r="AQ284" t="s">
        <v>335</v>
      </c>
      <c r="AR284" t="str">
        <f t="shared" si="8"/>
        <v>60601571.SPMINAM</v>
      </c>
      <c r="AS284">
        <f t="shared" si="9"/>
        <v>1752670.26</v>
      </c>
      <c r="AT284" t="s">
        <v>82</v>
      </c>
    </row>
    <row r="285" spans="1:46" x14ac:dyDescent="0.35">
      <c r="A285" t="s">
        <v>52</v>
      </c>
      <c r="B285" t="s">
        <v>53</v>
      </c>
      <c r="C285" t="s">
        <v>54</v>
      </c>
      <c r="D285" t="s">
        <v>55</v>
      </c>
      <c r="E285" t="s">
        <v>56</v>
      </c>
      <c r="F285" t="s">
        <v>848</v>
      </c>
      <c r="G285" t="s">
        <v>856</v>
      </c>
      <c r="H285" t="s">
        <v>56</v>
      </c>
      <c r="I285" t="s">
        <v>1038</v>
      </c>
      <c r="J285" t="s">
        <v>851</v>
      </c>
      <c r="K285" t="s">
        <v>640</v>
      </c>
      <c r="L285" t="s">
        <v>56</v>
      </c>
      <c r="M285" t="s">
        <v>56</v>
      </c>
      <c r="N285" t="s">
        <v>897</v>
      </c>
      <c r="O285" t="s">
        <v>790</v>
      </c>
      <c r="P285" t="s">
        <v>791</v>
      </c>
      <c r="Q285" t="s">
        <v>393</v>
      </c>
      <c r="R285" t="s">
        <v>248</v>
      </c>
      <c r="S285">
        <v>40000000</v>
      </c>
      <c r="T285">
        <v>-345667164.70999998</v>
      </c>
      <c r="U285" t="s">
        <v>68</v>
      </c>
      <c r="V285" t="s">
        <v>792</v>
      </c>
      <c r="W285" s="9">
        <v>60601571</v>
      </c>
      <c r="X285" t="s">
        <v>1039</v>
      </c>
      <c r="Y285" s="1">
        <v>46051</v>
      </c>
      <c r="Z285" s="1">
        <v>46111</v>
      </c>
      <c r="AA285" s="2">
        <v>11489.66</v>
      </c>
      <c r="AB285" s="2">
        <v>9737</v>
      </c>
      <c r="AC285" s="2">
        <v>1752.66</v>
      </c>
      <c r="AD285" s="2">
        <v>11489.66</v>
      </c>
      <c r="AE285" t="s">
        <v>1040</v>
      </c>
      <c r="AF285" t="s">
        <v>72</v>
      </c>
      <c r="AG285">
        <v>-33</v>
      </c>
      <c r="AH285" t="s">
        <v>117</v>
      </c>
      <c r="AI285" t="s">
        <v>74</v>
      </c>
      <c r="AJ285" t="s">
        <v>75</v>
      </c>
      <c r="AK285" t="s">
        <v>76</v>
      </c>
      <c r="AL285" t="s">
        <v>118</v>
      </c>
      <c r="AM285" t="s">
        <v>78</v>
      </c>
      <c r="AN285" t="s">
        <v>795</v>
      </c>
      <c r="AO285" t="s">
        <v>119</v>
      </c>
      <c r="AP285" t="s">
        <v>46</v>
      </c>
      <c r="AQ285" t="s">
        <v>81</v>
      </c>
      <c r="AR285" t="str">
        <f t="shared" si="8"/>
        <v>60601571.STATAM</v>
      </c>
      <c r="AS285">
        <f t="shared" si="9"/>
        <v>48679286.969999976</v>
      </c>
      <c r="AT285" t="s">
        <v>82</v>
      </c>
    </row>
    <row r="286" spans="1:46" x14ac:dyDescent="0.35">
      <c r="A286" t="s">
        <v>52</v>
      </c>
      <c r="B286" t="s">
        <v>53</v>
      </c>
      <c r="C286" t="s">
        <v>54</v>
      </c>
      <c r="D286" t="s">
        <v>55</v>
      </c>
      <c r="E286" t="s">
        <v>56</v>
      </c>
      <c r="F286" t="s">
        <v>848</v>
      </c>
      <c r="G286" t="s">
        <v>1041</v>
      </c>
      <c r="H286" t="s">
        <v>56</v>
      </c>
      <c r="I286" t="s">
        <v>1042</v>
      </c>
      <c r="J286" t="s">
        <v>851</v>
      </c>
      <c r="K286" t="s">
        <v>640</v>
      </c>
      <c r="L286" t="s">
        <v>56</v>
      </c>
      <c r="M286" t="s">
        <v>56</v>
      </c>
      <c r="N286" t="s">
        <v>295</v>
      </c>
      <c r="O286" t="s">
        <v>790</v>
      </c>
      <c r="P286" t="s">
        <v>791</v>
      </c>
      <c r="Q286" t="s">
        <v>393</v>
      </c>
      <c r="R286" t="s">
        <v>248</v>
      </c>
      <c r="S286">
        <v>40000000</v>
      </c>
      <c r="T286">
        <v>-345667164.70999998</v>
      </c>
      <c r="U286" t="s">
        <v>68</v>
      </c>
      <c r="V286" t="s">
        <v>792</v>
      </c>
      <c r="W286" s="9">
        <v>60601571</v>
      </c>
      <c r="X286" t="s">
        <v>1043</v>
      </c>
      <c r="Y286" s="1">
        <v>46051</v>
      </c>
      <c r="Z286" s="1">
        <v>46111</v>
      </c>
      <c r="AA286" s="2">
        <v>584555.48</v>
      </c>
      <c r="AB286" s="2">
        <v>495386</v>
      </c>
      <c r="AC286" s="2">
        <v>89169.48</v>
      </c>
      <c r="AD286" s="2">
        <v>584555.48</v>
      </c>
      <c r="AE286" t="s">
        <v>1044</v>
      </c>
      <c r="AF286" t="s">
        <v>72</v>
      </c>
      <c r="AG286">
        <v>-33</v>
      </c>
      <c r="AH286" t="s">
        <v>117</v>
      </c>
      <c r="AI286" t="s">
        <v>74</v>
      </c>
      <c r="AJ286" t="s">
        <v>75</v>
      </c>
      <c r="AK286" t="s">
        <v>76</v>
      </c>
      <c r="AL286" t="s">
        <v>118</v>
      </c>
      <c r="AM286" t="s">
        <v>78</v>
      </c>
      <c r="AN286" t="s">
        <v>795</v>
      </c>
      <c r="AO286" t="s">
        <v>119</v>
      </c>
      <c r="AP286" t="s">
        <v>46</v>
      </c>
      <c r="AQ286" t="s">
        <v>81</v>
      </c>
      <c r="AR286" t="str">
        <f t="shared" si="8"/>
        <v>60601571.STATAM</v>
      </c>
      <c r="AS286">
        <f t="shared" si="9"/>
        <v>48679286.969999976</v>
      </c>
      <c r="AT286" t="s">
        <v>82</v>
      </c>
    </row>
    <row r="287" spans="1:46" x14ac:dyDescent="0.35">
      <c r="A287" t="s">
        <v>52</v>
      </c>
      <c r="B287" t="s">
        <v>53</v>
      </c>
      <c r="C287" t="s">
        <v>54</v>
      </c>
      <c r="D287" t="s">
        <v>55</v>
      </c>
      <c r="E287" t="s">
        <v>56</v>
      </c>
      <c r="F287" t="s">
        <v>848</v>
      </c>
      <c r="G287" t="s">
        <v>935</v>
      </c>
      <c r="H287" t="s">
        <v>56</v>
      </c>
      <c r="I287" t="s">
        <v>1045</v>
      </c>
      <c r="J287" t="s">
        <v>851</v>
      </c>
      <c r="K287" t="s">
        <v>640</v>
      </c>
      <c r="L287" t="s">
        <v>937</v>
      </c>
      <c r="M287" t="s">
        <v>56</v>
      </c>
      <c r="N287" t="s">
        <v>923</v>
      </c>
      <c r="O287" t="s">
        <v>887</v>
      </c>
      <c r="P287" t="s">
        <v>888</v>
      </c>
      <c r="Q287" t="s">
        <v>393</v>
      </c>
      <c r="R287" t="s">
        <v>248</v>
      </c>
      <c r="S287">
        <v>40000000</v>
      </c>
      <c r="T287">
        <v>-345667164.70999998</v>
      </c>
      <c r="U287" t="s">
        <v>68</v>
      </c>
      <c r="V287" t="s">
        <v>792</v>
      </c>
      <c r="W287" s="9">
        <v>60601571</v>
      </c>
      <c r="X287" t="s">
        <v>1046</v>
      </c>
      <c r="Y287" s="1">
        <v>46051</v>
      </c>
      <c r="Z287" s="1">
        <v>46111</v>
      </c>
      <c r="AA287" s="2">
        <v>2159853.12</v>
      </c>
      <c r="AB287" s="2">
        <v>1830384</v>
      </c>
      <c r="AC287" s="2">
        <v>329469.12</v>
      </c>
      <c r="AD287" s="2">
        <v>2159853.12</v>
      </c>
      <c r="AE287" t="s">
        <v>1047</v>
      </c>
      <c r="AF287" t="s">
        <v>72</v>
      </c>
      <c r="AG287">
        <v>-33</v>
      </c>
      <c r="AH287" t="s">
        <v>117</v>
      </c>
      <c r="AI287" t="s">
        <v>74</v>
      </c>
      <c r="AJ287" t="s">
        <v>75</v>
      </c>
      <c r="AK287" t="s">
        <v>76</v>
      </c>
      <c r="AL287" t="s">
        <v>118</v>
      </c>
      <c r="AM287" t="s">
        <v>78</v>
      </c>
      <c r="AN287" t="s">
        <v>795</v>
      </c>
      <c r="AO287" t="s">
        <v>119</v>
      </c>
      <c r="AP287" t="s">
        <v>46</v>
      </c>
      <c r="AQ287" t="s">
        <v>81</v>
      </c>
      <c r="AR287" t="str">
        <f t="shared" si="8"/>
        <v>60601571.STATAM</v>
      </c>
      <c r="AS287">
        <f t="shared" si="9"/>
        <v>48679286.969999976</v>
      </c>
      <c r="AT287" t="s">
        <v>82</v>
      </c>
    </row>
    <row r="288" spans="1:46" x14ac:dyDescent="0.35">
      <c r="A288" t="s">
        <v>52</v>
      </c>
      <c r="B288" t="s">
        <v>53</v>
      </c>
      <c r="C288" t="s">
        <v>54</v>
      </c>
      <c r="D288" t="s">
        <v>55</v>
      </c>
      <c r="E288" t="s">
        <v>56</v>
      </c>
      <c r="F288" t="s">
        <v>848</v>
      </c>
      <c r="G288" t="s">
        <v>1048</v>
      </c>
      <c r="H288" t="s">
        <v>56</v>
      </c>
      <c r="I288" t="s">
        <v>1049</v>
      </c>
      <c r="J288" t="s">
        <v>851</v>
      </c>
      <c r="K288" t="s">
        <v>640</v>
      </c>
      <c r="L288" t="s">
        <v>56</v>
      </c>
      <c r="M288" t="s">
        <v>56</v>
      </c>
      <c r="N288" t="s">
        <v>852</v>
      </c>
      <c r="O288" t="s">
        <v>790</v>
      </c>
      <c r="P288" t="s">
        <v>791</v>
      </c>
      <c r="Q288" t="s">
        <v>853</v>
      </c>
      <c r="R288" t="s">
        <v>248</v>
      </c>
      <c r="S288">
        <v>40000000</v>
      </c>
      <c r="T288">
        <v>-345667164.70999998</v>
      </c>
      <c r="U288" t="s">
        <v>68</v>
      </c>
      <c r="V288" t="s">
        <v>792</v>
      </c>
      <c r="W288" s="9">
        <v>60601571</v>
      </c>
      <c r="X288" t="s">
        <v>1050</v>
      </c>
      <c r="Y288" s="1">
        <v>46053</v>
      </c>
      <c r="Z288" s="1">
        <v>46113</v>
      </c>
      <c r="AA288" s="2">
        <v>4537741.92</v>
      </c>
      <c r="AB288" s="2">
        <v>3845544</v>
      </c>
      <c r="AC288" s="2">
        <v>692197.92</v>
      </c>
      <c r="AD288" s="2">
        <v>4537741.92</v>
      </c>
      <c r="AE288" t="s">
        <v>1051</v>
      </c>
      <c r="AF288" t="s">
        <v>72</v>
      </c>
      <c r="AG288">
        <v>-35</v>
      </c>
      <c r="AH288" t="s">
        <v>117</v>
      </c>
      <c r="AI288" t="s">
        <v>74</v>
      </c>
      <c r="AJ288" t="s">
        <v>75</v>
      </c>
      <c r="AK288" t="s">
        <v>76</v>
      </c>
      <c r="AL288" t="s">
        <v>118</v>
      </c>
      <c r="AM288" t="s">
        <v>78</v>
      </c>
      <c r="AN288" t="s">
        <v>795</v>
      </c>
      <c r="AO288" t="s">
        <v>119</v>
      </c>
      <c r="AP288" t="s">
        <v>46</v>
      </c>
      <c r="AQ288" t="s">
        <v>81</v>
      </c>
      <c r="AR288" t="str">
        <f t="shared" si="8"/>
        <v>60601571.STATAM</v>
      </c>
      <c r="AS288">
        <f t="shared" si="9"/>
        <v>48679286.969999976</v>
      </c>
      <c r="AT288" t="s">
        <v>82</v>
      </c>
    </row>
    <row r="289" spans="1:46" x14ac:dyDescent="0.35">
      <c r="A289" t="s">
        <v>52</v>
      </c>
      <c r="B289" t="s">
        <v>53</v>
      </c>
      <c r="C289" t="s">
        <v>54</v>
      </c>
      <c r="D289" t="s">
        <v>55</v>
      </c>
      <c r="E289" t="s">
        <v>56</v>
      </c>
      <c r="F289" t="s">
        <v>848</v>
      </c>
      <c r="G289" t="s">
        <v>1052</v>
      </c>
      <c r="H289" t="s">
        <v>56</v>
      </c>
      <c r="I289" t="s">
        <v>1053</v>
      </c>
      <c r="J289" t="s">
        <v>851</v>
      </c>
      <c r="K289" t="s">
        <v>640</v>
      </c>
      <c r="L289" t="s">
        <v>56</v>
      </c>
      <c r="M289" t="s">
        <v>56</v>
      </c>
      <c r="N289" t="s">
        <v>295</v>
      </c>
      <c r="O289" t="s">
        <v>790</v>
      </c>
      <c r="P289" t="s">
        <v>791</v>
      </c>
      <c r="Q289" t="s">
        <v>853</v>
      </c>
      <c r="R289" t="s">
        <v>248</v>
      </c>
      <c r="S289">
        <v>40000000</v>
      </c>
      <c r="T289">
        <v>-345667164.70999998</v>
      </c>
      <c r="U289" t="s">
        <v>68</v>
      </c>
      <c r="V289" t="s">
        <v>792</v>
      </c>
      <c r="W289" s="9">
        <v>60601571</v>
      </c>
      <c r="X289" t="s">
        <v>1054</v>
      </c>
      <c r="Y289" s="1">
        <v>46053</v>
      </c>
      <c r="Z289" s="1">
        <v>46113</v>
      </c>
      <c r="AA289" s="2">
        <v>10100.799999999999</v>
      </c>
      <c r="AB289" s="2">
        <v>8560</v>
      </c>
      <c r="AC289" s="2">
        <v>1540.8</v>
      </c>
      <c r="AD289" s="2">
        <v>10100.799999999999</v>
      </c>
      <c r="AE289" t="s">
        <v>1055</v>
      </c>
      <c r="AF289" t="s">
        <v>72</v>
      </c>
      <c r="AG289">
        <v>-35</v>
      </c>
      <c r="AH289" t="s">
        <v>117</v>
      </c>
      <c r="AI289" t="s">
        <v>74</v>
      </c>
      <c r="AJ289" t="s">
        <v>75</v>
      </c>
      <c r="AK289" t="s">
        <v>76</v>
      </c>
      <c r="AL289" t="s">
        <v>118</v>
      </c>
      <c r="AM289" t="s">
        <v>78</v>
      </c>
      <c r="AN289" t="s">
        <v>795</v>
      </c>
      <c r="AO289" t="s">
        <v>119</v>
      </c>
      <c r="AP289" t="s">
        <v>46</v>
      </c>
      <c r="AQ289" t="s">
        <v>81</v>
      </c>
      <c r="AR289" t="str">
        <f t="shared" si="8"/>
        <v>60601571.STATAM</v>
      </c>
      <c r="AS289">
        <f t="shared" si="9"/>
        <v>48679286.969999976</v>
      </c>
      <c r="AT289" t="s">
        <v>82</v>
      </c>
    </row>
    <row r="290" spans="1:46" x14ac:dyDescent="0.35">
      <c r="A290" t="s">
        <v>52</v>
      </c>
      <c r="B290" t="s">
        <v>53</v>
      </c>
      <c r="C290" t="s">
        <v>54</v>
      </c>
      <c r="D290" t="s">
        <v>55</v>
      </c>
      <c r="E290" t="s">
        <v>56</v>
      </c>
      <c r="F290" t="s">
        <v>848</v>
      </c>
      <c r="G290" t="s">
        <v>1052</v>
      </c>
      <c r="H290" t="s">
        <v>56</v>
      </c>
      <c r="I290" t="s">
        <v>1053</v>
      </c>
      <c r="J290" t="s">
        <v>851</v>
      </c>
      <c r="K290" t="s">
        <v>640</v>
      </c>
      <c r="L290" t="s">
        <v>56</v>
      </c>
      <c r="M290" t="s">
        <v>56</v>
      </c>
      <c r="N290" t="s">
        <v>252</v>
      </c>
      <c r="O290" t="s">
        <v>790</v>
      </c>
      <c r="P290" t="s">
        <v>791</v>
      </c>
      <c r="Q290" t="s">
        <v>853</v>
      </c>
      <c r="R290" t="s">
        <v>248</v>
      </c>
      <c r="S290">
        <v>40000000</v>
      </c>
      <c r="T290">
        <v>-345667164.70999998</v>
      </c>
      <c r="U290" t="s">
        <v>68</v>
      </c>
      <c r="V290" t="s">
        <v>792</v>
      </c>
      <c r="W290" s="9">
        <v>60601571</v>
      </c>
      <c r="X290" t="s">
        <v>1054</v>
      </c>
      <c r="Y290" s="1">
        <v>46053</v>
      </c>
      <c r="Z290" s="1">
        <v>46113</v>
      </c>
      <c r="AA290" s="2">
        <v>4200.8</v>
      </c>
      <c r="AB290" s="2">
        <v>3560</v>
      </c>
      <c r="AC290" s="2">
        <v>640.79999999999995</v>
      </c>
      <c r="AD290" s="2">
        <v>4200.8</v>
      </c>
      <c r="AE290" t="s">
        <v>1056</v>
      </c>
      <c r="AF290" t="s">
        <v>72</v>
      </c>
      <c r="AG290">
        <v>-35</v>
      </c>
      <c r="AH290" t="s">
        <v>117</v>
      </c>
      <c r="AI290" t="s">
        <v>74</v>
      </c>
      <c r="AJ290" t="s">
        <v>75</v>
      </c>
      <c r="AK290" t="s">
        <v>76</v>
      </c>
      <c r="AL290" t="s">
        <v>118</v>
      </c>
      <c r="AM290" t="s">
        <v>78</v>
      </c>
      <c r="AN290" t="s">
        <v>795</v>
      </c>
      <c r="AO290" t="s">
        <v>119</v>
      </c>
      <c r="AP290" t="s">
        <v>46</v>
      </c>
      <c r="AQ290" t="s">
        <v>81</v>
      </c>
      <c r="AR290" t="str">
        <f t="shared" si="8"/>
        <v>60601571.STATAM</v>
      </c>
      <c r="AS290">
        <f t="shared" si="9"/>
        <v>48679286.969999976</v>
      </c>
      <c r="AT290" t="s">
        <v>82</v>
      </c>
    </row>
    <row r="291" spans="1:46" x14ac:dyDescent="0.35">
      <c r="A291" t="s">
        <v>52</v>
      </c>
      <c r="B291" t="s">
        <v>53</v>
      </c>
      <c r="C291" t="s">
        <v>54</v>
      </c>
      <c r="D291" t="s">
        <v>55</v>
      </c>
      <c r="E291" t="s">
        <v>56</v>
      </c>
      <c r="F291" t="s">
        <v>848</v>
      </c>
      <c r="G291" t="s">
        <v>1052</v>
      </c>
      <c r="H291" t="s">
        <v>56</v>
      </c>
      <c r="I291" t="s">
        <v>1053</v>
      </c>
      <c r="J291" t="s">
        <v>851</v>
      </c>
      <c r="K291" t="s">
        <v>640</v>
      </c>
      <c r="L291" t="s">
        <v>56</v>
      </c>
      <c r="M291" t="s">
        <v>56</v>
      </c>
      <c r="N291" t="s">
        <v>897</v>
      </c>
      <c r="O291" t="s">
        <v>790</v>
      </c>
      <c r="P291" t="s">
        <v>791</v>
      </c>
      <c r="Q291" t="s">
        <v>853</v>
      </c>
      <c r="R291" t="s">
        <v>248</v>
      </c>
      <c r="S291">
        <v>40000000</v>
      </c>
      <c r="T291">
        <v>-345667164.70999998</v>
      </c>
      <c r="U291" t="s">
        <v>68</v>
      </c>
      <c r="V291" t="s">
        <v>792</v>
      </c>
      <c r="W291" s="9">
        <v>60601571</v>
      </c>
      <c r="X291" t="s">
        <v>1054</v>
      </c>
      <c r="Y291" s="1">
        <v>46053</v>
      </c>
      <c r="Z291" s="1">
        <v>46113</v>
      </c>
      <c r="AA291" s="2">
        <v>378051.94</v>
      </c>
      <c r="AB291" s="2">
        <v>320383</v>
      </c>
      <c r="AC291" s="2">
        <v>57668.94</v>
      </c>
      <c r="AD291" s="2">
        <v>378051.94</v>
      </c>
      <c r="AE291" t="s">
        <v>1057</v>
      </c>
      <c r="AF291" t="s">
        <v>72</v>
      </c>
      <c r="AG291">
        <v>-35</v>
      </c>
      <c r="AH291" t="s">
        <v>117</v>
      </c>
      <c r="AI291" t="s">
        <v>74</v>
      </c>
      <c r="AJ291" t="s">
        <v>75</v>
      </c>
      <c r="AK291" t="s">
        <v>76</v>
      </c>
      <c r="AL291" t="s">
        <v>118</v>
      </c>
      <c r="AM291" t="s">
        <v>78</v>
      </c>
      <c r="AN291" t="s">
        <v>795</v>
      </c>
      <c r="AO291" t="s">
        <v>119</v>
      </c>
      <c r="AP291" t="s">
        <v>46</v>
      </c>
      <c r="AQ291" t="s">
        <v>81</v>
      </c>
      <c r="AR291" t="str">
        <f t="shared" si="8"/>
        <v>60601571.STATAM</v>
      </c>
      <c r="AS291">
        <f t="shared" si="9"/>
        <v>48679286.969999976</v>
      </c>
      <c r="AT291" t="s">
        <v>82</v>
      </c>
    </row>
    <row r="292" spans="1:46" x14ac:dyDescent="0.35">
      <c r="A292" t="s">
        <v>52</v>
      </c>
      <c r="B292" t="s">
        <v>53</v>
      </c>
      <c r="C292" t="s">
        <v>54</v>
      </c>
      <c r="D292" t="s">
        <v>55</v>
      </c>
      <c r="E292" t="s">
        <v>56</v>
      </c>
      <c r="F292" t="s">
        <v>848</v>
      </c>
      <c r="G292" t="s">
        <v>879</v>
      </c>
      <c r="H292" t="s">
        <v>56</v>
      </c>
      <c r="I292" t="s">
        <v>1058</v>
      </c>
      <c r="J292" t="s">
        <v>851</v>
      </c>
      <c r="K292" t="s">
        <v>640</v>
      </c>
      <c r="L292" t="s">
        <v>56</v>
      </c>
      <c r="M292" t="s">
        <v>56</v>
      </c>
      <c r="N292" t="s">
        <v>252</v>
      </c>
      <c r="O292" t="s">
        <v>790</v>
      </c>
      <c r="P292" t="s">
        <v>791</v>
      </c>
      <c r="Q292" t="s">
        <v>853</v>
      </c>
      <c r="R292" t="s">
        <v>248</v>
      </c>
      <c r="S292">
        <v>40000000</v>
      </c>
      <c r="T292">
        <v>-345667164.70999998</v>
      </c>
      <c r="U292" t="s">
        <v>68</v>
      </c>
      <c r="V292" t="s">
        <v>792</v>
      </c>
      <c r="W292" s="9">
        <v>60601571</v>
      </c>
      <c r="X292" t="s">
        <v>1059</v>
      </c>
      <c r="Y292" s="1">
        <v>46053</v>
      </c>
      <c r="Z292" s="1">
        <v>46113</v>
      </c>
      <c r="AA292" s="2">
        <v>25816.04</v>
      </c>
      <c r="AB292" s="2">
        <v>21878</v>
      </c>
      <c r="AC292" s="2">
        <v>3938.04</v>
      </c>
      <c r="AD292" s="2">
        <v>25816.04</v>
      </c>
      <c r="AE292" t="s">
        <v>1060</v>
      </c>
      <c r="AF292" t="s">
        <v>72</v>
      </c>
      <c r="AG292">
        <v>-35</v>
      </c>
      <c r="AH292" t="s">
        <v>117</v>
      </c>
      <c r="AI292" t="s">
        <v>74</v>
      </c>
      <c r="AJ292" t="s">
        <v>75</v>
      </c>
      <c r="AK292" t="s">
        <v>76</v>
      </c>
      <c r="AL292" t="s">
        <v>118</v>
      </c>
      <c r="AM292" t="s">
        <v>78</v>
      </c>
      <c r="AN292" t="s">
        <v>795</v>
      </c>
      <c r="AO292" t="s">
        <v>119</v>
      </c>
      <c r="AP292" t="s">
        <v>46</v>
      </c>
      <c r="AQ292" t="s">
        <v>81</v>
      </c>
      <c r="AR292" t="str">
        <f t="shared" si="8"/>
        <v>60601571.STATAM</v>
      </c>
      <c r="AS292">
        <f t="shared" si="9"/>
        <v>48679286.969999976</v>
      </c>
      <c r="AT292" t="s">
        <v>82</v>
      </c>
    </row>
    <row r="293" spans="1:46" x14ac:dyDescent="0.35">
      <c r="A293" t="s">
        <v>52</v>
      </c>
      <c r="B293" t="s">
        <v>53</v>
      </c>
      <c r="C293" t="s">
        <v>54</v>
      </c>
      <c r="D293" t="s">
        <v>55</v>
      </c>
      <c r="E293" t="s">
        <v>56</v>
      </c>
      <c r="F293" t="s">
        <v>848</v>
      </c>
      <c r="G293" t="s">
        <v>874</v>
      </c>
      <c r="H293" t="s">
        <v>56</v>
      </c>
      <c r="I293" t="s">
        <v>1061</v>
      </c>
      <c r="J293" t="s">
        <v>851</v>
      </c>
      <c r="K293" t="s">
        <v>640</v>
      </c>
      <c r="L293" t="s">
        <v>56</v>
      </c>
      <c r="M293" t="s">
        <v>56</v>
      </c>
      <c r="N293" t="s">
        <v>252</v>
      </c>
      <c r="O293" t="s">
        <v>790</v>
      </c>
      <c r="P293" t="s">
        <v>791</v>
      </c>
      <c r="Q293" t="s">
        <v>853</v>
      </c>
      <c r="R293" t="s">
        <v>248</v>
      </c>
      <c r="S293">
        <v>40000000</v>
      </c>
      <c r="T293">
        <v>-345667164.70999998</v>
      </c>
      <c r="U293" t="s">
        <v>68</v>
      </c>
      <c r="V293" t="s">
        <v>792</v>
      </c>
      <c r="W293" s="9">
        <v>60601571</v>
      </c>
      <c r="X293" t="s">
        <v>1062</v>
      </c>
      <c r="Y293" s="1">
        <v>46053</v>
      </c>
      <c r="Z293" s="1">
        <v>46113</v>
      </c>
      <c r="AA293" s="2">
        <v>7306.56</v>
      </c>
      <c r="AB293" s="2">
        <v>6192</v>
      </c>
      <c r="AC293" s="2">
        <v>1114.56</v>
      </c>
      <c r="AD293" s="2">
        <v>7306.56</v>
      </c>
      <c r="AE293" t="s">
        <v>1063</v>
      </c>
      <c r="AF293" t="s">
        <v>72</v>
      </c>
      <c r="AG293">
        <v>-35</v>
      </c>
      <c r="AH293" t="s">
        <v>117</v>
      </c>
      <c r="AI293" t="s">
        <v>74</v>
      </c>
      <c r="AJ293" t="s">
        <v>75</v>
      </c>
      <c r="AK293" t="s">
        <v>76</v>
      </c>
      <c r="AL293" t="s">
        <v>118</v>
      </c>
      <c r="AM293" t="s">
        <v>78</v>
      </c>
      <c r="AN293" t="s">
        <v>795</v>
      </c>
      <c r="AO293" t="s">
        <v>119</v>
      </c>
      <c r="AP293" t="s">
        <v>46</v>
      </c>
      <c r="AQ293" t="s">
        <v>81</v>
      </c>
      <c r="AR293" t="str">
        <f t="shared" si="8"/>
        <v>60601571.STATAM</v>
      </c>
      <c r="AS293">
        <f t="shared" si="9"/>
        <v>48679286.969999976</v>
      </c>
      <c r="AT293" t="s">
        <v>82</v>
      </c>
    </row>
    <row r="294" spans="1:46" x14ac:dyDescent="0.35">
      <c r="A294" t="s">
        <v>52</v>
      </c>
      <c r="B294" t="s">
        <v>53</v>
      </c>
      <c r="C294" t="s">
        <v>54</v>
      </c>
      <c r="D294" t="s">
        <v>55</v>
      </c>
      <c r="E294" t="s">
        <v>56</v>
      </c>
      <c r="F294" t="s">
        <v>848</v>
      </c>
      <c r="G294" t="s">
        <v>1064</v>
      </c>
      <c r="H294" t="s">
        <v>56</v>
      </c>
      <c r="I294" t="s">
        <v>1065</v>
      </c>
      <c r="J294" t="s">
        <v>851</v>
      </c>
      <c r="K294" t="s">
        <v>640</v>
      </c>
      <c r="L294" t="s">
        <v>56</v>
      </c>
      <c r="M294" t="s">
        <v>56</v>
      </c>
      <c r="N294" t="s">
        <v>295</v>
      </c>
      <c r="O294" t="s">
        <v>790</v>
      </c>
      <c r="P294" t="s">
        <v>791</v>
      </c>
      <c r="Q294" t="s">
        <v>853</v>
      </c>
      <c r="R294" t="s">
        <v>248</v>
      </c>
      <c r="S294">
        <v>40000000</v>
      </c>
      <c r="T294">
        <v>-345667164.70999998</v>
      </c>
      <c r="U294" t="s">
        <v>68</v>
      </c>
      <c r="V294" t="s">
        <v>792</v>
      </c>
      <c r="W294" s="9">
        <v>60601571</v>
      </c>
      <c r="X294" t="s">
        <v>1066</v>
      </c>
      <c r="Y294" s="1">
        <v>46053</v>
      </c>
      <c r="Z294" s="1">
        <v>46113</v>
      </c>
      <c r="AA294" s="2">
        <v>12692.08</v>
      </c>
      <c r="AB294" s="2">
        <v>10756</v>
      </c>
      <c r="AC294" s="2">
        <v>1936.08</v>
      </c>
      <c r="AD294" s="2">
        <v>12692.08</v>
      </c>
      <c r="AE294" t="s">
        <v>1067</v>
      </c>
      <c r="AF294" t="s">
        <v>72</v>
      </c>
      <c r="AG294">
        <v>-35</v>
      </c>
      <c r="AH294" t="s">
        <v>117</v>
      </c>
      <c r="AI294" t="s">
        <v>74</v>
      </c>
      <c r="AJ294" t="s">
        <v>75</v>
      </c>
      <c r="AK294" t="s">
        <v>76</v>
      </c>
      <c r="AL294" t="s">
        <v>118</v>
      </c>
      <c r="AM294" t="s">
        <v>78</v>
      </c>
      <c r="AN294" t="s">
        <v>795</v>
      </c>
      <c r="AO294" t="s">
        <v>119</v>
      </c>
      <c r="AP294" t="s">
        <v>46</v>
      </c>
      <c r="AQ294" t="s">
        <v>81</v>
      </c>
      <c r="AR294" t="str">
        <f t="shared" si="8"/>
        <v>60601571.STATAM</v>
      </c>
      <c r="AS294">
        <f t="shared" si="9"/>
        <v>48679286.969999976</v>
      </c>
      <c r="AT294" t="s">
        <v>82</v>
      </c>
    </row>
    <row r="295" spans="1:46" x14ac:dyDescent="0.35">
      <c r="A295" t="s">
        <v>52</v>
      </c>
      <c r="B295" t="s">
        <v>53</v>
      </c>
      <c r="C295" t="s">
        <v>54</v>
      </c>
      <c r="D295" t="s">
        <v>55</v>
      </c>
      <c r="E295" t="s">
        <v>56</v>
      </c>
      <c r="F295" t="s">
        <v>848</v>
      </c>
      <c r="G295" t="s">
        <v>1064</v>
      </c>
      <c r="H295" t="s">
        <v>56</v>
      </c>
      <c r="I295" t="s">
        <v>1065</v>
      </c>
      <c r="J295" t="s">
        <v>851</v>
      </c>
      <c r="K295" t="s">
        <v>640</v>
      </c>
      <c r="L295" t="s">
        <v>56</v>
      </c>
      <c r="M295" t="s">
        <v>56</v>
      </c>
      <c r="N295" t="s">
        <v>252</v>
      </c>
      <c r="O295" t="s">
        <v>790</v>
      </c>
      <c r="P295" t="s">
        <v>791</v>
      </c>
      <c r="Q295" t="s">
        <v>853</v>
      </c>
      <c r="R295" t="s">
        <v>248</v>
      </c>
      <c r="S295">
        <v>40000000</v>
      </c>
      <c r="T295">
        <v>-345667164.70999998</v>
      </c>
      <c r="U295" t="s">
        <v>68</v>
      </c>
      <c r="V295" t="s">
        <v>792</v>
      </c>
      <c r="W295" s="9">
        <v>60601571</v>
      </c>
      <c r="X295" t="s">
        <v>1066</v>
      </c>
      <c r="Y295" s="1">
        <v>46053</v>
      </c>
      <c r="Z295" s="1">
        <v>46113</v>
      </c>
      <c r="AA295" s="2">
        <v>1274.4000000000001</v>
      </c>
      <c r="AB295" s="2">
        <v>1080</v>
      </c>
      <c r="AC295" s="2">
        <v>194.4</v>
      </c>
      <c r="AD295" s="2">
        <v>1274.4000000000001</v>
      </c>
      <c r="AE295" t="s">
        <v>1068</v>
      </c>
      <c r="AF295" t="s">
        <v>72</v>
      </c>
      <c r="AG295">
        <v>-35</v>
      </c>
      <c r="AH295" t="s">
        <v>117</v>
      </c>
      <c r="AI295" t="s">
        <v>74</v>
      </c>
      <c r="AJ295" t="s">
        <v>75</v>
      </c>
      <c r="AK295" t="s">
        <v>76</v>
      </c>
      <c r="AL295" t="s">
        <v>118</v>
      </c>
      <c r="AM295" t="s">
        <v>78</v>
      </c>
      <c r="AN295" t="s">
        <v>795</v>
      </c>
      <c r="AO295" t="s">
        <v>119</v>
      </c>
      <c r="AP295" t="s">
        <v>46</v>
      </c>
      <c r="AQ295" t="s">
        <v>81</v>
      </c>
      <c r="AR295" t="str">
        <f t="shared" si="8"/>
        <v>60601571.STATAM</v>
      </c>
      <c r="AS295">
        <f t="shared" si="9"/>
        <v>48679286.969999976</v>
      </c>
      <c r="AT295" t="s">
        <v>82</v>
      </c>
    </row>
    <row r="296" spans="1:46" x14ac:dyDescent="0.35">
      <c r="A296" t="s">
        <v>52</v>
      </c>
      <c r="B296" t="s">
        <v>53</v>
      </c>
      <c r="C296" t="s">
        <v>54</v>
      </c>
      <c r="D296" t="s">
        <v>55</v>
      </c>
      <c r="E296" t="s">
        <v>56</v>
      </c>
      <c r="F296" t="s">
        <v>848</v>
      </c>
      <c r="G296" t="s">
        <v>950</v>
      </c>
      <c r="H296" t="s">
        <v>56</v>
      </c>
      <c r="I296" t="s">
        <v>1069</v>
      </c>
      <c r="J296" t="s">
        <v>851</v>
      </c>
      <c r="K296" t="s">
        <v>640</v>
      </c>
      <c r="L296" t="s">
        <v>56</v>
      </c>
      <c r="M296" t="s">
        <v>56</v>
      </c>
      <c r="N296" t="s">
        <v>897</v>
      </c>
      <c r="O296" t="s">
        <v>790</v>
      </c>
      <c r="P296" t="s">
        <v>791</v>
      </c>
      <c r="Q296" t="s">
        <v>853</v>
      </c>
      <c r="R296" t="s">
        <v>248</v>
      </c>
      <c r="S296">
        <v>40000000</v>
      </c>
      <c r="T296">
        <v>-345667164.70999998</v>
      </c>
      <c r="U296" t="s">
        <v>68</v>
      </c>
      <c r="V296" t="s">
        <v>792</v>
      </c>
      <c r="W296" s="9">
        <v>60601571</v>
      </c>
      <c r="X296" t="s">
        <v>1070</v>
      </c>
      <c r="Y296" s="1">
        <v>46053</v>
      </c>
      <c r="Z296" s="1">
        <v>46113</v>
      </c>
      <c r="AA296" s="2">
        <v>3601452.04</v>
      </c>
      <c r="AB296" s="2">
        <v>3052078</v>
      </c>
      <c r="AC296" s="2">
        <v>549374.04</v>
      </c>
      <c r="AD296" s="2">
        <v>3601452.04</v>
      </c>
      <c r="AE296" t="s">
        <v>1071</v>
      </c>
      <c r="AF296" t="s">
        <v>72</v>
      </c>
      <c r="AG296">
        <v>-35</v>
      </c>
      <c r="AH296" t="s">
        <v>117</v>
      </c>
      <c r="AI296" t="s">
        <v>74</v>
      </c>
      <c r="AJ296" t="s">
        <v>75</v>
      </c>
      <c r="AK296" t="s">
        <v>76</v>
      </c>
      <c r="AL296" t="s">
        <v>118</v>
      </c>
      <c r="AM296" t="s">
        <v>78</v>
      </c>
      <c r="AN296" t="s">
        <v>795</v>
      </c>
      <c r="AO296" t="s">
        <v>119</v>
      </c>
      <c r="AP296" t="s">
        <v>46</v>
      </c>
      <c r="AQ296" t="s">
        <v>81</v>
      </c>
      <c r="AR296" t="str">
        <f t="shared" si="8"/>
        <v>60601571.STATAM</v>
      </c>
      <c r="AS296">
        <f t="shared" si="9"/>
        <v>48679286.969999976</v>
      </c>
      <c r="AT296" t="s">
        <v>82</v>
      </c>
    </row>
    <row r="297" spans="1:46" x14ac:dyDescent="0.35">
      <c r="A297" t="s">
        <v>52</v>
      </c>
      <c r="B297" t="s">
        <v>53</v>
      </c>
      <c r="C297" t="s">
        <v>54</v>
      </c>
      <c r="D297" t="s">
        <v>55</v>
      </c>
      <c r="E297" t="s">
        <v>56</v>
      </c>
      <c r="F297" t="s">
        <v>848</v>
      </c>
      <c r="G297" t="s">
        <v>895</v>
      </c>
      <c r="H297" t="s">
        <v>56</v>
      </c>
      <c r="I297" t="s">
        <v>1072</v>
      </c>
      <c r="J297" t="s">
        <v>851</v>
      </c>
      <c r="K297" t="s">
        <v>640</v>
      </c>
      <c r="L297" t="s">
        <v>56</v>
      </c>
      <c r="M297" t="s">
        <v>56</v>
      </c>
      <c r="N297" t="s">
        <v>252</v>
      </c>
      <c r="O297" t="s">
        <v>790</v>
      </c>
      <c r="P297" t="s">
        <v>791</v>
      </c>
      <c r="Q297" t="s">
        <v>853</v>
      </c>
      <c r="R297" t="s">
        <v>248</v>
      </c>
      <c r="S297">
        <v>40000000</v>
      </c>
      <c r="T297">
        <v>-345667164.70999998</v>
      </c>
      <c r="U297" t="s">
        <v>68</v>
      </c>
      <c r="V297" t="s">
        <v>792</v>
      </c>
      <c r="W297" s="9">
        <v>60601571</v>
      </c>
      <c r="X297" t="s">
        <v>1073</v>
      </c>
      <c r="Y297" s="1">
        <v>46053</v>
      </c>
      <c r="Z297" s="1">
        <v>46113</v>
      </c>
      <c r="AA297" s="2">
        <v>1762.92</v>
      </c>
      <c r="AB297" s="2">
        <v>1494</v>
      </c>
      <c r="AC297" s="2">
        <v>268.92</v>
      </c>
      <c r="AD297" s="2">
        <v>1762.92</v>
      </c>
      <c r="AE297" t="s">
        <v>1074</v>
      </c>
      <c r="AF297" t="s">
        <v>72</v>
      </c>
      <c r="AG297">
        <v>-35</v>
      </c>
      <c r="AH297" t="s">
        <v>117</v>
      </c>
      <c r="AI297" t="s">
        <v>74</v>
      </c>
      <c r="AJ297" t="s">
        <v>75</v>
      </c>
      <c r="AK297" t="s">
        <v>76</v>
      </c>
      <c r="AL297" t="s">
        <v>118</v>
      </c>
      <c r="AM297" t="s">
        <v>78</v>
      </c>
      <c r="AN297" t="s">
        <v>795</v>
      </c>
      <c r="AO297" t="s">
        <v>119</v>
      </c>
      <c r="AP297" t="s">
        <v>46</v>
      </c>
      <c r="AQ297" t="s">
        <v>81</v>
      </c>
      <c r="AR297" t="str">
        <f t="shared" si="8"/>
        <v>60601571.STATAM</v>
      </c>
      <c r="AS297">
        <f t="shared" si="9"/>
        <v>48679286.969999976</v>
      </c>
      <c r="AT297" t="s">
        <v>82</v>
      </c>
    </row>
    <row r="298" spans="1:46" x14ac:dyDescent="0.35">
      <c r="A298" t="s">
        <v>52</v>
      </c>
      <c r="B298" t="s">
        <v>53</v>
      </c>
      <c r="C298" t="s">
        <v>54</v>
      </c>
      <c r="D298" t="s">
        <v>55</v>
      </c>
      <c r="E298" t="s">
        <v>56</v>
      </c>
      <c r="F298" t="s">
        <v>848</v>
      </c>
      <c r="G298" t="s">
        <v>895</v>
      </c>
      <c r="H298" t="s">
        <v>56</v>
      </c>
      <c r="I298" t="s">
        <v>1072</v>
      </c>
      <c r="J298" t="s">
        <v>851</v>
      </c>
      <c r="K298" t="s">
        <v>640</v>
      </c>
      <c r="L298" t="s">
        <v>56</v>
      </c>
      <c r="M298" t="s">
        <v>56</v>
      </c>
      <c r="N298" t="s">
        <v>897</v>
      </c>
      <c r="O298" t="s">
        <v>790</v>
      </c>
      <c r="P298" t="s">
        <v>791</v>
      </c>
      <c r="Q298" t="s">
        <v>853</v>
      </c>
      <c r="R298" t="s">
        <v>248</v>
      </c>
      <c r="S298">
        <v>40000000</v>
      </c>
      <c r="T298">
        <v>-345667164.70999998</v>
      </c>
      <c r="U298" t="s">
        <v>68</v>
      </c>
      <c r="V298" t="s">
        <v>792</v>
      </c>
      <c r="W298" s="9">
        <v>60601571</v>
      </c>
      <c r="X298" t="s">
        <v>1073</v>
      </c>
      <c r="Y298" s="1">
        <v>46053</v>
      </c>
      <c r="Z298" s="1">
        <v>46113</v>
      </c>
      <c r="AA298" s="2">
        <v>600021.74</v>
      </c>
      <c r="AB298" s="2">
        <v>508493</v>
      </c>
      <c r="AC298" s="2">
        <v>91528.74</v>
      </c>
      <c r="AD298" s="2">
        <v>600021.74</v>
      </c>
      <c r="AE298" t="s">
        <v>1075</v>
      </c>
      <c r="AF298" t="s">
        <v>72</v>
      </c>
      <c r="AG298">
        <v>-35</v>
      </c>
      <c r="AH298" t="s">
        <v>117</v>
      </c>
      <c r="AI298" t="s">
        <v>74</v>
      </c>
      <c r="AJ298" t="s">
        <v>75</v>
      </c>
      <c r="AK298" t="s">
        <v>76</v>
      </c>
      <c r="AL298" t="s">
        <v>118</v>
      </c>
      <c r="AM298" t="s">
        <v>78</v>
      </c>
      <c r="AN298" t="s">
        <v>795</v>
      </c>
      <c r="AO298" t="s">
        <v>119</v>
      </c>
      <c r="AP298" t="s">
        <v>46</v>
      </c>
      <c r="AQ298" t="s">
        <v>81</v>
      </c>
      <c r="AR298" t="str">
        <f t="shared" si="8"/>
        <v>60601571.STATAM</v>
      </c>
      <c r="AS298">
        <f t="shared" si="9"/>
        <v>48679286.969999976</v>
      </c>
      <c r="AT298" t="s">
        <v>82</v>
      </c>
    </row>
    <row r="299" spans="1:46" x14ac:dyDescent="0.35">
      <c r="A299" t="s">
        <v>52</v>
      </c>
      <c r="B299" t="s">
        <v>53</v>
      </c>
      <c r="C299" t="s">
        <v>54</v>
      </c>
      <c r="D299" t="s">
        <v>55</v>
      </c>
      <c r="E299" t="s">
        <v>56</v>
      </c>
      <c r="F299" t="s">
        <v>848</v>
      </c>
      <c r="G299" t="s">
        <v>935</v>
      </c>
      <c r="H299" t="s">
        <v>56</v>
      </c>
      <c r="I299" t="s">
        <v>1076</v>
      </c>
      <c r="J299" t="s">
        <v>851</v>
      </c>
      <c r="K299" t="s">
        <v>640</v>
      </c>
      <c r="L299" t="s">
        <v>937</v>
      </c>
      <c r="M299" t="s">
        <v>56</v>
      </c>
      <c r="N299" t="s">
        <v>923</v>
      </c>
      <c r="O299" t="s">
        <v>887</v>
      </c>
      <c r="P299" t="s">
        <v>888</v>
      </c>
      <c r="Q299" t="s">
        <v>393</v>
      </c>
      <c r="R299" t="s">
        <v>248</v>
      </c>
      <c r="S299">
        <v>40000000</v>
      </c>
      <c r="T299">
        <v>-345667164.70999998</v>
      </c>
      <c r="U299" t="s">
        <v>68</v>
      </c>
      <c r="V299" t="s">
        <v>792</v>
      </c>
      <c r="W299" s="9">
        <v>60601571</v>
      </c>
      <c r="X299" t="s">
        <v>1077</v>
      </c>
      <c r="Y299" s="1">
        <v>46053</v>
      </c>
      <c r="Z299" s="1">
        <v>46113</v>
      </c>
      <c r="AA299" s="2">
        <v>589301.43999999994</v>
      </c>
      <c r="AB299" s="2">
        <v>499408</v>
      </c>
      <c r="AC299" s="2">
        <v>89893.440000000002</v>
      </c>
      <c r="AD299" s="2">
        <v>589301.43999999994</v>
      </c>
      <c r="AE299" t="s">
        <v>1078</v>
      </c>
      <c r="AF299" t="s">
        <v>72</v>
      </c>
      <c r="AG299">
        <v>-35</v>
      </c>
      <c r="AH299" t="s">
        <v>117</v>
      </c>
      <c r="AI299" t="s">
        <v>74</v>
      </c>
      <c r="AJ299" t="s">
        <v>75</v>
      </c>
      <c r="AK299" t="s">
        <v>76</v>
      </c>
      <c r="AL299" t="s">
        <v>118</v>
      </c>
      <c r="AM299" t="s">
        <v>78</v>
      </c>
      <c r="AN299" t="s">
        <v>795</v>
      </c>
      <c r="AO299" t="s">
        <v>119</v>
      </c>
      <c r="AP299" t="s">
        <v>46</v>
      </c>
      <c r="AQ299" t="s">
        <v>81</v>
      </c>
      <c r="AR299" t="str">
        <f t="shared" si="8"/>
        <v>60601571.STATAM</v>
      </c>
      <c r="AS299">
        <f t="shared" si="9"/>
        <v>48679286.969999976</v>
      </c>
      <c r="AT299" t="s">
        <v>82</v>
      </c>
    </row>
    <row r="300" spans="1:46" x14ac:dyDescent="0.35">
      <c r="A300" t="s">
        <v>52</v>
      </c>
      <c r="B300" t="s">
        <v>53</v>
      </c>
      <c r="C300" t="s">
        <v>54</v>
      </c>
      <c r="D300" t="s">
        <v>55</v>
      </c>
      <c r="E300" t="s">
        <v>56</v>
      </c>
      <c r="F300" t="s">
        <v>848</v>
      </c>
      <c r="G300" t="s">
        <v>856</v>
      </c>
      <c r="H300" t="s">
        <v>56</v>
      </c>
      <c r="I300" t="s">
        <v>1079</v>
      </c>
      <c r="J300" t="s">
        <v>851</v>
      </c>
      <c r="K300" t="s">
        <v>640</v>
      </c>
      <c r="L300" t="s">
        <v>56</v>
      </c>
      <c r="M300" t="s">
        <v>56</v>
      </c>
      <c r="N300" t="s">
        <v>295</v>
      </c>
      <c r="O300" t="s">
        <v>790</v>
      </c>
      <c r="P300" t="s">
        <v>791</v>
      </c>
      <c r="Q300" t="s">
        <v>393</v>
      </c>
      <c r="R300" t="s">
        <v>248</v>
      </c>
      <c r="S300">
        <v>40000000</v>
      </c>
      <c r="T300">
        <v>-345667164.70999998</v>
      </c>
      <c r="U300" t="s">
        <v>68</v>
      </c>
      <c r="V300" t="s">
        <v>792</v>
      </c>
      <c r="W300" s="9">
        <v>60601571</v>
      </c>
      <c r="X300" t="s">
        <v>1080</v>
      </c>
      <c r="Y300" s="1">
        <v>46053</v>
      </c>
      <c r="Z300" s="1">
        <v>46113</v>
      </c>
      <c r="AA300" s="2">
        <v>87508.800000000003</v>
      </c>
      <c r="AB300" s="2">
        <v>74160</v>
      </c>
      <c r="AC300" s="2">
        <v>13348.8</v>
      </c>
      <c r="AD300" s="2">
        <v>87508.800000000003</v>
      </c>
      <c r="AE300" t="s">
        <v>1081</v>
      </c>
      <c r="AF300" t="s">
        <v>72</v>
      </c>
      <c r="AG300">
        <v>-35</v>
      </c>
      <c r="AH300" t="s">
        <v>117</v>
      </c>
      <c r="AI300" t="s">
        <v>74</v>
      </c>
      <c r="AJ300" t="s">
        <v>75</v>
      </c>
      <c r="AK300" t="s">
        <v>76</v>
      </c>
      <c r="AL300" t="s">
        <v>118</v>
      </c>
      <c r="AM300" t="s">
        <v>78</v>
      </c>
      <c r="AN300" t="s">
        <v>795</v>
      </c>
      <c r="AO300" t="s">
        <v>119</v>
      </c>
      <c r="AP300" t="s">
        <v>46</v>
      </c>
      <c r="AQ300" t="s">
        <v>81</v>
      </c>
      <c r="AR300" t="str">
        <f t="shared" si="8"/>
        <v>60601571.STATAM</v>
      </c>
      <c r="AS300">
        <f t="shared" si="9"/>
        <v>48679286.969999976</v>
      </c>
      <c r="AT300" t="s">
        <v>82</v>
      </c>
    </row>
    <row r="301" spans="1:46" x14ac:dyDescent="0.35">
      <c r="A301" t="s">
        <v>52</v>
      </c>
      <c r="B301" t="s">
        <v>53</v>
      </c>
      <c r="C301" t="s">
        <v>54</v>
      </c>
      <c r="D301" t="s">
        <v>55</v>
      </c>
      <c r="E301" t="s">
        <v>56</v>
      </c>
      <c r="F301" t="s">
        <v>848</v>
      </c>
      <c r="G301" t="s">
        <v>929</v>
      </c>
      <c r="H301" t="s">
        <v>56</v>
      </c>
      <c r="I301" t="s">
        <v>1082</v>
      </c>
      <c r="J301" t="s">
        <v>851</v>
      </c>
      <c r="K301" t="s">
        <v>640</v>
      </c>
      <c r="L301" t="s">
        <v>56</v>
      </c>
      <c r="M301" t="s">
        <v>56</v>
      </c>
      <c r="N301" t="s">
        <v>295</v>
      </c>
      <c r="O301" t="s">
        <v>790</v>
      </c>
      <c r="P301" t="s">
        <v>791</v>
      </c>
      <c r="Q301" t="s">
        <v>393</v>
      </c>
      <c r="R301" t="s">
        <v>248</v>
      </c>
      <c r="S301">
        <v>40000000</v>
      </c>
      <c r="T301">
        <v>-345667164.70999998</v>
      </c>
      <c r="U301" t="s">
        <v>68</v>
      </c>
      <c r="V301" t="s">
        <v>792</v>
      </c>
      <c r="W301" s="9">
        <v>60601571</v>
      </c>
      <c r="X301" t="s">
        <v>1083</v>
      </c>
      <c r="Y301" s="1">
        <v>46053</v>
      </c>
      <c r="Z301" s="1">
        <v>46113</v>
      </c>
      <c r="AA301" s="2">
        <v>540889.57999999996</v>
      </c>
      <c r="AB301" s="2">
        <v>458381</v>
      </c>
      <c r="AC301" s="2">
        <v>82508.58</v>
      </c>
      <c r="AD301" s="2">
        <v>540889.57999999996</v>
      </c>
      <c r="AE301" t="s">
        <v>1084</v>
      </c>
      <c r="AF301" t="s">
        <v>72</v>
      </c>
      <c r="AG301">
        <v>-35</v>
      </c>
      <c r="AH301" t="s">
        <v>117</v>
      </c>
      <c r="AI301" t="s">
        <v>74</v>
      </c>
      <c r="AJ301" t="s">
        <v>75</v>
      </c>
      <c r="AK301" t="s">
        <v>76</v>
      </c>
      <c r="AL301" t="s">
        <v>118</v>
      </c>
      <c r="AM301" t="s">
        <v>78</v>
      </c>
      <c r="AN301" t="s">
        <v>795</v>
      </c>
      <c r="AO301" t="s">
        <v>119</v>
      </c>
      <c r="AP301" t="s">
        <v>46</v>
      </c>
      <c r="AQ301" t="s">
        <v>81</v>
      </c>
      <c r="AR301" t="str">
        <f t="shared" si="8"/>
        <v>60601571.STATAM</v>
      </c>
      <c r="AS301">
        <f t="shared" si="9"/>
        <v>48679286.969999976</v>
      </c>
      <c r="AT301" t="s">
        <v>82</v>
      </c>
    </row>
    <row r="302" spans="1:46" x14ac:dyDescent="0.35">
      <c r="A302" t="s">
        <v>52</v>
      </c>
      <c r="B302" t="s">
        <v>53</v>
      </c>
      <c r="C302" t="s">
        <v>54</v>
      </c>
      <c r="D302" t="s">
        <v>55</v>
      </c>
      <c r="E302" t="s">
        <v>56</v>
      </c>
      <c r="F302" t="s">
        <v>848</v>
      </c>
      <c r="G302" t="s">
        <v>929</v>
      </c>
      <c r="H302" t="s">
        <v>56</v>
      </c>
      <c r="I302" t="s">
        <v>1082</v>
      </c>
      <c r="J302" t="s">
        <v>851</v>
      </c>
      <c r="K302" t="s">
        <v>640</v>
      </c>
      <c r="L302" t="s">
        <v>56</v>
      </c>
      <c r="M302" t="s">
        <v>56</v>
      </c>
      <c r="N302" t="s">
        <v>252</v>
      </c>
      <c r="O302" t="s">
        <v>790</v>
      </c>
      <c r="P302" t="s">
        <v>791</v>
      </c>
      <c r="Q302" t="s">
        <v>393</v>
      </c>
      <c r="R302" t="s">
        <v>248</v>
      </c>
      <c r="S302">
        <v>40000000</v>
      </c>
      <c r="T302">
        <v>-345667164.70999998</v>
      </c>
      <c r="U302" t="s">
        <v>68</v>
      </c>
      <c r="V302" t="s">
        <v>792</v>
      </c>
      <c r="W302" s="9">
        <v>60601571</v>
      </c>
      <c r="X302" t="s">
        <v>1083</v>
      </c>
      <c r="Y302" s="1">
        <v>46053</v>
      </c>
      <c r="Z302" s="1">
        <v>46113</v>
      </c>
      <c r="AA302" s="2">
        <v>28150.080000000002</v>
      </c>
      <c r="AB302" s="2">
        <v>23856</v>
      </c>
      <c r="AC302" s="2">
        <v>4294.08</v>
      </c>
      <c r="AD302" s="2">
        <v>28150.080000000002</v>
      </c>
      <c r="AE302" t="s">
        <v>1085</v>
      </c>
      <c r="AF302" t="s">
        <v>72</v>
      </c>
      <c r="AG302">
        <v>-35</v>
      </c>
      <c r="AH302" t="s">
        <v>117</v>
      </c>
      <c r="AI302" t="s">
        <v>74</v>
      </c>
      <c r="AJ302" t="s">
        <v>75</v>
      </c>
      <c r="AK302" t="s">
        <v>76</v>
      </c>
      <c r="AL302" t="s">
        <v>118</v>
      </c>
      <c r="AM302" t="s">
        <v>78</v>
      </c>
      <c r="AN302" t="s">
        <v>795</v>
      </c>
      <c r="AO302" t="s">
        <v>119</v>
      </c>
      <c r="AP302" t="s">
        <v>46</v>
      </c>
      <c r="AQ302" t="s">
        <v>81</v>
      </c>
      <c r="AR302" t="str">
        <f t="shared" si="8"/>
        <v>60601571.STATAM</v>
      </c>
      <c r="AS302">
        <f t="shared" si="9"/>
        <v>48679286.969999976</v>
      </c>
      <c r="AT302" t="s">
        <v>82</v>
      </c>
    </row>
    <row r="303" spans="1:46" x14ac:dyDescent="0.35">
      <c r="A303" t="s">
        <v>52</v>
      </c>
      <c r="B303" t="s">
        <v>53</v>
      </c>
      <c r="C303" t="s">
        <v>54</v>
      </c>
      <c r="D303" t="s">
        <v>55</v>
      </c>
      <c r="E303" t="s">
        <v>56</v>
      </c>
      <c r="F303" t="s">
        <v>848</v>
      </c>
      <c r="G303" t="s">
        <v>929</v>
      </c>
      <c r="H303" t="s">
        <v>56</v>
      </c>
      <c r="I303" t="s">
        <v>1082</v>
      </c>
      <c r="J303" t="s">
        <v>851</v>
      </c>
      <c r="K303" t="s">
        <v>640</v>
      </c>
      <c r="L303" t="s">
        <v>56</v>
      </c>
      <c r="M303" t="s">
        <v>56</v>
      </c>
      <c r="N303" t="s">
        <v>655</v>
      </c>
      <c r="O303" t="s">
        <v>790</v>
      </c>
      <c r="P303" t="s">
        <v>791</v>
      </c>
      <c r="Q303" t="s">
        <v>393</v>
      </c>
      <c r="R303" t="s">
        <v>248</v>
      </c>
      <c r="S303">
        <v>40000000</v>
      </c>
      <c r="T303">
        <v>-345667164.70999998</v>
      </c>
      <c r="U303" t="s">
        <v>68</v>
      </c>
      <c r="V303" t="s">
        <v>792</v>
      </c>
      <c r="W303" s="9">
        <v>60601571</v>
      </c>
      <c r="X303" t="s">
        <v>1083</v>
      </c>
      <c r="Y303" s="1">
        <v>46053</v>
      </c>
      <c r="Z303" s="1">
        <v>46113</v>
      </c>
      <c r="AA303" s="2">
        <v>145694.6</v>
      </c>
      <c r="AB303" s="2">
        <v>123470</v>
      </c>
      <c r="AC303" s="2">
        <v>22224.6</v>
      </c>
      <c r="AD303" s="2">
        <v>145694.6</v>
      </c>
      <c r="AE303" t="s">
        <v>1086</v>
      </c>
      <c r="AF303" t="s">
        <v>72</v>
      </c>
      <c r="AG303">
        <v>-35</v>
      </c>
      <c r="AH303" t="s">
        <v>117</v>
      </c>
      <c r="AI303" t="s">
        <v>74</v>
      </c>
      <c r="AJ303" t="s">
        <v>75</v>
      </c>
      <c r="AK303" t="s">
        <v>76</v>
      </c>
      <c r="AL303" t="s">
        <v>118</v>
      </c>
      <c r="AM303" t="s">
        <v>78</v>
      </c>
      <c r="AN303" t="s">
        <v>795</v>
      </c>
      <c r="AO303" t="s">
        <v>119</v>
      </c>
      <c r="AP303" t="s">
        <v>46</v>
      </c>
      <c r="AQ303" t="s">
        <v>81</v>
      </c>
      <c r="AR303" t="str">
        <f t="shared" si="8"/>
        <v>60601571.STATAM</v>
      </c>
      <c r="AS303">
        <f t="shared" si="9"/>
        <v>48679286.969999976</v>
      </c>
      <c r="AT303" t="s">
        <v>82</v>
      </c>
    </row>
    <row r="304" spans="1:46" x14ac:dyDescent="0.35">
      <c r="A304" t="s">
        <v>52</v>
      </c>
      <c r="B304" t="s">
        <v>53</v>
      </c>
      <c r="C304" t="s">
        <v>54</v>
      </c>
      <c r="D304" t="s">
        <v>55</v>
      </c>
      <c r="E304" t="s">
        <v>56</v>
      </c>
      <c r="F304" t="s">
        <v>848</v>
      </c>
      <c r="G304" t="s">
        <v>1087</v>
      </c>
      <c r="H304" t="s">
        <v>56</v>
      </c>
      <c r="I304" t="s">
        <v>1088</v>
      </c>
      <c r="J304" t="s">
        <v>851</v>
      </c>
      <c r="K304" t="s">
        <v>640</v>
      </c>
      <c r="L304" t="s">
        <v>56</v>
      </c>
      <c r="M304" t="s">
        <v>56</v>
      </c>
      <c r="N304" t="s">
        <v>295</v>
      </c>
      <c r="O304" t="s">
        <v>790</v>
      </c>
      <c r="P304" t="s">
        <v>791</v>
      </c>
      <c r="Q304" t="s">
        <v>393</v>
      </c>
      <c r="R304" t="s">
        <v>248</v>
      </c>
      <c r="S304">
        <v>40000000</v>
      </c>
      <c r="T304">
        <v>-345667164.70999998</v>
      </c>
      <c r="U304" t="s">
        <v>68</v>
      </c>
      <c r="V304" t="s">
        <v>792</v>
      </c>
      <c r="W304" s="9">
        <v>60601571</v>
      </c>
      <c r="X304" t="s">
        <v>1089</v>
      </c>
      <c r="Y304" s="1">
        <v>46053</v>
      </c>
      <c r="Z304" s="1">
        <v>46113</v>
      </c>
      <c r="AA304" s="2">
        <v>61218.400000000001</v>
      </c>
      <c r="AB304" s="2">
        <v>51880</v>
      </c>
      <c r="AC304" s="2">
        <v>9338.4</v>
      </c>
      <c r="AD304" s="2">
        <v>61218.400000000001</v>
      </c>
      <c r="AE304" t="s">
        <v>1090</v>
      </c>
      <c r="AF304" t="s">
        <v>72</v>
      </c>
      <c r="AG304">
        <v>-35</v>
      </c>
      <c r="AH304" t="s">
        <v>117</v>
      </c>
      <c r="AI304" t="s">
        <v>74</v>
      </c>
      <c r="AJ304" t="s">
        <v>75</v>
      </c>
      <c r="AK304" t="s">
        <v>76</v>
      </c>
      <c r="AL304" t="s">
        <v>118</v>
      </c>
      <c r="AM304" t="s">
        <v>78</v>
      </c>
      <c r="AN304" t="s">
        <v>795</v>
      </c>
      <c r="AO304" t="s">
        <v>119</v>
      </c>
      <c r="AP304" t="s">
        <v>46</v>
      </c>
      <c r="AQ304" t="s">
        <v>81</v>
      </c>
      <c r="AR304" t="str">
        <f t="shared" si="8"/>
        <v>60601571.STATAM</v>
      </c>
      <c r="AS304">
        <f t="shared" si="9"/>
        <v>48679286.969999976</v>
      </c>
      <c r="AT304" t="s">
        <v>82</v>
      </c>
    </row>
    <row r="305" spans="1:46" x14ac:dyDescent="0.35">
      <c r="A305" t="s">
        <v>52</v>
      </c>
      <c r="B305" t="s">
        <v>53</v>
      </c>
      <c r="C305" t="s">
        <v>54</v>
      </c>
      <c r="D305" t="s">
        <v>55</v>
      </c>
      <c r="E305" t="s">
        <v>56</v>
      </c>
      <c r="F305" t="s">
        <v>848</v>
      </c>
      <c r="G305" t="s">
        <v>1016</v>
      </c>
      <c r="H305" t="s">
        <v>56</v>
      </c>
      <c r="I305" t="s">
        <v>1091</v>
      </c>
      <c r="J305" t="s">
        <v>851</v>
      </c>
      <c r="K305" t="s">
        <v>640</v>
      </c>
      <c r="L305" t="s">
        <v>56</v>
      </c>
      <c r="M305" t="s">
        <v>56</v>
      </c>
      <c r="N305" t="s">
        <v>295</v>
      </c>
      <c r="O305" t="s">
        <v>790</v>
      </c>
      <c r="P305" t="s">
        <v>791</v>
      </c>
      <c r="Q305" t="s">
        <v>393</v>
      </c>
      <c r="R305" t="s">
        <v>248</v>
      </c>
      <c r="S305">
        <v>40000000</v>
      </c>
      <c r="T305">
        <v>-345667164.70999998</v>
      </c>
      <c r="U305" t="s">
        <v>68</v>
      </c>
      <c r="V305" t="s">
        <v>792</v>
      </c>
      <c r="W305" s="9">
        <v>60601571</v>
      </c>
      <c r="X305" t="s">
        <v>1092</v>
      </c>
      <c r="Y305" s="1">
        <v>46053</v>
      </c>
      <c r="Z305" s="1">
        <v>46113</v>
      </c>
      <c r="AA305" s="2">
        <v>4602</v>
      </c>
      <c r="AB305" s="2">
        <v>3900</v>
      </c>
      <c r="AC305" s="2">
        <v>702</v>
      </c>
      <c r="AD305" s="2">
        <v>4602</v>
      </c>
      <c r="AE305" t="s">
        <v>1093</v>
      </c>
      <c r="AF305" t="s">
        <v>72</v>
      </c>
      <c r="AG305">
        <v>-35</v>
      </c>
      <c r="AH305" t="s">
        <v>117</v>
      </c>
      <c r="AI305" t="s">
        <v>74</v>
      </c>
      <c r="AJ305" t="s">
        <v>75</v>
      </c>
      <c r="AK305" t="s">
        <v>76</v>
      </c>
      <c r="AL305" t="s">
        <v>118</v>
      </c>
      <c r="AM305" t="s">
        <v>78</v>
      </c>
      <c r="AN305" t="s">
        <v>795</v>
      </c>
      <c r="AO305" t="s">
        <v>119</v>
      </c>
      <c r="AP305" t="s">
        <v>46</v>
      </c>
      <c r="AQ305" t="s">
        <v>81</v>
      </c>
      <c r="AR305" t="str">
        <f t="shared" si="8"/>
        <v>60601571.STATAM</v>
      </c>
      <c r="AS305">
        <f t="shared" si="9"/>
        <v>48679286.969999976</v>
      </c>
      <c r="AT305" t="s">
        <v>82</v>
      </c>
    </row>
    <row r="306" spans="1:46" x14ac:dyDescent="0.35">
      <c r="A306" t="s">
        <v>52</v>
      </c>
      <c r="B306" t="s">
        <v>53</v>
      </c>
      <c r="C306" t="s">
        <v>54</v>
      </c>
      <c r="D306" t="s">
        <v>55</v>
      </c>
      <c r="E306" t="s">
        <v>56</v>
      </c>
      <c r="F306" t="s">
        <v>848</v>
      </c>
      <c r="G306" t="s">
        <v>1094</v>
      </c>
      <c r="H306" t="s">
        <v>56</v>
      </c>
      <c r="I306" t="s">
        <v>1095</v>
      </c>
      <c r="J306" t="s">
        <v>56</v>
      </c>
      <c r="K306" t="s">
        <v>640</v>
      </c>
      <c r="L306" t="s">
        <v>56</v>
      </c>
      <c r="M306" t="s">
        <v>56</v>
      </c>
      <c r="N306" t="s">
        <v>261</v>
      </c>
      <c r="O306" t="s">
        <v>974</v>
      </c>
      <c r="P306" t="s">
        <v>975</v>
      </c>
      <c r="Q306" t="s">
        <v>976</v>
      </c>
      <c r="R306" t="s">
        <v>248</v>
      </c>
      <c r="S306">
        <v>40000000</v>
      </c>
      <c r="T306">
        <v>-345667164.70999998</v>
      </c>
      <c r="U306" t="s">
        <v>68</v>
      </c>
      <c r="V306" t="s">
        <v>792</v>
      </c>
      <c r="W306" s="9">
        <v>60601571</v>
      </c>
      <c r="X306" t="s">
        <v>1096</v>
      </c>
      <c r="Y306" s="1">
        <v>46065</v>
      </c>
      <c r="Z306" s="1">
        <v>46125</v>
      </c>
      <c r="AA306" s="2">
        <v>115897.69</v>
      </c>
      <c r="AB306" s="2">
        <v>98218.38</v>
      </c>
      <c r="AC306" s="2">
        <v>17679.310000000001</v>
      </c>
      <c r="AD306" s="2">
        <v>115897.69</v>
      </c>
      <c r="AE306" t="s">
        <v>1097</v>
      </c>
      <c r="AF306" t="s">
        <v>72</v>
      </c>
      <c r="AG306">
        <v>-47</v>
      </c>
      <c r="AH306" t="s">
        <v>117</v>
      </c>
      <c r="AI306" t="s">
        <v>74</v>
      </c>
      <c r="AJ306" t="s">
        <v>75</v>
      </c>
      <c r="AK306" t="s">
        <v>76</v>
      </c>
      <c r="AL306" t="s">
        <v>118</v>
      </c>
      <c r="AM306" t="s">
        <v>78</v>
      </c>
      <c r="AN306" t="s">
        <v>979</v>
      </c>
      <c r="AO306" t="s">
        <v>119</v>
      </c>
      <c r="AP306" t="s">
        <v>46</v>
      </c>
      <c r="AQ306" t="s">
        <v>81</v>
      </c>
      <c r="AR306" t="str">
        <f t="shared" si="8"/>
        <v>60601571.STATAM</v>
      </c>
      <c r="AS306">
        <f t="shared" si="9"/>
        <v>48679286.969999976</v>
      </c>
      <c r="AT306" t="s">
        <v>82</v>
      </c>
    </row>
    <row r="307" spans="1:46" x14ac:dyDescent="0.35">
      <c r="A307" t="s">
        <v>52</v>
      </c>
      <c r="B307" t="s">
        <v>53</v>
      </c>
      <c r="C307" t="s">
        <v>54</v>
      </c>
      <c r="D307" t="s">
        <v>55</v>
      </c>
      <c r="E307" t="s">
        <v>56</v>
      </c>
      <c r="F307" t="s">
        <v>848</v>
      </c>
      <c r="G307" t="s">
        <v>1098</v>
      </c>
      <c r="H307" t="s">
        <v>56</v>
      </c>
      <c r="I307" t="s">
        <v>1099</v>
      </c>
      <c r="J307" t="s">
        <v>56</v>
      </c>
      <c r="K307" t="s">
        <v>640</v>
      </c>
      <c r="L307" t="s">
        <v>56</v>
      </c>
      <c r="M307" t="s">
        <v>56</v>
      </c>
      <c r="N307" t="s">
        <v>252</v>
      </c>
      <c r="O307" t="s">
        <v>974</v>
      </c>
      <c r="P307" t="s">
        <v>975</v>
      </c>
      <c r="Q307" t="s">
        <v>976</v>
      </c>
      <c r="R307" t="s">
        <v>248</v>
      </c>
      <c r="S307">
        <v>40000000</v>
      </c>
      <c r="T307">
        <v>-345667164.70999998</v>
      </c>
      <c r="U307" t="s">
        <v>68</v>
      </c>
      <c r="V307" t="s">
        <v>792</v>
      </c>
      <c r="W307" s="9">
        <v>60601571</v>
      </c>
      <c r="X307" t="s">
        <v>1100</v>
      </c>
      <c r="Y307" s="1">
        <v>46065</v>
      </c>
      <c r="Z307" s="1">
        <v>46125</v>
      </c>
      <c r="AA307" s="2">
        <v>1168506.71</v>
      </c>
      <c r="AB307" s="2">
        <v>990259.92</v>
      </c>
      <c r="AC307" s="2">
        <v>178246.79</v>
      </c>
      <c r="AD307" s="2">
        <v>1168506.71</v>
      </c>
      <c r="AE307" t="s">
        <v>1101</v>
      </c>
      <c r="AF307" t="s">
        <v>72</v>
      </c>
      <c r="AG307">
        <v>-47</v>
      </c>
      <c r="AH307" t="s">
        <v>117</v>
      </c>
      <c r="AI307" t="s">
        <v>74</v>
      </c>
      <c r="AJ307" t="s">
        <v>75</v>
      </c>
      <c r="AK307" t="s">
        <v>76</v>
      </c>
      <c r="AL307" t="s">
        <v>118</v>
      </c>
      <c r="AM307" t="s">
        <v>78</v>
      </c>
      <c r="AN307" t="s">
        <v>979</v>
      </c>
      <c r="AO307" t="s">
        <v>119</v>
      </c>
      <c r="AP307" t="s">
        <v>46</v>
      </c>
      <c r="AQ307" t="s">
        <v>81</v>
      </c>
      <c r="AR307" t="str">
        <f t="shared" si="8"/>
        <v>60601571.STATAM</v>
      </c>
      <c r="AS307">
        <f t="shared" si="9"/>
        <v>48679286.969999976</v>
      </c>
      <c r="AT307" t="s">
        <v>82</v>
      </c>
    </row>
    <row r="308" spans="1:46" x14ac:dyDescent="0.35">
      <c r="A308" t="s">
        <v>52</v>
      </c>
      <c r="B308" t="s">
        <v>53</v>
      </c>
      <c r="C308" t="s">
        <v>54</v>
      </c>
      <c r="D308" t="s">
        <v>55</v>
      </c>
      <c r="E308" t="s">
        <v>56</v>
      </c>
      <c r="F308" t="s">
        <v>848</v>
      </c>
      <c r="G308" t="s">
        <v>1102</v>
      </c>
      <c r="H308" t="s">
        <v>56</v>
      </c>
      <c r="I308" t="s">
        <v>1103</v>
      </c>
      <c r="J308" t="s">
        <v>61</v>
      </c>
      <c r="K308" t="s">
        <v>640</v>
      </c>
      <c r="L308" t="s">
        <v>56</v>
      </c>
      <c r="M308" t="s">
        <v>56</v>
      </c>
      <c r="N308" t="s">
        <v>254</v>
      </c>
      <c r="O308" t="s">
        <v>887</v>
      </c>
      <c r="P308" t="s">
        <v>888</v>
      </c>
      <c r="Q308" t="s">
        <v>984</v>
      </c>
      <c r="R308" t="s">
        <v>248</v>
      </c>
      <c r="S308">
        <v>40000000</v>
      </c>
      <c r="T308">
        <v>-345667164.70999998</v>
      </c>
      <c r="U308" t="s">
        <v>68</v>
      </c>
      <c r="V308" t="s">
        <v>792</v>
      </c>
      <c r="W308" s="9">
        <v>60601571</v>
      </c>
      <c r="X308" t="s">
        <v>1104</v>
      </c>
      <c r="Y308" s="1">
        <v>46065</v>
      </c>
      <c r="Z308" s="1">
        <v>46125</v>
      </c>
      <c r="AA308" s="2">
        <v>362750.88</v>
      </c>
      <c r="AB308" s="2">
        <v>307416</v>
      </c>
      <c r="AC308" s="2">
        <v>55334.879999999997</v>
      </c>
      <c r="AD308" s="2">
        <v>362750.88</v>
      </c>
      <c r="AE308" t="s">
        <v>1105</v>
      </c>
      <c r="AF308" t="s">
        <v>72</v>
      </c>
      <c r="AG308">
        <v>-47</v>
      </c>
      <c r="AH308" t="s">
        <v>117</v>
      </c>
      <c r="AI308" t="s">
        <v>74</v>
      </c>
      <c r="AJ308" t="s">
        <v>75</v>
      </c>
      <c r="AK308" t="s">
        <v>76</v>
      </c>
      <c r="AL308" t="s">
        <v>118</v>
      </c>
      <c r="AM308" t="s">
        <v>78</v>
      </c>
      <c r="AN308" t="s">
        <v>795</v>
      </c>
      <c r="AO308" t="s">
        <v>119</v>
      </c>
      <c r="AP308" t="s">
        <v>46</v>
      </c>
      <c r="AQ308" t="s">
        <v>81</v>
      </c>
      <c r="AR308" t="str">
        <f t="shared" si="8"/>
        <v>60601571.STATAM</v>
      </c>
      <c r="AS308">
        <f t="shared" si="9"/>
        <v>48679286.969999976</v>
      </c>
      <c r="AT308" t="s">
        <v>82</v>
      </c>
    </row>
    <row r="309" spans="1:46" x14ac:dyDescent="0.35">
      <c r="A309" t="s">
        <v>52</v>
      </c>
      <c r="B309" t="s">
        <v>53</v>
      </c>
      <c r="C309" t="s">
        <v>54</v>
      </c>
      <c r="D309" t="s">
        <v>55</v>
      </c>
      <c r="E309" t="s">
        <v>56</v>
      </c>
      <c r="F309" t="s">
        <v>848</v>
      </c>
      <c r="G309" t="s">
        <v>972</v>
      </c>
      <c r="H309" t="s">
        <v>56</v>
      </c>
      <c r="I309" t="s">
        <v>1106</v>
      </c>
      <c r="J309" t="s">
        <v>56</v>
      </c>
      <c r="K309" t="s">
        <v>640</v>
      </c>
      <c r="L309" t="s">
        <v>56</v>
      </c>
      <c r="M309" t="s">
        <v>56</v>
      </c>
      <c r="N309" t="s">
        <v>252</v>
      </c>
      <c r="O309" t="s">
        <v>974</v>
      </c>
      <c r="P309" t="s">
        <v>975</v>
      </c>
      <c r="Q309" t="s">
        <v>976</v>
      </c>
      <c r="R309" t="s">
        <v>248</v>
      </c>
      <c r="S309">
        <v>40000000</v>
      </c>
      <c r="T309">
        <v>-345667164.70999998</v>
      </c>
      <c r="U309" t="s">
        <v>68</v>
      </c>
      <c r="V309" t="s">
        <v>792</v>
      </c>
      <c r="W309" s="9">
        <v>60601571</v>
      </c>
      <c r="X309" t="s">
        <v>1107</v>
      </c>
      <c r="Y309" s="1">
        <v>46067</v>
      </c>
      <c r="Z309" s="1">
        <v>46127</v>
      </c>
      <c r="AA309" s="2">
        <v>29145.39</v>
      </c>
      <c r="AB309" s="2">
        <v>24699.48</v>
      </c>
      <c r="AC309" s="2">
        <v>4445.91</v>
      </c>
      <c r="AD309" s="2">
        <v>29145.39</v>
      </c>
      <c r="AE309" t="s">
        <v>1108</v>
      </c>
      <c r="AF309" t="s">
        <v>72</v>
      </c>
      <c r="AG309">
        <v>-49</v>
      </c>
      <c r="AH309" t="s">
        <v>117</v>
      </c>
      <c r="AI309" t="s">
        <v>74</v>
      </c>
      <c r="AJ309" t="s">
        <v>75</v>
      </c>
      <c r="AK309" t="s">
        <v>76</v>
      </c>
      <c r="AL309" t="s">
        <v>118</v>
      </c>
      <c r="AM309" t="s">
        <v>78</v>
      </c>
      <c r="AN309" t="s">
        <v>979</v>
      </c>
      <c r="AO309" t="s">
        <v>119</v>
      </c>
      <c r="AP309" t="s">
        <v>46</v>
      </c>
      <c r="AQ309" t="s">
        <v>81</v>
      </c>
      <c r="AR309" t="str">
        <f t="shared" si="8"/>
        <v>60601571.STATAM</v>
      </c>
      <c r="AS309">
        <f t="shared" si="9"/>
        <v>48679286.969999976</v>
      </c>
      <c r="AT309" t="s">
        <v>82</v>
      </c>
    </row>
    <row r="310" spans="1:46" x14ac:dyDescent="0.35">
      <c r="A310" t="s">
        <v>52</v>
      </c>
      <c r="B310" t="s">
        <v>53</v>
      </c>
      <c r="C310" t="s">
        <v>54</v>
      </c>
      <c r="D310" t="s">
        <v>55</v>
      </c>
      <c r="E310" t="s">
        <v>56</v>
      </c>
      <c r="F310" t="s">
        <v>848</v>
      </c>
      <c r="G310" t="s">
        <v>1109</v>
      </c>
      <c r="H310" t="s">
        <v>56</v>
      </c>
      <c r="I310" t="s">
        <v>1110</v>
      </c>
      <c r="J310" t="s">
        <v>851</v>
      </c>
      <c r="K310" t="s">
        <v>640</v>
      </c>
      <c r="L310" t="s">
        <v>56</v>
      </c>
      <c r="M310" t="s">
        <v>56</v>
      </c>
      <c r="N310" t="s">
        <v>680</v>
      </c>
      <c r="O310" t="s">
        <v>887</v>
      </c>
      <c r="P310" t="s">
        <v>888</v>
      </c>
      <c r="Q310" t="s">
        <v>965</v>
      </c>
      <c r="R310" t="s">
        <v>248</v>
      </c>
      <c r="S310">
        <v>40000000</v>
      </c>
      <c r="T310">
        <v>-345667164.70999998</v>
      </c>
      <c r="U310" t="s">
        <v>68</v>
      </c>
      <c r="V310" t="s">
        <v>792</v>
      </c>
      <c r="W310" s="9">
        <v>60601571</v>
      </c>
      <c r="X310" t="s">
        <v>1111</v>
      </c>
      <c r="Y310" s="1">
        <v>46072</v>
      </c>
      <c r="Z310" s="1">
        <v>46132</v>
      </c>
      <c r="AA310" s="2">
        <v>20325.740000000002</v>
      </c>
      <c r="AB310" s="2">
        <v>17225.2</v>
      </c>
      <c r="AC310" s="2">
        <v>3100.54</v>
      </c>
      <c r="AD310" s="2">
        <v>20325.740000000002</v>
      </c>
      <c r="AE310" t="s">
        <v>1112</v>
      </c>
      <c r="AF310" t="s">
        <v>72</v>
      </c>
      <c r="AG310">
        <v>-54</v>
      </c>
      <c r="AH310" t="s">
        <v>117</v>
      </c>
      <c r="AI310" t="s">
        <v>74</v>
      </c>
      <c r="AJ310" t="s">
        <v>127</v>
      </c>
      <c r="AK310" t="s">
        <v>334</v>
      </c>
      <c r="AL310" t="s">
        <v>118</v>
      </c>
      <c r="AM310" t="s">
        <v>78</v>
      </c>
      <c r="AN310" t="s">
        <v>795</v>
      </c>
      <c r="AO310" t="s">
        <v>119</v>
      </c>
      <c r="AP310" t="s">
        <v>46</v>
      </c>
      <c r="AQ310" t="s">
        <v>335</v>
      </c>
      <c r="AR310" t="str">
        <f t="shared" si="8"/>
        <v>60601571.SPMINAM</v>
      </c>
      <c r="AS310">
        <f t="shared" si="9"/>
        <v>1752670.26</v>
      </c>
      <c r="AT310" t="s">
        <v>82</v>
      </c>
    </row>
    <row r="311" spans="1:46" x14ac:dyDescent="0.35">
      <c r="A311" t="s">
        <v>52</v>
      </c>
      <c r="B311" t="s">
        <v>53</v>
      </c>
      <c r="C311" t="s">
        <v>54</v>
      </c>
      <c r="D311" t="s">
        <v>55</v>
      </c>
      <c r="E311" t="s">
        <v>56</v>
      </c>
      <c r="F311" t="s">
        <v>848</v>
      </c>
      <c r="G311" t="s">
        <v>1109</v>
      </c>
      <c r="H311" t="s">
        <v>56</v>
      </c>
      <c r="I311" t="s">
        <v>1110</v>
      </c>
      <c r="J311" t="s">
        <v>851</v>
      </c>
      <c r="K311" t="s">
        <v>640</v>
      </c>
      <c r="L311" t="s">
        <v>56</v>
      </c>
      <c r="M311" t="s">
        <v>56</v>
      </c>
      <c r="N311" t="s">
        <v>252</v>
      </c>
      <c r="O311" t="s">
        <v>887</v>
      </c>
      <c r="P311" t="s">
        <v>888</v>
      </c>
      <c r="Q311" t="s">
        <v>965</v>
      </c>
      <c r="R311" t="s">
        <v>248</v>
      </c>
      <c r="S311">
        <v>40000000</v>
      </c>
      <c r="T311">
        <v>-345667164.70999998</v>
      </c>
      <c r="U311" t="s">
        <v>68</v>
      </c>
      <c r="V311" t="s">
        <v>792</v>
      </c>
      <c r="W311" s="9">
        <v>60601571</v>
      </c>
      <c r="X311" t="s">
        <v>1111</v>
      </c>
      <c r="Y311" s="1">
        <v>46072</v>
      </c>
      <c r="Z311" s="1">
        <v>46132</v>
      </c>
      <c r="AA311" s="2">
        <v>49960.06</v>
      </c>
      <c r="AB311" s="2">
        <v>42339.040000000001</v>
      </c>
      <c r="AC311" s="2">
        <v>7621.02</v>
      </c>
      <c r="AD311" s="2">
        <v>49960.06</v>
      </c>
      <c r="AE311" t="s">
        <v>1113</v>
      </c>
      <c r="AF311" t="s">
        <v>72</v>
      </c>
      <c r="AG311">
        <v>-54</v>
      </c>
      <c r="AH311" t="s">
        <v>117</v>
      </c>
      <c r="AI311" t="s">
        <v>74</v>
      </c>
      <c r="AJ311" t="s">
        <v>75</v>
      </c>
      <c r="AK311" t="s">
        <v>76</v>
      </c>
      <c r="AL311" t="s">
        <v>118</v>
      </c>
      <c r="AM311" t="s">
        <v>78</v>
      </c>
      <c r="AN311" t="s">
        <v>795</v>
      </c>
      <c r="AO311" t="s">
        <v>119</v>
      </c>
      <c r="AP311" t="s">
        <v>46</v>
      </c>
      <c r="AQ311" t="s">
        <v>81</v>
      </c>
      <c r="AR311" t="str">
        <f t="shared" si="8"/>
        <v>60601571.STATAM</v>
      </c>
      <c r="AS311">
        <f t="shared" si="9"/>
        <v>48679286.969999976</v>
      </c>
      <c r="AT311" t="s">
        <v>82</v>
      </c>
    </row>
    <row r="312" spans="1:46" x14ac:dyDescent="0.35">
      <c r="A312" t="s">
        <v>52</v>
      </c>
      <c r="B312" t="s">
        <v>53</v>
      </c>
      <c r="C312" t="s">
        <v>54</v>
      </c>
      <c r="D312" t="s">
        <v>55</v>
      </c>
      <c r="E312" t="s">
        <v>56</v>
      </c>
      <c r="F312" t="s">
        <v>848</v>
      </c>
      <c r="G312" t="s">
        <v>1114</v>
      </c>
      <c r="H312" t="s">
        <v>56</v>
      </c>
      <c r="I312" t="s">
        <v>1115</v>
      </c>
      <c r="J312" t="s">
        <v>56</v>
      </c>
      <c r="K312" t="s">
        <v>640</v>
      </c>
      <c r="L312" t="s">
        <v>56</v>
      </c>
      <c r="M312" t="s">
        <v>56</v>
      </c>
      <c r="N312" t="s">
        <v>1116</v>
      </c>
      <c r="O312" t="s">
        <v>974</v>
      </c>
      <c r="P312" t="s">
        <v>975</v>
      </c>
      <c r="Q312" t="s">
        <v>976</v>
      </c>
      <c r="R312" t="s">
        <v>248</v>
      </c>
      <c r="S312">
        <v>40000000</v>
      </c>
      <c r="T312">
        <v>-345667164.70999998</v>
      </c>
      <c r="U312" t="s">
        <v>68</v>
      </c>
      <c r="V312" t="s">
        <v>792</v>
      </c>
      <c r="W312" s="9">
        <v>60601571</v>
      </c>
      <c r="X312" t="s">
        <v>1117</v>
      </c>
      <c r="Y312" s="1">
        <v>46072</v>
      </c>
      <c r="Z312" s="1">
        <v>46132</v>
      </c>
      <c r="AA312" s="2">
        <v>1597587.84</v>
      </c>
      <c r="AB312" s="2">
        <v>1353888</v>
      </c>
      <c r="AC312" s="2">
        <v>243699.84</v>
      </c>
      <c r="AD312" s="2">
        <v>1597587.84</v>
      </c>
      <c r="AE312" t="s">
        <v>1118</v>
      </c>
      <c r="AF312" t="s">
        <v>72</v>
      </c>
      <c r="AG312">
        <v>-54</v>
      </c>
      <c r="AH312" t="s">
        <v>117</v>
      </c>
      <c r="AI312" t="s">
        <v>74</v>
      </c>
      <c r="AJ312" t="s">
        <v>127</v>
      </c>
      <c r="AK312" t="s">
        <v>334</v>
      </c>
      <c r="AL312" t="s">
        <v>118</v>
      </c>
      <c r="AM312" t="s">
        <v>78</v>
      </c>
      <c r="AN312" t="s">
        <v>979</v>
      </c>
      <c r="AO312" t="s">
        <v>119</v>
      </c>
      <c r="AP312" t="s">
        <v>46</v>
      </c>
      <c r="AQ312" t="s">
        <v>335</v>
      </c>
      <c r="AR312" t="str">
        <f t="shared" si="8"/>
        <v>60601571.SPMINAM</v>
      </c>
      <c r="AS312">
        <f t="shared" si="9"/>
        <v>1752670.26</v>
      </c>
      <c r="AT312" t="s">
        <v>82</v>
      </c>
    </row>
    <row r="313" spans="1:46" x14ac:dyDescent="0.35">
      <c r="A313" t="s">
        <v>52</v>
      </c>
      <c r="B313" t="s">
        <v>53</v>
      </c>
      <c r="C313" t="s">
        <v>54</v>
      </c>
      <c r="D313" t="s">
        <v>55</v>
      </c>
      <c r="E313" t="s">
        <v>56</v>
      </c>
      <c r="F313" t="s">
        <v>1119</v>
      </c>
      <c r="G313" t="s">
        <v>1120</v>
      </c>
      <c r="H313" t="s">
        <v>56</v>
      </c>
      <c r="I313" t="s">
        <v>1121</v>
      </c>
      <c r="J313" t="s">
        <v>56</v>
      </c>
      <c r="K313" t="s">
        <v>62</v>
      </c>
      <c r="L313" t="s">
        <v>56</v>
      </c>
      <c r="M313" t="s">
        <v>56</v>
      </c>
      <c r="N313" t="s">
        <v>261</v>
      </c>
      <c r="O313" t="s">
        <v>1122</v>
      </c>
      <c r="P313" t="s">
        <v>1123</v>
      </c>
      <c r="Q313" t="s">
        <v>114</v>
      </c>
      <c r="R313" t="s">
        <v>67</v>
      </c>
      <c r="S313">
        <v>300000</v>
      </c>
      <c r="T313">
        <v>-2697105.97</v>
      </c>
      <c r="U313" t="s">
        <v>68</v>
      </c>
      <c r="V313" t="s">
        <v>1124</v>
      </c>
      <c r="W313" s="9">
        <v>60604169</v>
      </c>
      <c r="X313" t="s">
        <v>1125</v>
      </c>
      <c r="Y313" s="1">
        <v>46030</v>
      </c>
      <c r="Z313" s="1">
        <v>46060</v>
      </c>
      <c r="AA313" s="2">
        <v>857559.84</v>
      </c>
      <c r="AB313" s="2">
        <v>726745.62</v>
      </c>
      <c r="AC313" s="2">
        <v>130814.22</v>
      </c>
      <c r="AD313" s="2">
        <v>698.61</v>
      </c>
      <c r="AE313" t="s">
        <v>1126</v>
      </c>
      <c r="AF313" t="s">
        <v>72</v>
      </c>
      <c r="AG313">
        <v>18</v>
      </c>
      <c r="AH313" t="s">
        <v>73</v>
      </c>
      <c r="AI313" t="s">
        <v>74</v>
      </c>
      <c r="AJ313" t="s">
        <v>75</v>
      </c>
      <c r="AK313" t="s">
        <v>76</v>
      </c>
      <c r="AL313" t="s">
        <v>77</v>
      </c>
      <c r="AM313" t="s">
        <v>78</v>
      </c>
      <c r="AN313" t="s">
        <v>795</v>
      </c>
      <c r="AO313" t="s">
        <v>80</v>
      </c>
      <c r="AP313" t="e">
        <v>#N/A</v>
      </c>
      <c r="AQ313" t="s">
        <v>81</v>
      </c>
      <c r="AR313" t="str">
        <f t="shared" si="8"/>
        <v>60604169.STATAM</v>
      </c>
      <c r="AS313">
        <f t="shared" si="9"/>
        <v>2477.36</v>
      </c>
      <c r="AT313" t="s">
        <v>82</v>
      </c>
    </row>
    <row r="314" spans="1:46" x14ac:dyDescent="0.35">
      <c r="A314" t="s">
        <v>52</v>
      </c>
      <c r="B314" t="s">
        <v>53</v>
      </c>
      <c r="C314" t="s">
        <v>54</v>
      </c>
      <c r="D314" t="s">
        <v>55</v>
      </c>
      <c r="E314" t="s">
        <v>56</v>
      </c>
      <c r="F314" t="s">
        <v>1119</v>
      </c>
      <c r="G314" t="s">
        <v>1120</v>
      </c>
      <c r="H314" t="s">
        <v>56</v>
      </c>
      <c r="I314" t="s">
        <v>1121</v>
      </c>
      <c r="J314" t="s">
        <v>56</v>
      </c>
      <c r="K314" t="s">
        <v>62</v>
      </c>
      <c r="L314" t="s">
        <v>56</v>
      </c>
      <c r="M314" t="s">
        <v>56</v>
      </c>
      <c r="N314" t="s">
        <v>244</v>
      </c>
      <c r="O314" t="s">
        <v>1122</v>
      </c>
      <c r="P314" t="s">
        <v>1123</v>
      </c>
      <c r="Q314" t="s">
        <v>114</v>
      </c>
      <c r="R314" t="s">
        <v>67</v>
      </c>
      <c r="S314">
        <v>300000</v>
      </c>
      <c r="T314">
        <v>-2697105.97</v>
      </c>
      <c r="U314" t="s">
        <v>68</v>
      </c>
      <c r="V314" t="s">
        <v>1124</v>
      </c>
      <c r="W314" s="9">
        <v>60604169</v>
      </c>
      <c r="X314" t="s">
        <v>1125</v>
      </c>
      <c r="Y314" s="1">
        <v>46030</v>
      </c>
      <c r="Z314" s="1">
        <v>46060</v>
      </c>
      <c r="AA314" s="2">
        <v>320318.18</v>
      </c>
      <c r="AB314" s="2">
        <v>271456.08</v>
      </c>
      <c r="AC314" s="2">
        <v>48862.1</v>
      </c>
      <c r="AD314" s="2">
        <v>260.95</v>
      </c>
      <c r="AE314" t="s">
        <v>1127</v>
      </c>
      <c r="AF314" t="s">
        <v>72</v>
      </c>
      <c r="AG314">
        <v>18</v>
      </c>
      <c r="AH314" t="s">
        <v>73</v>
      </c>
      <c r="AI314" t="s">
        <v>74</v>
      </c>
      <c r="AJ314" t="s">
        <v>75</v>
      </c>
      <c r="AK314" t="s">
        <v>76</v>
      </c>
      <c r="AL314" t="s">
        <v>77</v>
      </c>
      <c r="AM314" t="s">
        <v>78</v>
      </c>
      <c r="AN314" t="s">
        <v>795</v>
      </c>
      <c r="AO314" t="s">
        <v>80</v>
      </c>
      <c r="AP314" t="e">
        <v>#N/A</v>
      </c>
      <c r="AQ314" t="s">
        <v>81</v>
      </c>
      <c r="AR314" t="str">
        <f t="shared" si="8"/>
        <v>60604169.STATAM</v>
      </c>
      <c r="AS314">
        <f t="shared" si="9"/>
        <v>2477.36</v>
      </c>
      <c r="AT314" t="s">
        <v>82</v>
      </c>
    </row>
    <row r="315" spans="1:46" x14ac:dyDescent="0.35">
      <c r="A315" t="s">
        <v>52</v>
      </c>
      <c r="B315" t="s">
        <v>53</v>
      </c>
      <c r="C315" t="s">
        <v>54</v>
      </c>
      <c r="D315" t="s">
        <v>55</v>
      </c>
      <c r="E315" t="s">
        <v>56</v>
      </c>
      <c r="F315" t="s">
        <v>1119</v>
      </c>
      <c r="G315" t="s">
        <v>1120</v>
      </c>
      <c r="H315" t="s">
        <v>56</v>
      </c>
      <c r="I315" t="s">
        <v>1121</v>
      </c>
      <c r="J315" t="s">
        <v>56</v>
      </c>
      <c r="K315" t="s">
        <v>62</v>
      </c>
      <c r="L315" t="s">
        <v>56</v>
      </c>
      <c r="M315" t="s">
        <v>56</v>
      </c>
      <c r="N315" t="s">
        <v>254</v>
      </c>
      <c r="O315" t="s">
        <v>1122</v>
      </c>
      <c r="P315" t="s">
        <v>1123</v>
      </c>
      <c r="Q315" t="s">
        <v>114</v>
      </c>
      <c r="R315" t="s">
        <v>67</v>
      </c>
      <c r="S315">
        <v>300000</v>
      </c>
      <c r="T315">
        <v>-2697105.97</v>
      </c>
      <c r="U315" t="s">
        <v>68</v>
      </c>
      <c r="V315" t="s">
        <v>1124</v>
      </c>
      <c r="W315" s="9">
        <v>60604169</v>
      </c>
      <c r="X315" t="s">
        <v>1125</v>
      </c>
      <c r="Y315" s="1">
        <v>46030</v>
      </c>
      <c r="Z315" s="1">
        <v>46060</v>
      </c>
      <c r="AA315" s="2">
        <v>497615.78</v>
      </c>
      <c r="AB315" s="2">
        <v>421708.28</v>
      </c>
      <c r="AC315" s="2">
        <v>75907.5</v>
      </c>
      <c r="AD315" s="2">
        <v>405.38</v>
      </c>
      <c r="AE315" t="s">
        <v>1128</v>
      </c>
      <c r="AF315" t="s">
        <v>72</v>
      </c>
      <c r="AG315">
        <v>18</v>
      </c>
      <c r="AH315" t="s">
        <v>73</v>
      </c>
      <c r="AI315" t="s">
        <v>74</v>
      </c>
      <c r="AJ315" t="s">
        <v>75</v>
      </c>
      <c r="AK315" t="s">
        <v>76</v>
      </c>
      <c r="AL315" t="s">
        <v>77</v>
      </c>
      <c r="AM315" t="s">
        <v>78</v>
      </c>
      <c r="AN315" t="s">
        <v>795</v>
      </c>
      <c r="AO315" t="s">
        <v>80</v>
      </c>
      <c r="AP315" t="e">
        <v>#N/A</v>
      </c>
      <c r="AQ315" t="s">
        <v>81</v>
      </c>
      <c r="AR315" t="str">
        <f t="shared" si="8"/>
        <v>60604169.STATAM</v>
      </c>
      <c r="AS315">
        <f t="shared" si="9"/>
        <v>2477.36</v>
      </c>
      <c r="AT315" t="s">
        <v>82</v>
      </c>
    </row>
    <row r="316" spans="1:46" x14ac:dyDescent="0.35">
      <c r="A316" t="s">
        <v>52</v>
      </c>
      <c r="B316" t="s">
        <v>53</v>
      </c>
      <c r="C316" t="s">
        <v>54</v>
      </c>
      <c r="D316" t="s">
        <v>55</v>
      </c>
      <c r="E316" t="s">
        <v>56</v>
      </c>
      <c r="F316" t="s">
        <v>1119</v>
      </c>
      <c r="G316" t="s">
        <v>1120</v>
      </c>
      <c r="H316" t="s">
        <v>56</v>
      </c>
      <c r="I316" t="s">
        <v>1121</v>
      </c>
      <c r="J316" t="s">
        <v>56</v>
      </c>
      <c r="K316" t="s">
        <v>62</v>
      </c>
      <c r="L316" t="s">
        <v>56</v>
      </c>
      <c r="M316" t="s">
        <v>56</v>
      </c>
      <c r="N316" t="s">
        <v>252</v>
      </c>
      <c r="O316" t="s">
        <v>1122</v>
      </c>
      <c r="P316" t="s">
        <v>1123</v>
      </c>
      <c r="Q316" t="s">
        <v>114</v>
      </c>
      <c r="R316" t="s">
        <v>67</v>
      </c>
      <c r="S316">
        <v>300000</v>
      </c>
      <c r="T316">
        <v>-2697105.97</v>
      </c>
      <c r="U316" t="s">
        <v>68</v>
      </c>
      <c r="V316" t="s">
        <v>1124</v>
      </c>
      <c r="W316" s="9">
        <v>60604169</v>
      </c>
      <c r="X316" t="s">
        <v>1125</v>
      </c>
      <c r="Y316" s="1">
        <v>46030</v>
      </c>
      <c r="Z316" s="1">
        <v>46060</v>
      </c>
      <c r="AA316" s="2">
        <v>954536.81</v>
      </c>
      <c r="AB316" s="2">
        <v>808929.49</v>
      </c>
      <c r="AC316" s="2">
        <v>145607.32</v>
      </c>
      <c r="AD316" s="2">
        <v>777.61</v>
      </c>
      <c r="AE316" t="s">
        <v>1129</v>
      </c>
      <c r="AF316" t="s">
        <v>72</v>
      </c>
      <c r="AG316">
        <v>18</v>
      </c>
      <c r="AH316" t="s">
        <v>73</v>
      </c>
      <c r="AI316" t="s">
        <v>74</v>
      </c>
      <c r="AJ316" t="s">
        <v>75</v>
      </c>
      <c r="AK316" t="s">
        <v>76</v>
      </c>
      <c r="AL316" t="s">
        <v>77</v>
      </c>
      <c r="AM316" t="s">
        <v>78</v>
      </c>
      <c r="AN316" t="s">
        <v>795</v>
      </c>
      <c r="AO316" t="s">
        <v>80</v>
      </c>
      <c r="AP316" t="e">
        <v>#N/A</v>
      </c>
      <c r="AQ316" t="s">
        <v>81</v>
      </c>
      <c r="AR316" t="str">
        <f t="shared" si="8"/>
        <v>60604169.STATAM</v>
      </c>
      <c r="AS316">
        <f t="shared" si="9"/>
        <v>2477.36</v>
      </c>
      <c r="AT316" t="s">
        <v>82</v>
      </c>
    </row>
    <row r="317" spans="1:46" x14ac:dyDescent="0.35">
      <c r="A317" t="s">
        <v>52</v>
      </c>
      <c r="B317" t="s">
        <v>53</v>
      </c>
      <c r="C317" t="s">
        <v>54</v>
      </c>
      <c r="D317" t="s">
        <v>55</v>
      </c>
      <c r="E317" t="s">
        <v>56</v>
      </c>
      <c r="F317" t="s">
        <v>1119</v>
      </c>
      <c r="G317" t="s">
        <v>1120</v>
      </c>
      <c r="H317" t="s">
        <v>56</v>
      </c>
      <c r="I317" t="s">
        <v>1121</v>
      </c>
      <c r="J317" t="s">
        <v>56</v>
      </c>
      <c r="K317" t="s">
        <v>62</v>
      </c>
      <c r="L317" t="s">
        <v>56</v>
      </c>
      <c r="M317" t="s">
        <v>56</v>
      </c>
      <c r="N317" t="s">
        <v>263</v>
      </c>
      <c r="O317" t="s">
        <v>1122</v>
      </c>
      <c r="P317" t="s">
        <v>1123</v>
      </c>
      <c r="Q317" t="s">
        <v>114</v>
      </c>
      <c r="R317" t="s">
        <v>67</v>
      </c>
      <c r="S317">
        <v>300000</v>
      </c>
      <c r="T317">
        <v>-2697105.97</v>
      </c>
      <c r="U317" t="s">
        <v>68</v>
      </c>
      <c r="V317" t="s">
        <v>1124</v>
      </c>
      <c r="W317" s="9">
        <v>60604169</v>
      </c>
      <c r="X317" t="s">
        <v>1125</v>
      </c>
      <c r="Y317" s="1">
        <v>46030</v>
      </c>
      <c r="Z317" s="1">
        <v>46060</v>
      </c>
      <c r="AA317" s="2">
        <v>410990.76</v>
      </c>
      <c r="AB317" s="2">
        <v>348297.25</v>
      </c>
      <c r="AC317" s="2">
        <v>62693.51</v>
      </c>
      <c r="AD317" s="2">
        <v>334.81</v>
      </c>
      <c r="AE317" t="s">
        <v>1130</v>
      </c>
      <c r="AF317" t="s">
        <v>72</v>
      </c>
      <c r="AG317">
        <v>18</v>
      </c>
      <c r="AH317" t="s">
        <v>73</v>
      </c>
      <c r="AI317" t="s">
        <v>74</v>
      </c>
      <c r="AJ317" t="s">
        <v>75</v>
      </c>
      <c r="AK317" t="s">
        <v>76</v>
      </c>
      <c r="AL317" t="s">
        <v>77</v>
      </c>
      <c r="AM317" t="s">
        <v>78</v>
      </c>
      <c r="AN317" t="s">
        <v>795</v>
      </c>
      <c r="AO317" t="s">
        <v>80</v>
      </c>
      <c r="AP317" t="e">
        <v>#N/A</v>
      </c>
      <c r="AQ317" t="s">
        <v>81</v>
      </c>
      <c r="AR317" t="str">
        <f t="shared" si="8"/>
        <v>60604169.STATAM</v>
      </c>
      <c r="AS317">
        <f t="shared" si="9"/>
        <v>2477.36</v>
      </c>
      <c r="AT317" t="s">
        <v>82</v>
      </c>
    </row>
    <row r="318" spans="1:46" x14ac:dyDescent="0.35">
      <c r="A318" t="s">
        <v>52</v>
      </c>
      <c r="B318" t="s">
        <v>53</v>
      </c>
      <c r="C318" t="s">
        <v>54</v>
      </c>
      <c r="D318" t="s">
        <v>55</v>
      </c>
      <c r="E318" t="s">
        <v>56</v>
      </c>
      <c r="F318" t="s">
        <v>1119</v>
      </c>
      <c r="G318" t="s">
        <v>1131</v>
      </c>
      <c r="H318" t="s">
        <v>56</v>
      </c>
      <c r="I318" t="s">
        <v>1132</v>
      </c>
      <c r="J318" t="s">
        <v>56</v>
      </c>
      <c r="K318" t="s">
        <v>62</v>
      </c>
      <c r="L318" t="s">
        <v>56</v>
      </c>
      <c r="M318" t="s">
        <v>56</v>
      </c>
      <c r="N318" t="s">
        <v>337</v>
      </c>
      <c r="O318" t="s">
        <v>1122</v>
      </c>
      <c r="P318" t="s">
        <v>1123</v>
      </c>
      <c r="Q318" t="s">
        <v>114</v>
      </c>
      <c r="R318" t="s">
        <v>67</v>
      </c>
      <c r="S318">
        <v>300000</v>
      </c>
      <c r="T318">
        <v>-2697105.97</v>
      </c>
      <c r="U318" t="s">
        <v>68</v>
      </c>
      <c r="V318" t="s">
        <v>1124</v>
      </c>
      <c r="W318" s="9">
        <v>60604169</v>
      </c>
      <c r="X318" t="s">
        <v>1133</v>
      </c>
      <c r="Y318" s="1">
        <v>46059</v>
      </c>
      <c r="Z318" s="1">
        <v>46089</v>
      </c>
      <c r="AA318" s="2">
        <v>262643.09999999998</v>
      </c>
      <c r="AB318" s="2">
        <v>222578.9</v>
      </c>
      <c r="AC318" s="2">
        <v>40064.199999999997</v>
      </c>
      <c r="AD318" s="2">
        <v>262643.09999999998</v>
      </c>
      <c r="AE318" t="s">
        <v>1134</v>
      </c>
      <c r="AF318" t="s">
        <v>72</v>
      </c>
      <c r="AG318">
        <v>-11</v>
      </c>
      <c r="AH318" t="s">
        <v>117</v>
      </c>
      <c r="AI318" t="s">
        <v>74</v>
      </c>
      <c r="AJ318" t="s">
        <v>127</v>
      </c>
      <c r="AK318" t="s">
        <v>334</v>
      </c>
      <c r="AL318" t="s">
        <v>118</v>
      </c>
      <c r="AM318" t="s">
        <v>78</v>
      </c>
      <c r="AN318" t="s">
        <v>795</v>
      </c>
      <c r="AO318" t="s">
        <v>119</v>
      </c>
      <c r="AP318" t="e">
        <v>#N/A</v>
      </c>
      <c r="AQ318" t="s">
        <v>335</v>
      </c>
      <c r="AR318" t="str">
        <f t="shared" si="8"/>
        <v>60604169.SPMINAM</v>
      </c>
      <c r="AS318">
        <f t="shared" si="9"/>
        <v>1789585.6099999999</v>
      </c>
      <c r="AT318" t="s">
        <v>82</v>
      </c>
    </row>
    <row r="319" spans="1:46" x14ac:dyDescent="0.35">
      <c r="A319" t="s">
        <v>52</v>
      </c>
      <c r="B319" t="s">
        <v>53</v>
      </c>
      <c r="C319" t="s">
        <v>54</v>
      </c>
      <c r="D319" t="s">
        <v>55</v>
      </c>
      <c r="E319" t="s">
        <v>56</v>
      </c>
      <c r="F319" t="s">
        <v>1119</v>
      </c>
      <c r="G319" t="s">
        <v>1131</v>
      </c>
      <c r="H319" t="s">
        <v>56</v>
      </c>
      <c r="I319" t="s">
        <v>1132</v>
      </c>
      <c r="J319" t="s">
        <v>56</v>
      </c>
      <c r="K319" t="s">
        <v>62</v>
      </c>
      <c r="L319" t="s">
        <v>56</v>
      </c>
      <c r="M319" t="s">
        <v>56</v>
      </c>
      <c r="N319" t="s">
        <v>1135</v>
      </c>
      <c r="O319" t="s">
        <v>1122</v>
      </c>
      <c r="P319" t="s">
        <v>1123</v>
      </c>
      <c r="Q319" t="s">
        <v>114</v>
      </c>
      <c r="R319" t="s">
        <v>67</v>
      </c>
      <c r="S319">
        <v>300000</v>
      </c>
      <c r="T319">
        <v>-2697105.97</v>
      </c>
      <c r="U319" t="s">
        <v>68</v>
      </c>
      <c r="V319" t="s">
        <v>1124</v>
      </c>
      <c r="W319" s="9">
        <v>60604169</v>
      </c>
      <c r="X319" t="s">
        <v>1133</v>
      </c>
      <c r="Y319" s="1">
        <v>46059</v>
      </c>
      <c r="Z319" s="1">
        <v>46089</v>
      </c>
      <c r="AA319" s="2">
        <v>1122741.8</v>
      </c>
      <c r="AB319" s="2">
        <v>951476.1</v>
      </c>
      <c r="AC319" s="2">
        <v>171265.7</v>
      </c>
      <c r="AD319" s="2">
        <v>1122741.8</v>
      </c>
      <c r="AE319" t="s">
        <v>1136</v>
      </c>
      <c r="AF319" t="s">
        <v>72</v>
      </c>
      <c r="AG319">
        <v>-11</v>
      </c>
      <c r="AH319" t="s">
        <v>117</v>
      </c>
      <c r="AI319" t="s">
        <v>74</v>
      </c>
      <c r="AJ319" t="s">
        <v>127</v>
      </c>
      <c r="AK319" t="s">
        <v>334</v>
      </c>
      <c r="AL319" t="s">
        <v>118</v>
      </c>
      <c r="AM319" t="s">
        <v>78</v>
      </c>
      <c r="AN319" t="s">
        <v>795</v>
      </c>
      <c r="AO319" t="s">
        <v>119</v>
      </c>
      <c r="AP319" t="e">
        <v>#N/A</v>
      </c>
      <c r="AQ319" t="s">
        <v>335</v>
      </c>
      <c r="AR319" t="str">
        <f t="shared" si="8"/>
        <v>60604169.SPMINAM</v>
      </c>
      <c r="AS319">
        <f t="shared" si="9"/>
        <v>1789585.6099999999</v>
      </c>
      <c r="AT319" t="s">
        <v>82</v>
      </c>
    </row>
    <row r="320" spans="1:46" x14ac:dyDescent="0.35">
      <c r="A320" t="s">
        <v>52</v>
      </c>
      <c r="B320" t="s">
        <v>53</v>
      </c>
      <c r="C320" t="s">
        <v>54</v>
      </c>
      <c r="D320" t="s">
        <v>55</v>
      </c>
      <c r="E320" t="s">
        <v>56</v>
      </c>
      <c r="F320" t="s">
        <v>1119</v>
      </c>
      <c r="G320" t="s">
        <v>1137</v>
      </c>
      <c r="H320" t="s">
        <v>56</v>
      </c>
      <c r="I320" t="s">
        <v>1138</v>
      </c>
      <c r="J320" t="s">
        <v>56</v>
      </c>
      <c r="K320" t="s">
        <v>62</v>
      </c>
      <c r="L320" t="s">
        <v>56</v>
      </c>
      <c r="M320" t="s">
        <v>56</v>
      </c>
      <c r="N320" t="s">
        <v>682</v>
      </c>
      <c r="O320" t="s">
        <v>1122</v>
      </c>
      <c r="P320" t="s">
        <v>1123</v>
      </c>
      <c r="Q320" t="s">
        <v>114</v>
      </c>
      <c r="R320" t="s">
        <v>67</v>
      </c>
      <c r="S320">
        <v>300000</v>
      </c>
      <c r="T320">
        <v>-2697105.97</v>
      </c>
      <c r="U320" t="s">
        <v>68</v>
      </c>
      <c r="V320" t="s">
        <v>1124</v>
      </c>
      <c r="W320" s="9">
        <v>60604169</v>
      </c>
      <c r="X320" t="s">
        <v>1139</v>
      </c>
      <c r="Y320" s="1">
        <v>46059</v>
      </c>
      <c r="Z320" s="1">
        <v>46089</v>
      </c>
      <c r="AA320" s="2">
        <v>404200.71</v>
      </c>
      <c r="AB320" s="2">
        <v>342542.97</v>
      </c>
      <c r="AC320" s="2">
        <v>61657.74</v>
      </c>
      <c r="AD320" s="2">
        <v>404200.71</v>
      </c>
      <c r="AE320" t="s">
        <v>1140</v>
      </c>
      <c r="AF320" t="s">
        <v>72</v>
      </c>
      <c r="AG320">
        <v>-11</v>
      </c>
      <c r="AH320" t="s">
        <v>117</v>
      </c>
      <c r="AI320" t="s">
        <v>74</v>
      </c>
      <c r="AJ320" t="s">
        <v>127</v>
      </c>
      <c r="AK320" t="s">
        <v>334</v>
      </c>
      <c r="AL320" t="s">
        <v>118</v>
      </c>
      <c r="AM320" t="s">
        <v>78</v>
      </c>
      <c r="AN320" t="s">
        <v>795</v>
      </c>
      <c r="AO320" t="s">
        <v>119</v>
      </c>
      <c r="AP320" t="e">
        <v>#N/A</v>
      </c>
      <c r="AQ320" t="s">
        <v>335</v>
      </c>
      <c r="AR320" t="str">
        <f t="shared" si="8"/>
        <v>60604169.SPMINAM</v>
      </c>
      <c r="AS320">
        <f t="shared" si="9"/>
        <v>1789585.6099999999</v>
      </c>
      <c r="AT320" t="s">
        <v>82</v>
      </c>
    </row>
    <row r="321" spans="1:46" x14ac:dyDescent="0.35">
      <c r="A321" t="s">
        <v>52</v>
      </c>
      <c r="B321" t="s">
        <v>53</v>
      </c>
      <c r="C321" t="s">
        <v>54</v>
      </c>
      <c r="D321" t="s">
        <v>55</v>
      </c>
      <c r="E321" t="s">
        <v>56</v>
      </c>
      <c r="F321" t="s">
        <v>1141</v>
      </c>
      <c r="G321" t="s">
        <v>1142</v>
      </c>
      <c r="H321" t="s">
        <v>403</v>
      </c>
      <c r="I321" t="s">
        <v>1143</v>
      </c>
      <c r="J321" t="s">
        <v>56</v>
      </c>
      <c r="K321" t="s">
        <v>62</v>
      </c>
      <c r="L321" t="s">
        <v>56</v>
      </c>
      <c r="M321" t="s">
        <v>56</v>
      </c>
      <c r="N321" t="s">
        <v>405</v>
      </c>
      <c r="O321" t="s">
        <v>1122</v>
      </c>
      <c r="P321" t="s">
        <v>1123</v>
      </c>
      <c r="Q321" t="s">
        <v>114</v>
      </c>
      <c r="R321" t="s">
        <v>88</v>
      </c>
      <c r="T321">
        <v>-900</v>
      </c>
      <c r="U321" t="s">
        <v>68</v>
      </c>
      <c r="V321" t="s">
        <v>1144</v>
      </c>
      <c r="W321" s="9">
        <v>60604361</v>
      </c>
      <c r="X321" t="s">
        <v>1145</v>
      </c>
      <c r="Y321" s="1">
        <v>45931</v>
      </c>
      <c r="Z321" s="1">
        <v>45931</v>
      </c>
      <c r="AA321" s="2">
        <v>17700</v>
      </c>
      <c r="AB321" s="2">
        <v>15000</v>
      </c>
      <c r="AC321" s="2">
        <v>2700</v>
      </c>
      <c r="AD321" s="2">
        <v>300</v>
      </c>
      <c r="AE321" t="s">
        <v>1146</v>
      </c>
      <c r="AF321" t="s">
        <v>72</v>
      </c>
      <c r="AG321">
        <v>147</v>
      </c>
      <c r="AH321" t="s">
        <v>91</v>
      </c>
      <c r="AI321" t="s">
        <v>74</v>
      </c>
      <c r="AJ321" t="s">
        <v>75</v>
      </c>
      <c r="AK321" t="s">
        <v>76</v>
      </c>
      <c r="AL321" t="s">
        <v>77</v>
      </c>
      <c r="AM321" t="s">
        <v>78</v>
      </c>
      <c r="AN321" t="s">
        <v>795</v>
      </c>
      <c r="AO321" t="s">
        <v>80</v>
      </c>
      <c r="AP321" t="e">
        <v>#N/A</v>
      </c>
      <c r="AQ321" t="s">
        <v>81</v>
      </c>
      <c r="AR321" t="str">
        <f t="shared" si="8"/>
        <v>60604361.STATAM</v>
      </c>
      <c r="AS321">
        <f t="shared" si="9"/>
        <v>900</v>
      </c>
      <c r="AT321" t="s">
        <v>82</v>
      </c>
    </row>
    <row r="322" spans="1:46" x14ac:dyDescent="0.35">
      <c r="A322" t="s">
        <v>52</v>
      </c>
      <c r="B322" t="s">
        <v>53</v>
      </c>
      <c r="C322" t="s">
        <v>54</v>
      </c>
      <c r="D322" t="s">
        <v>55</v>
      </c>
      <c r="E322" t="s">
        <v>56</v>
      </c>
      <c r="F322" t="s">
        <v>1141</v>
      </c>
      <c r="G322" t="s">
        <v>1142</v>
      </c>
      <c r="H322" t="s">
        <v>403</v>
      </c>
      <c r="I322" t="s">
        <v>1143</v>
      </c>
      <c r="J322" t="s">
        <v>56</v>
      </c>
      <c r="K322" t="s">
        <v>62</v>
      </c>
      <c r="L322" t="s">
        <v>56</v>
      </c>
      <c r="M322" t="s">
        <v>56</v>
      </c>
      <c r="N322" t="s">
        <v>405</v>
      </c>
      <c r="O322" t="s">
        <v>1122</v>
      </c>
      <c r="P322" t="s">
        <v>1123</v>
      </c>
      <c r="Q322" t="s">
        <v>114</v>
      </c>
      <c r="R322" t="s">
        <v>88</v>
      </c>
      <c r="T322">
        <v>-900</v>
      </c>
      <c r="U322" t="s">
        <v>68</v>
      </c>
      <c r="V322" t="s">
        <v>1144</v>
      </c>
      <c r="W322" s="9">
        <v>60604361</v>
      </c>
      <c r="X322" t="s">
        <v>1147</v>
      </c>
      <c r="Y322" s="1">
        <v>46057</v>
      </c>
      <c r="Z322" s="1">
        <v>46057</v>
      </c>
      <c r="AA322" s="2">
        <v>35400</v>
      </c>
      <c r="AB322" s="2">
        <v>30000</v>
      </c>
      <c r="AC322" s="2">
        <v>5400</v>
      </c>
      <c r="AD322" s="2">
        <v>600</v>
      </c>
      <c r="AE322" t="s">
        <v>1148</v>
      </c>
      <c r="AF322" t="s">
        <v>72</v>
      </c>
      <c r="AG322">
        <v>21</v>
      </c>
      <c r="AH322" t="s">
        <v>73</v>
      </c>
      <c r="AI322" t="s">
        <v>74</v>
      </c>
      <c r="AJ322" t="s">
        <v>75</v>
      </c>
      <c r="AK322" t="s">
        <v>76</v>
      </c>
      <c r="AL322" t="s">
        <v>77</v>
      </c>
      <c r="AM322" t="s">
        <v>78</v>
      </c>
      <c r="AN322" t="s">
        <v>795</v>
      </c>
      <c r="AO322" t="s">
        <v>80</v>
      </c>
      <c r="AP322" t="e">
        <v>#N/A</v>
      </c>
      <c r="AQ322" t="s">
        <v>81</v>
      </c>
      <c r="AR322" t="str">
        <f t="shared" si="8"/>
        <v>60604361.STATAM</v>
      </c>
      <c r="AS322">
        <f t="shared" si="9"/>
        <v>900</v>
      </c>
      <c r="AT322" t="s">
        <v>82</v>
      </c>
    </row>
    <row r="323" spans="1:46" x14ac:dyDescent="0.35">
      <c r="A323" t="s">
        <v>52</v>
      </c>
      <c r="B323" t="s">
        <v>53</v>
      </c>
      <c r="C323" t="s">
        <v>54</v>
      </c>
      <c r="D323" t="s">
        <v>55</v>
      </c>
      <c r="E323" t="s">
        <v>56</v>
      </c>
      <c r="F323" t="s">
        <v>1149</v>
      </c>
      <c r="G323" t="s">
        <v>1150</v>
      </c>
      <c r="H323" t="s">
        <v>59</v>
      </c>
      <c r="I323" t="s">
        <v>1151</v>
      </c>
      <c r="J323" t="s">
        <v>61</v>
      </c>
      <c r="K323" t="s">
        <v>62</v>
      </c>
      <c r="L323" t="s">
        <v>56</v>
      </c>
      <c r="M323" t="s">
        <v>56</v>
      </c>
      <c r="N323" t="s">
        <v>63</v>
      </c>
      <c r="O323" t="s">
        <v>245</v>
      </c>
      <c r="P323" t="s">
        <v>246</v>
      </c>
      <c r="Q323" t="s">
        <v>1152</v>
      </c>
      <c r="R323" t="s">
        <v>67</v>
      </c>
      <c r="T323">
        <v>-40630.379999999997</v>
      </c>
      <c r="U323" t="s">
        <v>68</v>
      </c>
      <c r="V323" t="s">
        <v>1153</v>
      </c>
      <c r="W323" s="9">
        <v>60604278</v>
      </c>
      <c r="X323" t="s">
        <v>1154</v>
      </c>
      <c r="Y323" s="1">
        <v>45815</v>
      </c>
      <c r="Z323" s="1">
        <v>45845</v>
      </c>
      <c r="AA323" s="2">
        <v>434882.86</v>
      </c>
      <c r="AB323" s="2">
        <v>368544.8</v>
      </c>
      <c r="AC323" s="2">
        <v>66338.06</v>
      </c>
      <c r="AD323" s="2">
        <v>29078.44</v>
      </c>
      <c r="AE323" t="s">
        <v>1155</v>
      </c>
      <c r="AF323" t="s">
        <v>72</v>
      </c>
      <c r="AG323">
        <v>233</v>
      </c>
      <c r="AH323" t="s">
        <v>101</v>
      </c>
      <c r="AI323" t="s">
        <v>74</v>
      </c>
      <c r="AJ323" t="s">
        <v>75</v>
      </c>
      <c r="AK323" t="s">
        <v>76</v>
      </c>
      <c r="AL323" t="s">
        <v>77</v>
      </c>
      <c r="AM323" t="s">
        <v>78</v>
      </c>
      <c r="AN323" t="s">
        <v>239</v>
      </c>
      <c r="AO323" t="s">
        <v>80</v>
      </c>
      <c r="AP323" t="e">
        <v>#N/A</v>
      </c>
      <c r="AQ323" t="s">
        <v>81</v>
      </c>
      <c r="AR323" t="str">
        <f t="shared" si="8"/>
        <v>60604278.STATAM</v>
      </c>
      <c r="AS323">
        <f t="shared" si="9"/>
        <v>29078.44</v>
      </c>
      <c r="AT323" t="s">
        <v>82</v>
      </c>
    </row>
    <row r="324" spans="1:46" x14ac:dyDescent="0.35">
      <c r="A324" t="s">
        <v>52</v>
      </c>
      <c r="B324" t="s">
        <v>53</v>
      </c>
      <c r="C324" t="s">
        <v>54</v>
      </c>
      <c r="D324" t="s">
        <v>55</v>
      </c>
      <c r="E324" t="s">
        <v>56</v>
      </c>
      <c r="F324" t="s">
        <v>1156</v>
      </c>
      <c r="G324" t="s">
        <v>1157</v>
      </c>
      <c r="H324" t="s">
        <v>111</v>
      </c>
      <c r="I324" t="s">
        <v>1158</v>
      </c>
      <c r="J324" t="s">
        <v>56</v>
      </c>
      <c r="K324" t="s">
        <v>243</v>
      </c>
      <c r="L324" t="s">
        <v>56</v>
      </c>
      <c r="M324" t="s">
        <v>56</v>
      </c>
      <c r="N324" t="s">
        <v>124</v>
      </c>
      <c r="O324" t="s">
        <v>753</v>
      </c>
      <c r="P324" t="s">
        <v>754</v>
      </c>
      <c r="Q324" t="s">
        <v>114</v>
      </c>
      <c r="R324" t="s">
        <v>379</v>
      </c>
      <c r="S324">
        <v>7000000</v>
      </c>
      <c r="T324">
        <v>2290392.8199999998</v>
      </c>
      <c r="U324" t="s">
        <v>68</v>
      </c>
      <c r="V324" t="s">
        <v>1159</v>
      </c>
      <c r="W324" s="9">
        <v>60604279</v>
      </c>
      <c r="X324" t="s">
        <v>1160</v>
      </c>
      <c r="Y324" s="1">
        <v>45566</v>
      </c>
      <c r="Z324" s="1">
        <v>45611</v>
      </c>
      <c r="AA324" s="2">
        <v>3724969.25</v>
      </c>
      <c r="AB324" s="2">
        <v>3153600</v>
      </c>
      <c r="AC324" s="2">
        <v>571369.25</v>
      </c>
      <c r="AD324" s="2">
        <v>1552154.46</v>
      </c>
      <c r="AE324" t="s">
        <v>1161</v>
      </c>
      <c r="AF324" t="s">
        <v>72</v>
      </c>
      <c r="AG324">
        <v>467</v>
      </c>
      <c r="AH324" t="s">
        <v>473</v>
      </c>
      <c r="AI324" t="s">
        <v>74</v>
      </c>
      <c r="AJ324" t="s">
        <v>127</v>
      </c>
      <c r="AK324" t="s">
        <v>128</v>
      </c>
      <c r="AL324" t="s">
        <v>77</v>
      </c>
      <c r="AM324" t="s">
        <v>103</v>
      </c>
      <c r="AN324" t="s">
        <v>239</v>
      </c>
      <c r="AO324" t="s">
        <v>80</v>
      </c>
      <c r="AP324" t="e">
        <v>#N/A</v>
      </c>
      <c r="AQ324" t="s">
        <v>129</v>
      </c>
      <c r="AR324" t="str">
        <f t="shared" si="8"/>
        <v>60604279.SPMINEQ</v>
      </c>
      <c r="AS324">
        <f t="shared" si="9"/>
        <v>4130159.3</v>
      </c>
      <c r="AT324" t="s">
        <v>82</v>
      </c>
    </row>
    <row r="325" spans="1:46" x14ac:dyDescent="0.35">
      <c r="A325" t="s">
        <v>52</v>
      </c>
      <c r="B325" t="s">
        <v>53</v>
      </c>
      <c r="C325" t="s">
        <v>54</v>
      </c>
      <c r="D325" t="s">
        <v>55</v>
      </c>
      <c r="E325" t="s">
        <v>56</v>
      </c>
      <c r="F325" t="s">
        <v>1156</v>
      </c>
      <c r="G325" t="s">
        <v>1157</v>
      </c>
      <c r="H325" t="s">
        <v>111</v>
      </c>
      <c r="I325" t="s">
        <v>1162</v>
      </c>
      <c r="J325" t="s">
        <v>56</v>
      </c>
      <c r="K325" t="s">
        <v>243</v>
      </c>
      <c r="L325" t="s">
        <v>56</v>
      </c>
      <c r="M325" t="s">
        <v>56</v>
      </c>
      <c r="N325" t="s">
        <v>174</v>
      </c>
      <c r="O325" t="s">
        <v>753</v>
      </c>
      <c r="P325" t="s">
        <v>754</v>
      </c>
      <c r="Q325" t="s">
        <v>114</v>
      </c>
      <c r="R325" t="s">
        <v>379</v>
      </c>
      <c r="S325">
        <v>7000000</v>
      </c>
      <c r="T325">
        <v>2290392.8199999998</v>
      </c>
      <c r="U325" t="s">
        <v>68</v>
      </c>
      <c r="V325" t="s">
        <v>1159</v>
      </c>
      <c r="W325" s="9">
        <v>60604279</v>
      </c>
      <c r="X325" t="s">
        <v>1163</v>
      </c>
      <c r="Y325" s="1">
        <v>45566</v>
      </c>
      <c r="Z325" s="1">
        <v>45611</v>
      </c>
      <c r="AA325" s="2">
        <v>470897.09</v>
      </c>
      <c r="AB325" s="2">
        <v>398666.67</v>
      </c>
      <c r="AC325" s="2">
        <v>72230.429999999993</v>
      </c>
      <c r="AD325" s="2">
        <v>388437.85</v>
      </c>
      <c r="AE325" t="s">
        <v>1164</v>
      </c>
      <c r="AF325" t="s">
        <v>72</v>
      </c>
      <c r="AG325">
        <v>467</v>
      </c>
      <c r="AH325" t="s">
        <v>473</v>
      </c>
      <c r="AI325" t="s">
        <v>74</v>
      </c>
      <c r="AJ325" t="s">
        <v>127</v>
      </c>
      <c r="AK325" t="s">
        <v>128</v>
      </c>
      <c r="AL325" t="s">
        <v>77</v>
      </c>
      <c r="AM325" t="s">
        <v>103</v>
      </c>
      <c r="AN325" t="s">
        <v>239</v>
      </c>
      <c r="AO325" t="s">
        <v>80</v>
      </c>
      <c r="AP325" t="e">
        <v>#N/A</v>
      </c>
      <c r="AQ325" t="s">
        <v>129</v>
      </c>
      <c r="AR325" t="str">
        <f t="shared" si="8"/>
        <v>60604279.SPMINEQ</v>
      </c>
      <c r="AS325">
        <f t="shared" si="9"/>
        <v>4130159.3</v>
      </c>
      <c r="AT325" t="s">
        <v>82</v>
      </c>
    </row>
    <row r="326" spans="1:46" x14ac:dyDescent="0.35">
      <c r="A326" t="s">
        <v>52</v>
      </c>
      <c r="B326" t="s">
        <v>53</v>
      </c>
      <c r="C326" t="s">
        <v>54</v>
      </c>
      <c r="D326" t="s">
        <v>55</v>
      </c>
      <c r="E326" t="s">
        <v>56</v>
      </c>
      <c r="F326" t="s">
        <v>1156</v>
      </c>
      <c r="G326" t="s">
        <v>1157</v>
      </c>
      <c r="H326" t="s">
        <v>111</v>
      </c>
      <c r="I326" t="s">
        <v>1162</v>
      </c>
      <c r="J326" t="s">
        <v>56</v>
      </c>
      <c r="K326" t="s">
        <v>243</v>
      </c>
      <c r="L326" t="s">
        <v>56</v>
      </c>
      <c r="M326" t="s">
        <v>56</v>
      </c>
      <c r="N326" t="s">
        <v>1165</v>
      </c>
      <c r="O326" t="s">
        <v>753</v>
      </c>
      <c r="P326" t="s">
        <v>754</v>
      </c>
      <c r="Q326" t="s">
        <v>114</v>
      </c>
      <c r="R326" t="s">
        <v>379</v>
      </c>
      <c r="S326">
        <v>7000000</v>
      </c>
      <c r="T326">
        <v>2290392.8199999998</v>
      </c>
      <c r="U326" t="s">
        <v>68</v>
      </c>
      <c r="V326" t="s">
        <v>1159</v>
      </c>
      <c r="W326" s="9">
        <v>60604279</v>
      </c>
      <c r="X326" t="s">
        <v>1163</v>
      </c>
      <c r="Y326" s="1">
        <v>45566</v>
      </c>
      <c r="Z326" s="1">
        <v>45611</v>
      </c>
      <c r="AA326" s="2">
        <v>941794.19</v>
      </c>
      <c r="AB326" s="2">
        <v>797333.33</v>
      </c>
      <c r="AC326" s="2">
        <v>144460.85</v>
      </c>
      <c r="AD326" s="2">
        <v>776875.71</v>
      </c>
      <c r="AE326" t="s">
        <v>1166</v>
      </c>
      <c r="AF326" t="s">
        <v>72</v>
      </c>
      <c r="AG326">
        <v>467</v>
      </c>
      <c r="AH326" t="s">
        <v>473</v>
      </c>
      <c r="AI326" t="s">
        <v>74</v>
      </c>
      <c r="AJ326" t="s">
        <v>127</v>
      </c>
      <c r="AK326" t="s">
        <v>128</v>
      </c>
      <c r="AL326" t="s">
        <v>77</v>
      </c>
      <c r="AM326" t="s">
        <v>103</v>
      </c>
      <c r="AN326" t="s">
        <v>239</v>
      </c>
      <c r="AO326" t="s">
        <v>80</v>
      </c>
      <c r="AP326" t="e">
        <v>#N/A</v>
      </c>
      <c r="AQ326" t="s">
        <v>129</v>
      </c>
      <c r="AR326" t="str">
        <f t="shared" si="8"/>
        <v>60604279.SPMINEQ</v>
      </c>
      <c r="AS326">
        <f t="shared" si="9"/>
        <v>4130159.3</v>
      </c>
      <c r="AT326" t="s">
        <v>82</v>
      </c>
    </row>
    <row r="327" spans="1:46" x14ac:dyDescent="0.35">
      <c r="A327" t="s">
        <v>52</v>
      </c>
      <c r="B327" t="s">
        <v>53</v>
      </c>
      <c r="C327" t="s">
        <v>54</v>
      </c>
      <c r="D327" t="s">
        <v>55</v>
      </c>
      <c r="E327" t="s">
        <v>56</v>
      </c>
      <c r="F327" t="s">
        <v>1156</v>
      </c>
      <c r="G327" t="s">
        <v>1157</v>
      </c>
      <c r="H327" t="s">
        <v>111</v>
      </c>
      <c r="I327" t="s">
        <v>1167</v>
      </c>
      <c r="J327" t="s">
        <v>56</v>
      </c>
      <c r="K327" t="s">
        <v>243</v>
      </c>
      <c r="L327" t="s">
        <v>56</v>
      </c>
      <c r="M327" t="s">
        <v>56</v>
      </c>
      <c r="N327" t="s">
        <v>1165</v>
      </c>
      <c r="O327" t="s">
        <v>753</v>
      </c>
      <c r="P327" t="s">
        <v>754</v>
      </c>
      <c r="Q327" t="s">
        <v>114</v>
      </c>
      <c r="R327" t="s">
        <v>379</v>
      </c>
      <c r="S327">
        <v>7000000</v>
      </c>
      <c r="T327">
        <v>2290392.8199999998</v>
      </c>
      <c r="U327" t="s">
        <v>68</v>
      </c>
      <c r="V327" t="s">
        <v>1159</v>
      </c>
      <c r="W327" s="9">
        <v>60604279</v>
      </c>
      <c r="X327" t="s">
        <v>1168</v>
      </c>
      <c r="Y327" s="1">
        <v>45566</v>
      </c>
      <c r="Z327" s="1">
        <v>45611</v>
      </c>
      <c r="AA327" s="2">
        <v>941794.19</v>
      </c>
      <c r="AB327" s="2">
        <v>797333.33</v>
      </c>
      <c r="AC327" s="2">
        <v>144460.85</v>
      </c>
      <c r="AD327" s="2">
        <v>941794.19</v>
      </c>
      <c r="AE327" t="s">
        <v>1169</v>
      </c>
      <c r="AF327" t="s">
        <v>72</v>
      </c>
      <c r="AG327">
        <v>467</v>
      </c>
      <c r="AH327" t="s">
        <v>473</v>
      </c>
      <c r="AI327" t="s">
        <v>74</v>
      </c>
      <c r="AJ327" t="s">
        <v>127</v>
      </c>
      <c r="AK327" t="s">
        <v>128</v>
      </c>
      <c r="AL327" t="s">
        <v>77</v>
      </c>
      <c r="AM327" t="s">
        <v>103</v>
      </c>
      <c r="AN327" t="s">
        <v>239</v>
      </c>
      <c r="AO327" t="s">
        <v>80</v>
      </c>
      <c r="AP327" t="e">
        <v>#N/A</v>
      </c>
      <c r="AQ327" t="s">
        <v>129</v>
      </c>
      <c r="AR327" t="str">
        <f t="shared" si="8"/>
        <v>60604279.SPMINEQ</v>
      </c>
      <c r="AS327">
        <f t="shared" si="9"/>
        <v>4130159.3</v>
      </c>
      <c r="AT327" t="s">
        <v>82</v>
      </c>
    </row>
    <row r="328" spans="1:46" x14ac:dyDescent="0.35">
      <c r="A328" t="s">
        <v>52</v>
      </c>
      <c r="B328" t="s">
        <v>53</v>
      </c>
      <c r="C328" t="s">
        <v>54</v>
      </c>
      <c r="D328" t="s">
        <v>55</v>
      </c>
      <c r="E328" t="s">
        <v>56</v>
      </c>
      <c r="F328" t="s">
        <v>1156</v>
      </c>
      <c r="G328" t="s">
        <v>1157</v>
      </c>
      <c r="H328" t="s">
        <v>111</v>
      </c>
      <c r="I328" t="s">
        <v>1167</v>
      </c>
      <c r="J328" t="s">
        <v>56</v>
      </c>
      <c r="K328" t="s">
        <v>243</v>
      </c>
      <c r="L328" t="s">
        <v>56</v>
      </c>
      <c r="M328" t="s">
        <v>56</v>
      </c>
      <c r="N328" t="s">
        <v>174</v>
      </c>
      <c r="O328" t="s">
        <v>753</v>
      </c>
      <c r="P328" t="s">
        <v>754</v>
      </c>
      <c r="Q328" t="s">
        <v>114</v>
      </c>
      <c r="R328" t="s">
        <v>379</v>
      </c>
      <c r="S328">
        <v>7000000</v>
      </c>
      <c r="T328">
        <v>2290392.8199999998</v>
      </c>
      <c r="U328" t="s">
        <v>68</v>
      </c>
      <c r="V328" t="s">
        <v>1159</v>
      </c>
      <c r="W328" s="9">
        <v>60604279</v>
      </c>
      <c r="X328" t="s">
        <v>1168</v>
      </c>
      <c r="Y328" s="1">
        <v>45566</v>
      </c>
      <c r="Z328" s="1">
        <v>45611</v>
      </c>
      <c r="AA328" s="2">
        <v>470897.09</v>
      </c>
      <c r="AB328" s="2">
        <v>398666.67</v>
      </c>
      <c r="AC328" s="2">
        <v>72230.429999999993</v>
      </c>
      <c r="AD328" s="2">
        <v>470897.09</v>
      </c>
      <c r="AE328" t="s">
        <v>1170</v>
      </c>
      <c r="AF328" t="s">
        <v>72</v>
      </c>
      <c r="AG328">
        <v>467</v>
      </c>
      <c r="AH328" t="s">
        <v>473</v>
      </c>
      <c r="AI328" t="s">
        <v>74</v>
      </c>
      <c r="AJ328" t="s">
        <v>127</v>
      </c>
      <c r="AK328" t="s">
        <v>128</v>
      </c>
      <c r="AL328" t="s">
        <v>77</v>
      </c>
      <c r="AM328" t="s">
        <v>103</v>
      </c>
      <c r="AN328" t="s">
        <v>239</v>
      </c>
      <c r="AO328" t="s">
        <v>80</v>
      </c>
      <c r="AP328" t="e">
        <v>#N/A</v>
      </c>
      <c r="AQ328" t="s">
        <v>129</v>
      </c>
      <c r="AR328" t="str">
        <f t="shared" ref="AR328:AR391" si="10">W328&amp;"."&amp;AQ328</f>
        <v>60604279.SPMINEQ</v>
      </c>
      <c r="AS328">
        <f t="shared" ref="AS328:AS391" si="11">SUMIFS(AD:AD,AQ:AQ,AQ328,W:W,W328)</f>
        <v>4130159.3</v>
      </c>
      <c r="AT328" t="s">
        <v>82</v>
      </c>
    </row>
    <row r="329" spans="1:46" x14ac:dyDescent="0.35">
      <c r="A329" t="s">
        <v>52</v>
      </c>
      <c r="B329" t="s">
        <v>53</v>
      </c>
      <c r="C329" t="s">
        <v>54</v>
      </c>
      <c r="D329" t="s">
        <v>55</v>
      </c>
      <c r="E329" t="s">
        <v>56</v>
      </c>
      <c r="F329" t="s">
        <v>1156</v>
      </c>
      <c r="G329" t="s">
        <v>1157</v>
      </c>
      <c r="H329" t="s">
        <v>153</v>
      </c>
      <c r="I329" t="s">
        <v>1171</v>
      </c>
      <c r="J329" t="s">
        <v>56</v>
      </c>
      <c r="K329" t="s">
        <v>243</v>
      </c>
      <c r="L329" t="s">
        <v>56</v>
      </c>
      <c r="M329" t="s">
        <v>56</v>
      </c>
      <c r="N329" t="s">
        <v>155</v>
      </c>
      <c r="O329" t="s">
        <v>753</v>
      </c>
      <c r="P329" t="s">
        <v>754</v>
      </c>
      <c r="Q329" t="s">
        <v>114</v>
      </c>
      <c r="R329" t="s">
        <v>379</v>
      </c>
      <c r="S329">
        <v>7000000</v>
      </c>
      <c r="T329">
        <v>2290392.8199999998</v>
      </c>
      <c r="U329" t="s">
        <v>68</v>
      </c>
      <c r="V329" t="s">
        <v>1159</v>
      </c>
      <c r="W329" s="9">
        <v>60604279</v>
      </c>
      <c r="X329" t="s">
        <v>1172</v>
      </c>
      <c r="Y329" s="1">
        <v>45681</v>
      </c>
      <c r="Z329" s="1">
        <v>45726</v>
      </c>
      <c r="AA329" s="2">
        <v>1692630.94</v>
      </c>
      <c r="AB329" s="2">
        <v>1433000</v>
      </c>
      <c r="AC329" s="2">
        <v>259630.94</v>
      </c>
      <c r="AD329" s="2">
        <v>579447.88</v>
      </c>
      <c r="AE329" t="s">
        <v>1173</v>
      </c>
      <c r="AF329" t="s">
        <v>72</v>
      </c>
      <c r="AG329">
        <v>352</v>
      </c>
      <c r="AH329" t="s">
        <v>101</v>
      </c>
      <c r="AI329" t="s">
        <v>74</v>
      </c>
      <c r="AJ329" t="s">
        <v>75</v>
      </c>
      <c r="AK329" t="s">
        <v>102</v>
      </c>
      <c r="AL329" t="s">
        <v>77</v>
      </c>
      <c r="AM329" t="s">
        <v>103</v>
      </c>
      <c r="AN329" t="s">
        <v>239</v>
      </c>
      <c r="AO329" t="s">
        <v>80</v>
      </c>
      <c r="AP329" t="e">
        <v>#N/A</v>
      </c>
      <c r="AQ329" t="s">
        <v>105</v>
      </c>
      <c r="AR329" t="str">
        <f t="shared" si="10"/>
        <v>60604279.STATEQ</v>
      </c>
      <c r="AS329">
        <f t="shared" si="11"/>
        <v>579447.88</v>
      </c>
      <c r="AT329" t="s">
        <v>82</v>
      </c>
    </row>
    <row r="330" spans="1:46" x14ac:dyDescent="0.35">
      <c r="A330" t="s">
        <v>52</v>
      </c>
      <c r="B330" t="s">
        <v>53</v>
      </c>
      <c r="C330" t="s">
        <v>54</v>
      </c>
      <c r="D330" t="s">
        <v>55</v>
      </c>
      <c r="E330" t="s">
        <v>56</v>
      </c>
      <c r="F330" t="s">
        <v>1174</v>
      </c>
      <c r="G330" t="s">
        <v>1175</v>
      </c>
      <c r="H330" t="s">
        <v>56</v>
      </c>
      <c r="I330" t="s">
        <v>1176</v>
      </c>
      <c r="J330" t="s">
        <v>61</v>
      </c>
      <c r="K330" t="s">
        <v>62</v>
      </c>
      <c r="L330" t="s">
        <v>56</v>
      </c>
      <c r="M330" t="s">
        <v>56</v>
      </c>
      <c r="N330" t="s">
        <v>331</v>
      </c>
      <c r="O330" t="s">
        <v>318</v>
      </c>
      <c r="P330" t="s">
        <v>319</v>
      </c>
      <c r="Q330" t="s">
        <v>515</v>
      </c>
      <c r="R330" t="s">
        <v>248</v>
      </c>
      <c r="S330">
        <v>3000000</v>
      </c>
      <c r="T330">
        <v>2871276.67</v>
      </c>
      <c r="U330" t="s">
        <v>68</v>
      </c>
      <c r="V330" t="s">
        <v>1177</v>
      </c>
      <c r="W330" s="9">
        <v>60602916</v>
      </c>
      <c r="X330" t="s">
        <v>1178</v>
      </c>
      <c r="Y330" s="1">
        <v>45518</v>
      </c>
      <c r="Z330" s="1">
        <v>45578</v>
      </c>
      <c r="AA330" s="2">
        <v>411159.2</v>
      </c>
      <c r="AB330" s="2">
        <v>348440</v>
      </c>
      <c r="AC330" s="2">
        <v>62719.199999999997</v>
      </c>
      <c r="AD330" s="2">
        <v>101484.09</v>
      </c>
      <c r="AE330" t="s">
        <v>1179</v>
      </c>
      <c r="AF330" t="s">
        <v>72</v>
      </c>
      <c r="AG330">
        <v>500</v>
      </c>
      <c r="AH330" t="s">
        <v>473</v>
      </c>
      <c r="AI330" t="s">
        <v>74</v>
      </c>
      <c r="AJ330" t="s">
        <v>127</v>
      </c>
      <c r="AK330" t="s">
        <v>334</v>
      </c>
      <c r="AL330" t="s">
        <v>77</v>
      </c>
      <c r="AM330" t="s">
        <v>78</v>
      </c>
      <c r="AN330" t="s">
        <v>239</v>
      </c>
      <c r="AO330" t="s">
        <v>80</v>
      </c>
      <c r="AP330" t="e">
        <v>#N/A</v>
      </c>
      <c r="AQ330" t="s">
        <v>335</v>
      </c>
      <c r="AR330" t="str">
        <f t="shared" si="10"/>
        <v>60602916.SPMINAM</v>
      </c>
      <c r="AS330">
        <f t="shared" si="11"/>
        <v>101484.09</v>
      </c>
      <c r="AT330" t="s">
        <v>82</v>
      </c>
    </row>
    <row r="331" spans="1:46" x14ac:dyDescent="0.35">
      <c r="A331" t="s">
        <v>52</v>
      </c>
      <c r="B331" t="s">
        <v>53</v>
      </c>
      <c r="C331" t="s">
        <v>54</v>
      </c>
      <c r="D331" t="s">
        <v>55</v>
      </c>
      <c r="E331" t="s">
        <v>56</v>
      </c>
      <c r="F331" t="s">
        <v>1180</v>
      </c>
      <c r="G331" t="s">
        <v>1181</v>
      </c>
      <c r="H331" t="s">
        <v>56</v>
      </c>
      <c r="I331" t="s">
        <v>1182</v>
      </c>
      <c r="J331" t="s">
        <v>61</v>
      </c>
      <c r="K331" t="s">
        <v>62</v>
      </c>
      <c r="L331" t="s">
        <v>56</v>
      </c>
      <c r="M331" t="s">
        <v>56</v>
      </c>
      <c r="N331" t="s">
        <v>1183</v>
      </c>
      <c r="O331" t="s">
        <v>318</v>
      </c>
      <c r="P331" t="s">
        <v>319</v>
      </c>
      <c r="Q331" t="s">
        <v>114</v>
      </c>
      <c r="R331" t="s">
        <v>88</v>
      </c>
      <c r="T331">
        <v>-1860555.19</v>
      </c>
      <c r="U331" t="s">
        <v>68</v>
      </c>
      <c r="V331" t="s">
        <v>1177</v>
      </c>
      <c r="W331" s="9">
        <v>60604120</v>
      </c>
      <c r="X331" t="s">
        <v>1184</v>
      </c>
      <c r="Y331" s="1">
        <v>45268</v>
      </c>
      <c r="Z331" s="1">
        <v>45268</v>
      </c>
      <c r="AA331" s="2">
        <v>492766.23</v>
      </c>
      <c r="AB331" s="2">
        <v>417598.5</v>
      </c>
      <c r="AC331" s="2">
        <v>75167.73</v>
      </c>
      <c r="AD331" s="2">
        <v>342081.42</v>
      </c>
      <c r="AE331" t="s">
        <v>1185</v>
      </c>
      <c r="AF331" t="s">
        <v>72</v>
      </c>
      <c r="AG331">
        <v>810</v>
      </c>
      <c r="AH331" t="s">
        <v>473</v>
      </c>
      <c r="AI331" t="s">
        <v>74</v>
      </c>
      <c r="AJ331" t="s">
        <v>75</v>
      </c>
      <c r="AK331" t="s">
        <v>76</v>
      </c>
      <c r="AL331" t="s">
        <v>77</v>
      </c>
      <c r="AM331" t="s">
        <v>78</v>
      </c>
      <c r="AN331" t="s">
        <v>239</v>
      </c>
      <c r="AO331" t="s">
        <v>80</v>
      </c>
      <c r="AP331" t="e">
        <v>#N/A</v>
      </c>
      <c r="AQ331" t="s">
        <v>81</v>
      </c>
      <c r="AR331" t="str">
        <f t="shared" si="10"/>
        <v>60604120.STATAM</v>
      </c>
      <c r="AS331">
        <f t="shared" si="11"/>
        <v>1860555.19</v>
      </c>
      <c r="AT331" t="s">
        <v>82</v>
      </c>
    </row>
    <row r="332" spans="1:46" x14ac:dyDescent="0.35">
      <c r="A332" t="s">
        <v>52</v>
      </c>
      <c r="B332" t="s">
        <v>53</v>
      </c>
      <c r="C332" t="s">
        <v>54</v>
      </c>
      <c r="D332" t="s">
        <v>55</v>
      </c>
      <c r="E332" t="s">
        <v>56</v>
      </c>
      <c r="F332" t="s">
        <v>1180</v>
      </c>
      <c r="G332" t="s">
        <v>1181</v>
      </c>
      <c r="H332" t="s">
        <v>56</v>
      </c>
      <c r="I332" t="s">
        <v>1182</v>
      </c>
      <c r="J332" t="s">
        <v>61</v>
      </c>
      <c r="K332" t="s">
        <v>62</v>
      </c>
      <c r="L332" t="s">
        <v>56</v>
      </c>
      <c r="M332" t="s">
        <v>56</v>
      </c>
      <c r="N332" t="s">
        <v>1186</v>
      </c>
      <c r="O332" t="s">
        <v>318</v>
      </c>
      <c r="P332" t="s">
        <v>319</v>
      </c>
      <c r="Q332" t="s">
        <v>114</v>
      </c>
      <c r="R332" t="s">
        <v>88</v>
      </c>
      <c r="T332">
        <v>-1860555.19</v>
      </c>
      <c r="U332" t="s">
        <v>68</v>
      </c>
      <c r="V332" t="s">
        <v>1177</v>
      </c>
      <c r="W332" s="9">
        <v>60604120</v>
      </c>
      <c r="X332" t="s">
        <v>1184</v>
      </c>
      <c r="Y332" s="1">
        <v>45268</v>
      </c>
      <c r="Z332" s="1">
        <v>45268</v>
      </c>
      <c r="AA332" s="2">
        <v>147166.65</v>
      </c>
      <c r="AB332" s="2">
        <v>124717.5</v>
      </c>
      <c r="AC332" s="2">
        <v>22449.15</v>
      </c>
      <c r="AD332" s="2">
        <v>102164.02</v>
      </c>
      <c r="AE332" t="s">
        <v>1187</v>
      </c>
      <c r="AF332" t="s">
        <v>72</v>
      </c>
      <c r="AG332">
        <v>810</v>
      </c>
      <c r="AH332" t="s">
        <v>473</v>
      </c>
      <c r="AI332" t="s">
        <v>74</v>
      </c>
      <c r="AJ332" t="s">
        <v>75</v>
      </c>
      <c r="AK332" t="s">
        <v>76</v>
      </c>
      <c r="AL332" t="s">
        <v>77</v>
      </c>
      <c r="AM332" t="s">
        <v>78</v>
      </c>
      <c r="AN332" t="s">
        <v>239</v>
      </c>
      <c r="AO332" t="s">
        <v>80</v>
      </c>
      <c r="AP332" t="e">
        <v>#N/A</v>
      </c>
      <c r="AQ332" t="s">
        <v>81</v>
      </c>
      <c r="AR332" t="str">
        <f t="shared" si="10"/>
        <v>60604120.STATAM</v>
      </c>
      <c r="AS332">
        <f t="shared" si="11"/>
        <v>1860555.19</v>
      </c>
      <c r="AT332" t="s">
        <v>82</v>
      </c>
    </row>
    <row r="333" spans="1:46" x14ac:dyDescent="0.35">
      <c r="A333" t="s">
        <v>52</v>
      </c>
      <c r="B333" t="s">
        <v>53</v>
      </c>
      <c r="C333" t="s">
        <v>54</v>
      </c>
      <c r="D333" t="s">
        <v>55</v>
      </c>
      <c r="E333" t="s">
        <v>56</v>
      </c>
      <c r="F333" t="s">
        <v>1180</v>
      </c>
      <c r="G333" t="s">
        <v>1181</v>
      </c>
      <c r="H333" t="s">
        <v>56</v>
      </c>
      <c r="I333" t="s">
        <v>1188</v>
      </c>
      <c r="J333" t="s">
        <v>61</v>
      </c>
      <c r="K333" t="s">
        <v>62</v>
      </c>
      <c r="L333" t="s">
        <v>56</v>
      </c>
      <c r="M333" t="s">
        <v>56</v>
      </c>
      <c r="N333" t="s">
        <v>1189</v>
      </c>
      <c r="O333" t="s">
        <v>318</v>
      </c>
      <c r="P333" t="s">
        <v>319</v>
      </c>
      <c r="Q333" t="s">
        <v>114</v>
      </c>
      <c r="R333" t="s">
        <v>88</v>
      </c>
      <c r="T333">
        <v>-1860555.19</v>
      </c>
      <c r="U333" t="s">
        <v>68</v>
      </c>
      <c r="V333" t="s">
        <v>1177</v>
      </c>
      <c r="W333" s="9">
        <v>60604120</v>
      </c>
      <c r="X333" t="s">
        <v>1190</v>
      </c>
      <c r="Y333" s="1">
        <v>45273</v>
      </c>
      <c r="Z333" s="1">
        <v>45273</v>
      </c>
      <c r="AA333" s="2">
        <v>441499.95</v>
      </c>
      <c r="AB333" s="2">
        <v>374152.5</v>
      </c>
      <c r="AC333" s="2">
        <v>67347.45</v>
      </c>
      <c r="AD333" s="2">
        <v>441499.95</v>
      </c>
      <c r="AE333" t="s">
        <v>1191</v>
      </c>
      <c r="AF333" t="s">
        <v>72</v>
      </c>
      <c r="AG333">
        <v>805</v>
      </c>
      <c r="AH333" t="s">
        <v>473</v>
      </c>
      <c r="AI333" t="s">
        <v>74</v>
      </c>
      <c r="AJ333" t="s">
        <v>75</v>
      </c>
      <c r="AK333" t="s">
        <v>76</v>
      </c>
      <c r="AL333" t="s">
        <v>77</v>
      </c>
      <c r="AM333" t="s">
        <v>78</v>
      </c>
      <c r="AN333" t="s">
        <v>239</v>
      </c>
      <c r="AO333" t="s">
        <v>80</v>
      </c>
      <c r="AP333" t="e">
        <v>#N/A</v>
      </c>
      <c r="AQ333" t="s">
        <v>81</v>
      </c>
      <c r="AR333" t="str">
        <f t="shared" si="10"/>
        <v>60604120.STATAM</v>
      </c>
      <c r="AS333">
        <f t="shared" si="11"/>
        <v>1860555.19</v>
      </c>
      <c r="AT333" t="s">
        <v>82</v>
      </c>
    </row>
    <row r="334" spans="1:46" x14ac:dyDescent="0.35">
      <c r="A334" t="s">
        <v>52</v>
      </c>
      <c r="B334" t="s">
        <v>53</v>
      </c>
      <c r="C334" t="s">
        <v>54</v>
      </c>
      <c r="D334" t="s">
        <v>55</v>
      </c>
      <c r="E334" t="s">
        <v>56</v>
      </c>
      <c r="F334" t="s">
        <v>1180</v>
      </c>
      <c r="G334" t="s">
        <v>1192</v>
      </c>
      <c r="H334" t="s">
        <v>56</v>
      </c>
      <c r="I334" t="s">
        <v>1193</v>
      </c>
      <c r="J334" t="s">
        <v>61</v>
      </c>
      <c r="K334" t="s">
        <v>62</v>
      </c>
      <c r="L334" t="s">
        <v>56</v>
      </c>
      <c r="M334" t="s">
        <v>56</v>
      </c>
      <c r="N334" t="s">
        <v>1183</v>
      </c>
      <c r="O334" t="s">
        <v>318</v>
      </c>
      <c r="P334" t="s">
        <v>319</v>
      </c>
      <c r="Q334" t="s">
        <v>114</v>
      </c>
      <c r="R334" t="s">
        <v>88</v>
      </c>
      <c r="T334">
        <v>-1860555.19</v>
      </c>
      <c r="U334" t="s">
        <v>68</v>
      </c>
      <c r="V334" t="s">
        <v>1177</v>
      </c>
      <c r="W334" s="9">
        <v>60604120</v>
      </c>
      <c r="X334" t="s">
        <v>1194</v>
      </c>
      <c r="Y334" s="1">
        <v>45309</v>
      </c>
      <c r="Z334" s="1">
        <v>45309</v>
      </c>
      <c r="AA334" s="2">
        <v>450811.92</v>
      </c>
      <c r="AB334" s="2">
        <v>382044</v>
      </c>
      <c r="AC334" s="2">
        <v>68767.92</v>
      </c>
      <c r="AD334" s="2">
        <v>450811.92</v>
      </c>
      <c r="AE334" t="s">
        <v>1195</v>
      </c>
      <c r="AF334" t="s">
        <v>72</v>
      </c>
      <c r="AG334">
        <v>769</v>
      </c>
      <c r="AH334" t="s">
        <v>473</v>
      </c>
      <c r="AI334" t="s">
        <v>74</v>
      </c>
      <c r="AJ334" t="s">
        <v>75</v>
      </c>
      <c r="AK334" t="s">
        <v>76</v>
      </c>
      <c r="AL334" t="s">
        <v>77</v>
      </c>
      <c r="AM334" t="s">
        <v>78</v>
      </c>
      <c r="AN334" t="s">
        <v>239</v>
      </c>
      <c r="AO334" t="s">
        <v>80</v>
      </c>
      <c r="AP334" t="e">
        <v>#N/A</v>
      </c>
      <c r="AQ334" t="s">
        <v>81</v>
      </c>
      <c r="AR334" t="str">
        <f t="shared" si="10"/>
        <v>60604120.STATAM</v>
      </c>
      <c r="AS334">
        <f t="shared" si="11"/>
        <v>1860555.19</v>
      </c>
      <c r="AT334" t="s">
        <v>82</v>
      </c>
    </row>
    <row r="335" spans="1:46" x14ac:dyDescent="0.35">
      <c r="A335" t="s">
        <v>52</v>
      </c>
      <c r="B335" t="s">
        <v>53</v>
      </c>
      <c r="C335" t="s">
        <v>54</v>
      </c>
      <c r="D335" t="s">
        <v>55</v>
      </c>
      <c r="E335" t="s">
        <v>56</v>
      </c>
      <c r="F335" t="s">
        <v>1180</v>
      </c>
      <c r="G335" t="s">
        <v>1192</v>
      </c>
      <c r="H335" t="s">
        <v>56</v>
      </c>
      <c r="I335" t="s">
        <v>1193</v>
      </c>
      <c r="J335" t="s">
        <v>61</v>
      </c>
      <c r="K335" t="s">
        <v>62</v>
      </c>
      <c r="L335" t="s">
        <v>56</v>
      </c>
      <c r="M335" t="s">
        <v>56</v>
      </c>
      <c r="N335" t="s">
        <v>1189</v>
      </c>
      <c r="O335" t="s">
        <v>318</v>
      </c>
      <c r="P335" t="s">
        <v>319</v>
      </c>
      <c r="Q335" t="s">
        <v>114</v>
      </c>
      <c r="R335" t="s">
        <v>88</v>
      </c>
      <c r="T335">
        <v>-1860555.19</v>
      </c>
      <c r="U335" t="s">
        <v>68</v>
      </c>
      <c r="V335" t="s">
        <v>1177</v>
      </c>
      <c r="W335" s="9">
        <v>60604120</v>
      </c>
      <c r="X335" t="s">
        <v>1194</v>
      </c>
      <c r="Y335" s="1">
        <v>45309</v>
      </c>
      <c r="Z335" s="1">
        <v>45309</v>
      </c>
      <c r="AA335" s="2">
        <v>523997.88</v>
      </c>
      <c r="AB335" s="2">
        <v>444066</v>
      </c>
      <c r="AC335" s="2">
        <v>79931.88</v>
      </c>
      <c r="AD335" s="2">
        <v>523997.88</v>
      </c>
      <c r="AE335" t="s">
        <v>1196</v>
      </c>
      <c r="AF335" t="s">
        <v>72</v>
      </c>
      <c r="AG335">
        <v>769</v>
      </c>
      <c r="AH335" t="s">
        <v>473</v>
      </c>
      <c r="AI335" t="s">
        <v>74</v>
      </c>
      <c r="AJ335" t="s">
        <v>75</v>
      </c>
      <c r="AK335" t="s">
        <v>76</v>
      </c>
      <c r="AL335" t="s">
        <v>77</v>
      </c>
      <c r="AM335" t="s">
        <v>78</v>
      </c>
      <c r="AN335" t="s">
        <v>239</v>
      </c>
      <c r="AO335" t="s">
        <v>80</v>
      </c>
      <c r="AP335" t="e">
        <v>#N/A</v>
      </c>
      <c r="AQ335" t="s">
        <v>81</v>
      </c>
      <c r="AR335" t="str">
        <f t="shared" si="10"/>
        <v>60604120.STATAM</v>
      </c>
      <c r="AS335">
        <f t="shared" si="11"/>
        <v>1860555.19</v>
      </c>
      <c r="AT335" t="s">
        <v>82</v>
      </c>
    </row>
    <row r="336" spans="1:46" x14ac:dyDescent="0.35">
      <c r="A336" t="s">
        <v>52</v>
      </c>
      <c r="B336" t="s">
        <v>53</v>
      </c>
      <c r="C336" t="s">
        <v>54</v>
      </c>
      <c r="D336" t="s">
        <v>55</v>
      </c>
      <c r="E336" t="s">
        <v>56</v>
      </c>
      <c r="F336" t="s">
        <v>1197</v>
      </c>
      <c r="G336" t="s">
        <v>56</v>
      </c>
      <c r="H336" t="s">
        <v>56</v>
      </c>
      <c r="I336" t="s">
        <v>1198</v>
      </c>
      <c r="J336" t="s">
        <v>61</v>
      </c>
      <c r="K336" t="s">
        <v>62</v>
      </c>
      <c r="L336" t="s">
        <v>56</v>
      </c>
      <c r="M336" t="s">
        <v>56</v>
      </c>
      <c r="N336" t="s">
        <v>56</v>
      </c>
      <c r="O336" t="s">
        <v>1199</v>
      </c>
      <c r="P336" t="s">
        <v>1200</v>
      </c>
      <c r="Q336" t="s">
        <v>87</v>
      </c>
      <c r="R336" t="s">
        <v>88</v>
      </c>
      <c r="T336">
        <v>6603</v>
      </c>
      <c r="U336" t="s">
        <v>68</v>
      </c>
      <c r="V336" t="s">
        <v>1201</v>
      </c>
      <c r="W336" s="9">
        <v>60604290</v>
      </c>
      <c r="X336" t="s">
        <v>1202</v>
      </c>
      <c r="Y336" s="1">
        <v>46059</v>
      </c>
      <c r="Z336" s="1">
        <v>46059</v>
      </c>
      <c r="AA336" s="2">
        <v>-35000</v>
      </c>
      <c r="AB336" s="2">
        <v>-35000</v>
      </c>
      <c r="AC336" s="2">
        <v>0</v>
      </c>
      <c r="AD336" s="2">
        <v>-35000</v>
      </c>
      <c r="AE336" t="s">
        <v>1202</v>
      </c>
      <c r="AF336" t="s">
        <v>72</v>
      </c>
      <c r="AG336">
        <v>19</v>
      </c>
      <c r="AH336" t="s">
        <v>73</v>
      </c>
      <c r="AI336" t="s">
        <v>74</v>
      </c>
      <c r="AJ336" t="s">
        <v>75</v>
      </c>
      <c r="AK336" t="s">
        <v>76</v>
      </c>
      <c r="AL336" t="s">
        <v>77</v>
      </c>
      <c r="AM336" t="s">
        <v>78</v>
      </c>
      <c r="AN336" t="s">
        <v>79</v>
      </c>
      <c r="AO336" t="s">
        <v>80</v>
      </c>
      <c r="AP336" t="e">
        <v>#N/A</v>
      </c>
      <c r="AQ336" t="s">
        <v>81</v>
      </c>
      <c r="AR336" t="str">
        <f t="shared" si="10"/>
        <v>60604290.STATAM</v>
      </c>
      <c r="AS336">
        <f t="shared" si="11"/>
        <v>-35000</v>
      </c>
      <c r="AT336" t="s">
        <v>93</v>
      </c>
    </row>
    <row r="337" spans="1:46" x14ac:dyDescent="0.35">
      <c r="A337" t="s">
        <v>52</v>
      </c>
      <c r="B337" t="s">
        <v>53</v>
      </c>
      <c r="C337" t="s">
        <v>54</v>
      </c>
      <c r="D337" t="s">
        <v>55</v>
      </c>
      <c r="E337" t="s">
        <v>56</v>
      </c>
      <c r="F337" t="s">
        <v>1203</v>
      </c>
      <c r="G337" t="s">
        <v>1204</v>
      </c>
      <c r="H337" t="s">
        <v>56</v>
      </c>
      <c r="I337" t="s">
        <v>1205</v>
      </c>
      <c r="J337" t="s">
        <v>61</v>
      </c>
      <c r="K337" t="s">
        <v>243</v>
      </c>
      <c r="L337" t="s">
        <v>56</v>
      </c>
      <c r="M337" t="s">
        <v>56</v>
      </c>
      <c r="N337" t="s">
        <v>477</v>
      </c>
      <c r="O337" t="s">
        <v>1206</v>
      </c>
      <c r="P337" t="s">
        <v>1207</v>
      </c>
      <c r="Q337" t="s">
        <v>114</v>
      </c>
      <c r="R337" t="s">
        <v>88</v>
      </c>
      <c r="T337">
        <v>-1824021.59</v>
      </c>
      <c r="U337" t="s">
        <v>68</v>
      </c>
      <c r="V337" t="s">
        <v>1208</v>
      </c>
      <c r="W337" s="9">
        <v>60603876</v>
      </c>
      <c r="X337" t="s">
        <v>1209</v>
      </c>
      <c r="Y337" s="1">
        <v>46074</v>
      </c>
      <c r="Z337" s="1">
        <v>46104</v>
      </c>
      <c r="AA337" s="2">
        <v>41281.82</v>
      </c>
      <c r="AB337" s="2">
        <v>34984.589999999997</v>
      </c>
      <c r="AC337" s="2">
        <v>6297.23</v>
      </c>
      <c r="AD337" s="2">
        <v>41281.82</v>
      </c>
      <c r="AE337" t="s">
        <v>1210</v>
      </c>
      <c r="AF337" t="s">
        <v>72</v>
      </c>
      <c r="AG337">
        <v>-26</v>
      </c>
      <c r="AH337" t="s">
        <v>117</v>
      </c>
      <c r="AI337" t="s">
        <v>74</v>
      </c>
      <c r="AJ337" t="s">
        <v>237</v>
      </c>
      <c r="AK337" t="s">
        <v>383</v>
      </c>
      <c r="AL337" t="s">
        <v>118</v>
      </c>
      <c r="AM337" t="s">
        <v>78</v>
      </c>
      <c r="AN337" t="s">
        <v>239</v>
      </c>
      <c r="AO337" t="s">
        <v>119</v>
      </c>
      <c r="AP337" t="e">
        <v>#N/A</v>
      </c>
      <c r="AQ337" t="s">
        <v>383</v>
      </c>
      <c r="AR337" t="str">
        <f t="shared" si="10"/>
        <v>60603876.MOBILAM</v>
      </c>
      <c r="AS337">
        <f t="shared" si="11"/>
        <v>1163659.99</v>
      </c>
      <c r="AT337" t="s">
        <v>82</v>
      </c>
    </row>
    <row r="338" spans="1:46" x14ac:dyDescent="0.35">
      <c r="A338" t="s">
        <v>52</v>
      </c>
      <c r="B338" t="s">
        <v>53</v>
      </c>
      <c r="C338" t="s">
        <v>54</v>
      </c>
      <c r="D338" t="s">
        <v>55</v>
      </c>
      <c r="E338" t="s">
        <v>56</v>
      </c>
      <c r="F338" t="s">
        <v>1203</v>
      </c>
      <c r="G338" t="s">
        <v>1204</v>
      </c>
      <c r="H338" t="s">
        <v>56</v>
      </c>
      <c r="I338" t="s">
        <v>1205</v>
      </c>
      <c r="J338" t="s">
        <v>61</v>
      </c>
      <c r="K338" t="s">
        <v>243</v>
      </c>
      <c r="L338" t="s">
        <v>56</v>
      </c>
      <c r="M338" t="s">
        <v>56</v>
      </c>
      <c r="N338" t="s">
        <v>331</v>
      </c>
      <c r="O338" t="s">
        <v>1206</v>
      </c>
      <c r="P338" t="s">
        <v>1207</v>
      </c>
      <c r="Q338" t="s">
        <v>114</v>
      </c>
      <c r="R338" t="s">
        <v>88</v>
      </c>
      <c r="T338">
        <v>-1824021.59</v>
      </c>
      <c r="U338" t="s">
        <v>68</v>
      </c>
      <c r="V338" t="s">
        <v>1208</v>
      </c>
      <c r="W338" s="9">
        <v>60603876</v>
      </c>
      <c r="X338" t="s">
        <v>1209</v>
      </c>
      <c r="Y338" s="1">
        <v>46074</v>
      </c>
      <c r="Z338" s="1">
        <v>46104</v>
      </c>
      <c r="AA338" s="2">
        <v>60533.29</v>
      </c>
      <c r="AB338" s="2">
        <v>51299.4</v>
      </c>
      <c r="AC338" s="2">
        <v>9233.89</v>
      </c>
      <c r="AD338" s="2">
        <v>60533.29</v>
      </c>
      <c r="AE338" t="s">
        <v>1211</v>
      </c>
      <c r="AF338" t="s">
        <v>72</v>
      </c>
      <c r="AG338">
        <v>-26</v>
      </c>
      <c r="AH338" t="s">
        <v>117</v>
      </c>
      <c r="AI338" t="s">
        <v>74</v>
      </c>
      <c r="AJ338" t="s">
        <v>127</v>
      </c>
      <c r="AK338" t="s">
        <v>334</v>
      </c>
      <c r="AL338" t="s">
        <v>118</v>
      </c>
      <c r="AM338" t="s">
        <v>78</v>
      </c>
      <c r="AN338" t="s">
        <v>239</v>
      </c>
      <c r="AO338" t="s">
        <v>119</v>
      </c>
      <c r="AP338" t="e">
        <v>#N/A</v>
      </c>
      <c r="AQ338" t="s">
        <v>335</v>
      </c>
      <c r="AR338" t="str">
        <f t="shared" si="10"/>
        <v>60603876.SPMINAM</v>
      </c>
      <c r="AS338">
        <f t="shared" si="11"/>
        <v>60533.29</v>
      </c>
      <c r="AT338" t="s">
        <v>82</v>
      </c>
    </row>
    <row r="339" spans="1:46" x14ac:dyDescent="0.35">
      <c r="A339" t="s">
        <v>52</v>
      </c>
      <c r="B339" t="s">
        <v>53</v>
      </c>
      <c r="C339" t="s">
        <v>54</v>
      </c>
      <c r="D339" t="s">
        <v>55</v>
      </c>
      <c r="E339" t="s">
        <v>56</v>
      </c>
      <c r="F339" t="s">
        <v>1203</v>
      </c>
      <c r="G339" t="s">
        <v>1204</v>
      </c>
      <c r="H339" t="s">
        <v>56</v>
      </c>
      <c r="I339" t="s">
        <v>1205</v>
      </c>
      <c r="J339" t="s">
        <v>61</v>
      </c>
      <c r="K339" t="s">
        <v>243</v>
      </c>
      <c r="L339" t="s">
        <v>56</v>
      </c>
      <c r="M339" t="s">
        <v>56</v>
      </c>
      <c r="N339" t="s">
        <v>497</v>
      </c>
      <c r="O339" t="s">
        <v>1206</v>
      </c>
      <c r="P339" t="s">
        <v>1207</v>
      </c>
      <c r="Q339" t="s">
        <v>114</v>
      </c>
      <c r="R339" t="s">
        <v>88</v>
      </c>
      <c r="T339">
        <v>-1824021.59</v>
      </c>
      <c r="U339" t="s">
        <v>68</v>
      </c>
      <c r="V339" t="s">
        <v>1208</v>
      </c>
      <c r="W339" s="9">
        <v>60603876</v>
      </c>
      <c r="X339" t="s">
        <v>1209</v>
      </c>
      <c r="Y339" s="1">
        <v>46074</v>
      </c>
      <c r="Z339" s="1">
        <v>46104</v>
      </c>
      <c r="AA339" s="2">
        <v>76130.36</v>
      </c>
      <c r="AB339" s="2">
        <v>64517.25</v>
      </c>
      <c r="AC339" s="2">
        <v>11613.11</v>
      </c>
      <c r="AD339" s="2">
        <v>76130.36</v>
      </c>
      <c r="AE339" t="s">
        <v>1212</v>
      </c>
      <c r="AF339" t="s">
        <v>72</v>
      </c>
      <c r="AG339">
        <v>-26</v>
      </c>
      <c r="AH339" t="s">
        <v>117</v>
      </c>
      <c r="AI339" t="s">
        <v>74</v>
      </c>
      <c r="AJ339" t="s">
        <v>237</v>
      </c>
      <c r="AK339" t="s">
        <v>383</v>
      </c>
      <c r="AL339" t="s">
        <v>118</v>
      </c>
      <c r="AM339" t="s">
        <v>78</v>
      </c>
      <c r="AN339" t="s">
        <v>239</v>
      </c>
      <c r="AO339" t="s">
        <v>119</v>
      </c>
      <c r="AP339" t="e">
        <v>#N/A</v>
      </c>
      <c r="AQ339" t="s">
        <v>383</v>
      </c>
      <c r="AR339" t="str">
        <f t="shared" si="10"/>
        <v>60603876.MOBILAM</v>
      </c>
      <c r="AS339">
        <f t="shared" si="11"/>
        <v>1163659.99</v>
      </c>
      <c r="AT339" t="s">
        <v>82</v>
      </c>
    </row>
    <row r="340" spans="1:46" x14ac:dyDescent="0.35">
      <c r="A340" t="s">
        <v>52</v>
      </c>
      <c r="B340" t="s">
        <v>53</v>
      </c>
      <c r="C340" t="s">
        <v>54</v>
      </c>
      <c r="D340" t="s">
        <v>55</v>
      </c>
      <c r="E340" t="s">
        <v>56</v>
      </c>
      <c r="F340" t="s">
        <v>1203</v>
      </c>
      <c r="G340" t="s">
        <v>1204</v>
      </c>
      <c r="H340" t="s">
        <v>56</v>
      </c>
      <c r="I340" t="s">
        <v>1213</v>
      </c>
      <c r="J340" t="s">
        <v>61</v>
      </c>
      <c r="K340" t="s">
        <v>243</v>
      </c>
      <c r="L340" t="s">
        <v>56</v>
      </c>
      <c r="M340" t="s">
        <v>56</v>
      </c>
      <c r="N340" t="s">
        <v>1214</v>
      </c>
      <c r="O340" t="s">
        <v>1206</v>
      </c>
      <c r="P340" t="s">
        <v>1207</v>
      </c>
      <c r="Q340" t="s">
        <v>114</v>
      </c>
      <c r="R340" t="s">
        <v>88</v>
      </c>
      <c r="T340">
        <v>-1824021.59</v>
      </c>
      <c r="U340" t="s">
        <v>68</v>
      </c>
      <c r="V340" t="s">
        <v>1208</v>
      </c>
      <c r="W340" s="9">
        <v>60603876</v>
      </c>
      <c r="X340" t="s">
        <v>1215</v>
      </c>
      <c r="Y340" s="1">
        <v>46076</v>
      </c>
      <c r="Z340" s="1">
        <v>46106</v>
      </c>
      <c r="AA340" s="2">
        <v>374950.08</v>
      </c>
      <c r="AB340" s="2">
        <v>317754.3</v>
      </c>
      <c r="AC340" s="2">
        <v>57195.78</v>
      </c>
      <c r="AD340" s="2">
        <v>374950.08</v>
      </c>
      <c r="AE340" t="s">
        <v>1216</v>
      </c>
      <c r="AF340" t="s">
        <v>72</v>
      </c>
      <c r="AG340">
        <v>-28</v>
      </c>
      <c r="AH340" t="s">
        <v>117</v>
      </c>
      <c r="AI340" t="s">
        <v>74</v>
      </c>
      <c r="AJ340" t="s">
        <v>237</v>
      </c>
      <c r="AK340" t="s">
        <v>383</v>
      </c>
      <c r="AL340" t="s">
        <v>118</v>
      </c>
      <c r="AM340" t="s">
        <v>78</v>
      </c>
      <c r="AN340" t="s">
        <v>239</v>
      </c>
      <c r="AO340" t="s">
        <v>119</v>
      </c>
      <c r="AP340" t="e">
        <v>#N/A</v>
      </c>
      <c r="AQ340" t="s">
        <v>383</v>
      </c>
      <c r="AR340" t="str">
        <f t="shared" si="10"/>
        <v>60603876.MOBILAM</v>
      </c>
      <c r="AS340">
        <f t="shared" si="11"/>
        <v>1163659.99</v>
      </c>
      <c r="AT340" t="s">
        <v>82</v>
      </c>
    </row>
    <row r="341" spans="1:46" x14ac:dyDescent="0.35">
      <c r="A341" t="s">
        <v>52</v>
      </c>
      <c r="B341" t="s">
        <v>53</v>
      </c>
      <c r="C341" t="s">
        <v>54</v>
      </c>
      <c r="D341" t="s">
        <v>55</v>
      </c>
      <c r="E341" t="s">
        <v>56</v>
      </c>
      <c r="F341" t="s">
        <v>1203</v>
      </c>
      <c r="G341" t="s">
        <v>1204</v>
      </c>
      <c r="H341" t="s">
        <v>56</v>
      </c>
      <c r="I341" t="s">
        <v>1213</v>
      </c>
      <c r="J341" t="s">
        <v>61</v>
      </c>
      <c r="K341" t="s">
        <v>243</v>
      </c>
      <c r="L341" t="s">
        <v>56</v>
      </c>
      <c r="M341" t="s">
        <v>56</v>
      </c>
      <c r="N341" t="s">
        <v>477</v>
      </c>
      <c r="O341" t="s">
        <v>1206</v>
      </c>
      <c r="P341" t="s">
        <v>1207</v>
      </c>
      <c r="Q341" t="s">
        <v>114</v>
      </c>
      <c r="R341" t="s">
        <v>88</v>
      </c>
      <c r="T341">
        <v>-1824021.59</v>
      </c>
      <c r="U341" t="s">
        <v>68</v>
      </c>
      <c r="V341" t="s">
        <v>1208</v>
      </c>
      <c r="W341" s="9">
        <v>60603876</v>
      </c>
      <c r="X341" t="s">
        <v>1215</v>
      </c>
      <c r="Y341" s="1">
        <v>46076</v>
      </c>
      <c r="Z341" s="1">
        <v>46106</v>
      </c>
      <c r="AA341" s="2">
        <v>83119.41</v>
      </c>
      <c r="AB341" s="2">
        <v>70440.179999999993</v>
      </c>
      <c r="AC341" s="2">
        <v>12679.23</v>
      </c>
      <c r="AD341" s="2">
        <v>83119.41</v>
      </c>
      <c r="AE341" t="s">
        <v>1217</v>
      </c>
      <c r="AF341" t="s">
        <v>72</v>
      </c>
      <c r="AG341">
        <v>-28</v>
      </c>
      <c r="AH341" t="s">
        <v>117</v>
      </c>
      <c r="AI341" t="s">
        <v>74</v>
      </c>
      <c r="AJ341" t="s">
        <v>237</v>
      </c>
      <c r="AK341" t="s">
        <v>383</v>
      </c>
      <c r="AL341" t="s">
        <v>118</v>
      </c>
      <c r="AM341" t="s">
        <v>78</v>
      </c>
      <c r="AN341" t="s">
        <v>239</v>
      </c>
      <c r="AO341" t="s">
        <v>119</v>
      </c>
      <c r="AP341" t="e">
        <v>#N/A</v>
      </c>
      <c r="AQ341" t="s">
        <v>383</v>
      </c>
      <c r="AR341" t="str">
        <f t="shared" si="10"/>
        <v>60603876.MOBILAM</v>
      </c>
      <c r="AS341">
        <f t="shared" si="11"/>
        <v>1163659.99</v>
      </c>
      <c r="AT341" t="s">
        <v>82</v>
      </c>
    </row>
    <row r="342" spans="1:46" x14ac:dyDescent="0.35">
      <c r="A342" t="s">
        <v>52</v>
      </c>
      <c r="B342" t="s">
        <v>53</v>
      </c>
      <c r="C342" t="s">
        <v>54</v>
      </c>
      <c r="D342" t="s">
        <v>55</v>
      </c>
      <c r="E342" t="s">
        <v>56</v>
      </c>
      <c r="F342" t="s">
        <v>1203</v>
      </c>
      <c r="G342" t="s">
        <v>1204</v>
      </c>
      <c r="H342" t="s">
        <v>56</v>
      </c>
      <c r="I342" t="s">
        <v>1213</v>
      </c>
      <c r="J342" t="s">
        <v>61</v>
      </c>
      <c r="K342" t="s">
        <v>243</v>
      </c>
      <c r="L342" t="s">
        <v>56</v>
      </c>
      <c r="M342" t="s">
        <v>56</v>
      </c>
      <c r="N342" t="s">
        <v>497</v>
      </c>
      <c r="O342" t="s">
        <v>1206</v>
      </c>
      <c r="P342" t="s">
        <v>1207</v>
      </c>
      <c r="Q342" t="s">
        <v>114</v>
      </c>
      <c r="R342" t="s">
        <v>88</v>
      </c>
      <c r="T342">
        <v>-1824021.59</v>
      </c>
      <c r="U342" t="s">
        <v>68</v>
      </c>
      <c r="V342" t="s">
        <v>1208</v>
      </c>
      <c r="W342" s="9">
        <v>60603876</v>
      </c>
      <c r="X342" t="s">
        <v>1215</v>
      </c>
      <c r="Y342" s="1">
        <v>46076</v>
      </c>
      <c r="Z342" s="1">
        <v>46106</v>
      </c>
      <c r="AA342" s="2">
        <v>588178.31999999995</v>
      </c>
      <c r="AB342" s="2">
        <v>498456.2</v>
      </c>
      <c r="AC342" s="2">
        <v>89722.12</v>
      </c>
      <c r="AD342" s="2">
        <v>588178.31999999995</v>
      </c>
      <c r="AE342" t="s">
        <v>1218</v>
      </c>
      <c r="AF342" t="s">
        <v>72</v>
      </c>
      <c r="AG342">
        <v>-28</v>
      </c>
      <c r="AH342" t="s">
        <v>117</v>
      </c>
      <c r="AI342" t="s">
        <v>74</v>
      </c>
      <c r="AJ342" t="s">
        <v>237</v>
      </c>
      <c r="AK342" t="s">
        <v>383</v>
      </c>
      <c r="AL342" t="s">
        <v>118</v>
      </c>
      <c r="AM342" t="s">
        <v>78</v>
      </c>
      <c r="AN342" t="s">
        <v>239</v>
      </c>
      <c r="AO342" t="s">
        <v>119</v>
      </c>
      <c r="AP342" t="e">
        <v>#N/A</v>
      </c>
      <c r="AQ342" t="s">
        <v>383</v>
      </c>
      <c r="AR342" t="str">
        <f t="shared" si="10"/>
        <v>60603876.MOBILAM</v>
      </c>
      <c r="AS342">
        <f t="shared" si="11"/>
        <v>1163659.99</v>
      </c>
      <c r="AT342" t="s">
        <v>82</v>
      </c>
    </row>
    <row r="343" spans="1:46" x14ac:dyDescent="0.35">
      <c r="A343" t="s">
        <v>52</v>
      </c>
      <c r="B343" t="s">
        <v>53</v>
      </c>
      <c r="C343" t="s">
        <v>54</v>
      </c>
      <c r="D343" t="s">
        <v>55</v>
      </c>
      <c r="E343" t="s">
        <v>56</v>
      </c>
      <c r="F343" t="s">
        <v>1219</v>
      </c>
      <c r="G343" t="s">
        <v>56</v>
      </c>
      <c r="H343" t="s">
        <v>56</v>
      </c>
      <c r="I343" t="s">
        <v>1220</v>
      </c>
      <c r="J343" t="s">
        <v>61</v>
      </c>
      <c r="K343" t="s">
        <v>62</v>
      </c>
      <c r="L343" t="s">
        <v>56</v>
      </c>
      <c r="M343" t="s">
        <v>56</v>
      </c>
      <c r="N343" t="s">
        <v>56</v>
      </c>
      <c r="O343" t="s">
        <v>1206</v>
      </c>
      <c r="P343" t="s">
        <v>1207</v>
      </c>
      <c r="Q343" t="s">
        <v>87</v>
      </c>
      <c r="R343" t="s">
        <v>88</v>
      </c>
      <c r="T343">
        <v>47714</v>
      </c>
      <c r="U343" t="s">
        <v>68</v>
      </c>
      <c r="V343" t="s">
        <v>1221</v>
      </c>
      <c r="W343" s="9">
        <v>60604166</v>
      </c>
      <c r="X343" t="s">
        <v>1222</v>
      </c>
      <c r="Y343" s="1">
        <v>45843</v>
      </c>
      <c r="Z343" s="1">
        <v>45843</v>
      </c>
      <c r="AA343" s="2">
        <v>-304468</v>
      </c>
      <c r="AB343" s="2">
        <v>-304468</v>
      </c>
      <c r="AC343" s="2">
        <v>0</v>
      </c>
      <c r="AD343" s="2">
        <v>-47714</v>
      </c>
      <c r="AE343" t="s">
        <v>1222</v>
      </c>
      <c r="AF343" t="s">
        <v>72</v>
      </c>
      <c r="AG343">
        <v>235</v>
      </c>
      <c r="AH343" t="s">
        <v>101</v>
      </c>
      <c r="AI343" t="s">
        <v>74</v>
      </c>
      <c r="AJ343" t="s">
        <v>75</v>
      </c>
      <c r="AK343" t="s">
        <v>76</v>
      </c>
      <c r="AL343" t="s">
        <v>77</v>
      </c>
      <c r="AM343" t="s">
        <v>78</v>
      </c>
      <c r="AN343" t="s">
        <v>239</v>
      </c>
      <c r="AO343" t="s">
        <v>80</v>
      </c>
      <c r="AP343" t="e">
        <v>#N/A</v>
      </c>
      <c r="AQ343" t="s">
        <v>81</v>
      </c>
      <c r="AR343" t="str">
        <f t="shared" si="10"/>
        <v>60604166.STATAM</v>
      </c>
      <c r="AS343">
        <f t="shared" si="11"/>
        <v>-47714</v>
      </c>
      <c r="AT343" t="s">
        <v>93</v>
      </c>
    </row>
    <row r="344" spans="1:46" x14ac:dyDescent="0.35">
      <c r="A344" t="s">
        <v>52</v>
      </c>
      <c r="B344" t="s">
        <v>53</v>
      </c>
      <c r="C344" t="s">
        <v>1223</v>
      </c>
      <c r="D344" t="s">
        <v>1224</v>
      </c>
      <c r="E344" t="s">
        <v>56</v>
      </c>
      <c r="F344" t="s">
        <v>1225</v>
      </c>
      <c r="G344" t="s">
        <v>1226</v>
      </c>
      <c r="H344" t="s">
        <v>56</v>
      </c>
      <c r="I344" t="s">
        <v>1227</v>
      </c>
      <c r="J344" t="s">
        <v>61</v>
      </c>
      <c r="K344" t="s">
        <v>62</v>
      </c>
      <c r="L344" t="s">
        <v>1228</v>
      </c>
      <c r="M344" t="s">
        <v>56</v>
      </c>
      <c r="N344" t="s">
        <v>1229</v>
      </c>
      <c r="O344" t="s">
        <v>1230</v>
      </c>
      <c r="P344" t="s">
        <v>1231</v>
      </c>
      <c r="Q344" t="s">
        <v>1232</v>
      </c>
      <c r="R344" t="s">
        <v>67</v>
      </c>
      <c r="S344">
        <v>300000000</v>
      </c>
      <c r="T344">
        <v>70619501.799999997</v>
      </c>
      <c r="U344" t="s">
        <v>68</v>
      </c>
      <c r="V344" t="s">
        <v>1233</v>
      </c>
      <c r="W344" s="9">
        <v>60602519</v>
      </c>
      <c r="X344" t="s">
        <v>1234</v>
      </c>
      <c r="Y344" s="1">
        <v>46058</v>
      </c>
      <c r="Z344" s="1">
        <v>46088</v>
      </c>
      <c r="AA344" s="2">
        <v>5027.9799999999996</v>
      </c>
      <c r="AB344" s="2">
        <v>4261</v>
      </c>
      <c r="AC344" s="2">
        <v>766.98</v>
      </c>
      <c r="AD344" s="2">
        <v>5027.9799999999996</v>
      </c>
      <c r="AE344" t="s">
        <v>1235</v>
      </c>
      <c r="AF344" t="s">
        <v>72</v>
      </c>
      <c r="AG344">
        <v>-10</v>
      </c>
      <c r="AH344" t="s">
        <v>117</v>
      </c>
      <c r="AI344" t="s">
        <v>74</v>
      </c>
      <c r="AJ344" t="s">
        <v>1236</v>
      </c>
      <c r="AK344" t="s">
        <v>1237</v>
      </c>
      <c r="AL344" t="s">
        <v>118</v>
      </c>
      <c r="AM344" t="s">
        <v>1238</v>
      </c>
      <c r="AN344" t="s">
        <v>1239</v>
      </c>
      <c r="AO344" t="s">
        <v>119</v>
      </c>
      <c r="AP344" t="e">
        <v>#N/A</v>
      </c>
      <c r="AQ344" t="s">
        <v>1237</v>
      </c>
      <c r="AR344" t="str">
        <f t="shared" si="10"/>
        <v>60602519.ATDAM</v>
      </c>
      <c r="AS344">
        <f t="shared" si="11"/>
        <v>1698801.55</v>
      </c>
      <c r="AT344" t="s">
        <v>82</v>
      </c>
    </row>
    <row r="345" spans="1:46" x14ac:dyDescent="0.35">
      <c r="A345" t="s">
        <v>52</v>
      </c>
      <c r="B345" t="s">
        <v>53</v>
      </c>
      <c r="C345" t="s">
        <v>1223</v>
      </c>
      <c r="D345" t="s">
        <v>1224</v>
      </c>
      <c r="E345" t="s">
        <v>56</v>
      </c>
      <c r="F345" t="s">
        <v>1225</v>
      </c>
      <c r="G345" t="s">
        <v>1226</v>
      </c>
      <c r="H345" t="s">
        <v>56</v>
      </c>
      <c r="I345" t="s">
        <v>1240</v>
      </c>
      <c r="J345" t="s">
        <v>61</v>
      </c>
      <c r="K345" t="s">
        <v>62</v>
      </c>
      <c r="L345" t="s">
        <v>1241</v>
      </c>
      <c r="M345" t="s">
        <v>56</v>
      </c>
      <c r="N345" t="s">
        <v>1229</v>
      </c>
      <c r="O345" t="s">
        <v>1230</v>
      </c>
      <c r="P345" t="s">
        <v>1231</v>
      </c>
      <c r="Q345" t="s">
        <v>1232</v>
      </c>
      <c r="R345" t="s">
        <v>67</v>
      </c>
      <c r="S345">
        <v>300000000</v>
      </c>
      <c r="T345">
        <v>70619501.799999997</v>
      </c>
      <c r="U345" t="s">
        <v>68</v>
      </c>
      <c r="V345" t="s">
        <v>1233</v>
      </c>
      <c r="W345" s="9">
        <v>60602519</v>
      </c>
      <c r="X345" t="s">
        <v>1242</v>
      </c>
      <c r="Y345" s="1">
        <v>46076</v>
      </c>
      <c r="Z345" s="1">
        <v>46106</v>
      </c>
      <c r="AA345" s="2">
        <v>1443279.48</v>
      </c>
      <c r="AB345" s="2">
        <v>1223118.2</v>
      </c>
      <c r="AC345" s="2">
        <v>220161.28</v>
      </c>
      <c r="AD345" s="2">
        <v>1443279.48</v>
      </c>
      <c r="AE345" t="s">
        <v>1243</v>
      </c>
      <c r="AF345" t="s">
        <v>72</v>
      </c>
      <c r="AG345">
        <v>-28</v>
      </c>
      <c r="AH345" t="s">
        <v>117</v>
      </c>
      <c r="AI345" t="s">
        <v>74</v>
      </c>
      <c r="AJ345" t="s">
        <v>1236</v>
      </c>
      <c r="AK345" t="s">
        <v>1237</v>
      </c>
      <c r="AL345" t="s">
        <v>118</v>
      </c>
      <c r="AM345" t="s">
        <v>1238</v>
      </c>
      <c r="AN345" t="s">
        <v>1239</v>
      </c>
      <c r="AO345" t="s">
        <v>119</v>
      </c>
      <c r="AP345" t="e">
        <v>#N/A</v>
      </c>
      <c r="AQ345" t="s">
        <v>1237</v>
      </c>
      <c r="AR345" t="str">
        <f t="shared" si="10"/>
        <v>60602519.ATDAM</v>
      </c>
      <c r="AS345">
        <f t="shared" si="11"/>
        <v>1698801.55</v>
      </c>
      <c r="AT345" t="s">
        <v>82</v>
      </c>
    </row>
    <row r="346" spans="1:46" x14ac:dyDescent="0.35">
      <c r="A346" t="s">
        <v>52</v>
      </c>
      <c r="B346" t="s">
        <v>53</v>
      </c>
      <c r="C346" t="s">
        <v>1223</v>
      </c>
      <c r="D346" t="s">
        <v>1224</v>
      </c>
      <c r="E346" t="s">
        <v>56</v>
      </c>
      <c r="F346" t="s">
        <v>1225</v>
      </c>
      <c r="G346" t="s">
        <v>1244</v>
      </c>
      <c r="H346" t="s">
        <v>56</v>
      </c>
      <c r="I346" t="s">
        <v>1245</v>
      </c>
      <c r="J346" t="s">
        <v>61</v>
      </c>
      <c r="K346" t="s">
        <v>62</v>
      </c>
      <c r="L346" t="s">
        <v>1246</v>
      </c>
      <c r="M346" t="s">
        <v>56</v>
      </c>
      <c r="N346" t="s">
        <v>1247</v>
      </c>
      <c r="O346" t="s">
        <v>1230</v>
      </c>
      <c r="P346" t="s">
        <v>1231</v>
      </c>
      <c r="Q346" t="s">
        <v>1248</v>
      </c>
      <c r="R346" t="s">
        <v>67</v>
      </c>
      <c r="S346">
        <v>300000000</v>
      </c>
      <c r="T346">
        <v>70619501.799999997</v>
      </c>
      <c r="U346" t="s">
        <v>68</v>
      </c>
      <c r="V346" t="s">
        <v>1233</v>
      </c>
      <c r="W346" s="9">
        <v>60602519</v>
      </c>
      <c r="X346" t="s">
        <v>1249</v>
      </c>
      <c r="Y346" s="1">
        <v>46076</v>
      </c>
      <c r="Z346" s="1">
        <v>46106</v>
      </c>
      <c r="AA346" s="2">
        <v>5864.58</v>
      </c>
      <c r="AB346" s="2">
        <v>4969.9799999999996</v>
      </c>
      <c r="AC346" s="2">
        <v>894.6</v>
      </c>
      <c r="AD346" s="2">
        <v>5864.58</v>
      </c>
      <c r="AE346" t="s">
        <v>1250</v>
      </c>
      <c r="AF346" t="s">
        <v>72</v>
      </c>
      <c r="AG346">
        <v>-28</v>
      </c>
      <c r="AH346" t="s">
        <v>117</v>
      </c>
      <c r="AI346" t="s">
        <v>74</v>
      </c>
      <c r="AJ346" t="s">
        <v>1236</v>
      </c>
      <c r="AK346" t="s">
        <v>1237</v>
      </c>
      <c r="AL346" t="s">
        <v>118</v>
      </c>
      <c r="AM346" t="s">
        <v>1238</v>
      </c>
      <c r="AN346" t="s">
        <v>1239</v>
      </c>
      <c r="AO346" t="s">
        <v>119</v>
      </c>
      <c r="AP346" t="e">
        <v>#N/A</v>
      </c>
      <c r="AQ346" t="s">
        <v>1237</v>
      </c>
      <c r="AR346" t="str">
        <f t="shared" si="10"/>
        <v>60602519.ATDAM</v>
      </c>
      <c r="AS346">
        <f t="shared" si="11"/>
        <v>1698801.55</v>
      </c>
      <c r="AT346" t="s">
        <v>82</v>
      </c>
    </row>
    <row r="347" spans="1:46" x14ac:dyDescent="0.35">
      <c r="A347" t="s">
        <v>52</v>
      </c>
      <c r="B347" t="s">
        <v>53</v>
      </c>
      <c r="C347" t="s">
        <v>1223</v>
      </c>
      <c r="D347" t="s">
        <v>1224</v>
      </c>
      <c r="E347" t="s">
        <v>56</v>
      </c>
      <c r="F347" t="s">
        <v>1225</v>
      </c>
      <c r="G347" t="s">
        <v>1226</v>
      </c>
      <c r="H347" t="s">
        <v>56</v>
      </c>
      <c r="I347" t="s">
        <v>1251</v>
      </c>
      <c r="J347" t="s">
        <v>61</v>
      </c>
      <c r="K347" t="s">
        <v>62</v>
      </c>
      <c r="L347" t="s">
        <v>1252</v>
      </c>
      <c r="M347" t="s">
        <v>56</v>
      </c>
      <c r="N347" t="s">
        <v>1229</v>
      </c>
      <c r="O347" t="s">
        <v>1230</v>
      </c>
      <c r="P347" t="s">
        <v>1231</v>
      </c>
      <c r="Q347" t="s">
        <v>1232</v>
      </c>
      <c r="R347" t="s">
        <v>67</v>
      </c>
      <c r="S347">
        <v>300000000</v>
      </c>
      <c r="T347">
        <v>70619501.799999997</v>
      </c>
      <c r="U347" t="s">
        <v>68</v>
      </c>
      <c r="V347" t="s">
        <v>1233</v>
      </c>
      <c r="W347" s="9">
        <v>60602519</v>
      </c>
      <c r="X347" t="s">
        <v>1253</v>
      </c>
      <c r="Y347" s="1">
        <v>46076</v>
      </c>
      <c r="Z347" s="1">
        <v>46106</v>
      </c>
      <c r="AA347" s="2">
        <v>44630.27</v>
      </c>
      <c r="AB347" s="2">
        <v>37822.26</v>
      </c>
      <c r="AC347" s="2">
        <v>6808.01</v>
      </c>
      <c r="AD347" s="2">
        <v>44630.27</v>
      </c>
      <c r="AE347" t="s">
        <v>1254</v>
      </c>
      <c r="AF347" t="s">
        <v>72</v>
      </c>
      <c r="AG347">
        <v>-28</v>
      </c>
      <c r="AH347" t="s">
        <v>117</v>
      </c>
      <c r="AI347" t="s">
        <v>74</v>
      </c>
      <c r="AJ347" t="s">
        <v>1236</v>
      </c>
      <c r="AK347" t="s">
        <v>1237</v>
      </c>
      <c r="AL347" t="s">
        <v>118</v>
      </c>
      <c r="AM347" t="s">
        <v>1238</v>
      </c>
      <c r="AN347" t="s">
        <v>1239</v>
      </c>
      <c r="AO347" t="s">
        <v>119</v>
      </c>
      <c r="AP347" t="e">
        <v>#N/A</v>
      </c>
      <c r="AQ347" t="s">
        <v>1237</v>
      </c>
      <c r="AR347" t="str">
        <f t="shared" si="10"/>
        <v>60602519.ATDAM</v>
      </c>
      <c r="AS347">
        <f t="shared" si="11"/>
        <v>1698801.55</v>
      </c>
      <c r="AT347" t="s">
        <v>82</v>
      </c>
    </row>
    <row r="348" spans="1:46" x14ac:dyDescent="0.35">
      <c r="A348" t="s">
        <v>52</v>
      </c>
      <c r="B348" t="s">
        <v>53</v>
      </c>
      <c r="C348" t="s">
        <v>1223</v>
      </c>
      <c r="D348" t="s">
        <v>1224</v>
      </c>
      <c r="E348" t="s">
        <v>56</v>
      </c>
      <c r="F348" t="s">
        <v>1225</v>
      </c>
      <c r="G348" t="s">
        <v>1226</v>
      </c>
      <c r="H348" t="s">
        <v>56</v>
      </c>
      <c r="I348" t="s">
        <v>1255</v>
      </c>
      <c r="J348" t="s">
        <v>61</v>
      </c>
      <c r="K348" t="s">
        <v>62</v>
      </c>
      <c r="L348" t="s">
        <v>1256</v>
      </c>
      <c r="M348" t="s">
        <v>56</v>
      </c>
      <c r="N348" t="s">
        <v>1229</v>
      </c>
      <c r="O348" t="s">
        <v>1230</v>
      </c>
      <c r="P348" t="s">
        <v>1231</v>
      </c>
      <c r="Q348" t="s">
        <v>1232</v>
      </c>
      <c r="R348" t="s">
        <v>67</v>
      </c>
      <c r="S348">
        <v>300000000</v>
      </c>
      <c r="T348">
        <v>70619501.799999997</v>
      </c>
      <c r="U348" t="s">
        <v>68</v>
      </c>
      <c r="V348" t="s">
        <v>1233</v>
      </c>
      <c r="W348" s="9">
        <v>60602519</v>
      </c>
      <c r="X348" t="s">
        <v>1257</v>
      </c>
      <c r="Y348" s="1">
        <v>46076</v>
      </c>
      <c r="Z348" s="1">
        <v>46106</v>
      </c>
      <c r="AA348" s="2">
        <v>199999.24</v>
      </c>
      <c r="AB348" s="2">
        <v>169490.88</v>
      </c>
      <c r="AC348" s="2">
        <v>30508.36</v>
      </c>
      <c r="AD348" s="2">
        <v>199999.24</v>
      </c>
      <c r="AE348" t="s">
        <v>1258</v>
      </c>
      <c r="AF348" t="s">
        <v>72</v>
      </c>
      <c r="AG348">
        <v>-28</v>
      </c>
      <c r="AH348" t="s">
        <v>117</v>
      </c>
      <c r="AI348" t="s">
        <v>74</v>
      </c>
      <c r="AJ348" t="s">
        <v>1236</v>
      </c>
      <c r="AK348" t="s">
        <v>1237</v>
      </c>
      <c r="AL348" t="s">
        <v>118</v>
      </c>
      <c r="AM348" t="s">
        <v>1238</v>
      </c>
      <c r="AN348" t="s">
        <v>1239</v>
      </c>
      <c r="AO348" t="s">
        <v>119</v>
      </c>
      <c r="AP348" t="e">
        <v>#N/A</v>
      </c>
      <c r="AQ348" t="s">
        <v>1237</v>
      </c>
      <c r="AR348" t="str">
        <f t="shared" si="10"/>
        <v>60602519.ATDAM</v>
      </c>
      <c r="AS348">
        <f t="shared" si="11"/>
        <v>1698801.55</v>
      </c>
      <c r="AT348" t="s">
        <v>82</v>
      </c>
    </row>
    <row r="349" spans="1:46" x14ac:dyDescent="0.35">
      <c r="A349" t="s">
        <v>52</v>
      </c>
      <c r="B349" t="s">
        <v>53</v>
      </c>
      <c r="C349" t="s">
        <v>54</v>
      </c>
      <c r="D349" t="s">
        <v>1224</v>
      </c>
      <c r="E349" t="s">
        <v>56</v>
      </c>
      <c r="F349" t="s">
        <v>1259</v>
      </c>
      <c r="G349" t="s">
        <v>1260</v>
      </c>
      <c r="H349" t="s">
        <v>56</v>
      </c>
      <c r="I349" t="s">
        <v>1261</v>
      </c>
      <c r="J349" t="s">
        <v>61</v>
      </c>
      <c r="K349" t="s">
        <v>62</v>
      </c>
      <c r="L349" t="s">
        <v>56</v>
      </c>
      <c r="M349" t="s">
        <v>56</v>
      </c>
      <c r="N349" t="s">
        <v>252</v>
      </c>
      <c r="O349" t="s">
        <v>1206</v>
      </c>
      <c r="P349" t="s">
        <v>1207</v>
      </c>
      <c r="Q349" t="s">
        <v>87</v>
      </c>
      <c r="R349" t="s">
        <v>248</v>
      </c>
      <c r="S349">
        <v>30000000</v>
      </c>
      <c r="T349">
        <v>8511679.4199999999</v>
      </c>
      <c r="U349" t="s">
        <v>68</v>
      </c>
      <c r="V349" t="s">
        <v>1233</v>
      </c>
      <c r="W349" s="9">
        <v>60602586</v>
      </c>
      <c r="X349" t="s">
        <v>1262</v>
      </c>
      <c r="Y349" s="1">
        <v>44905</v>
      </c>
      <c r="Z349" s="1">
        <v>44965</v>
      </c>
      <c r="AA349" s="2">
        <v>2198671.58</v>
      </c>
      <c r="AB349" s="2">
        <v>1863281</v>
      </c>
      <c r="AC349" s="2">
        <v>335390.58</v>
      </c>
      <c r="AD349" s="2">
        <v>460720.58</v>
      </c>
      <c r="AE349" t="s">
        <v>1263</v>
      </c>
      <c r="AF349" t="s">
        <v>72</v>
      </c>
      <c r="AG349">
        <v>1113</v>
      </c>
      <c r="AH349" t="s">
        <v>473</v>
      </c>
      <c r="AI349" t="s">
        <v>74</v>
      </c>
      <c r="AJ349" t="s">
        <v>75</v>
      </c>
      <c r="AK349" t="s">
        <v>76</v>
      </c>
      <c r="AL349" t="s">
        <v>77</v>
      </c>
      <c r="AM349" t="s">
        <v>78</v>
      </c>
      <c r="AN349" t="s">
        <v>239</v>
      </c>
      <c r="AO349" t="s">
        <v>80</v>
      </c>
      <c r="AP349" t="e">
        <v>#N/A</v>
      </c>
      <c r="AQ349" t="s">
        <v>81</v>
      </c>
      <c r="AR349" t="str">
        <f t="shared" si="10"/>
        <v>60602586.STATAM</v>
      </c>
      <c r="AS349">
        <f t="shared" si="11"/>
        <v>460720.58</v>
      </c>
      <c r="AT349" t="s">
        <v>82</v>
      </c>
    </row>
    <row r="350" spans="1:46" x14ac:dyDescent="0.35">
      <c r="A350" t="s">
        <v>52</v>
      </c>
      <c r="B350" t="s">
        <v>53</v>
      </c>
      <c r="C350" t="s">
        <v>1223</v>
      </c>
      <c r="D350" t="s">
        <v>1224</v>
      </c>
      <c r="E350" t="s">
        <v>56</v>
      </c>
      <c r="F350" t="s">
        <v>1264</v>
      </c>
      <c r="G350" t="s">
        <v>1265</v>
      </c>
      <c r="H350" t="s">
        <v>56</v>
      </c>
      <c r="I350" t="s">
        <v>1266</v>
      </c>
      <c r="J350" t="s">
        <v>61</v>
      </c>
      <c r="K350" t="s">
        <v>62</v>
      </c>
      <c r="L350" t="s">
        <v>1267</v>
      </c>
      <c r="M350" t="s">
        <v>56</v>
      </c>
      <c r="N350" t="s">
        <v>1229</v>
      </c>
      <c r="O350" t="s">
        <v>1230</v>
      </c>
      <c r="P350" t="s">
        <v>1231</v>
      </c>
      <c r="Q350" t="s">
        <v>1248</v>
      </c>
      <c r="R350" t="s">
        <v>67</v>
      </c>
      <c r="S350">
        <v>720000000</v>
      </c>
      <c r="T350">
        <v>152852502.44</v>
      </c>
      <c r="U350" t="s">
        <v>68</v>
      </c>
      <c r="V350" t="s">
        <v>1233</v>
      </c>
      <c r="W350" s="9">
        <v>60602594</v>
      </c>
      <c r="X350" t="s">
        <v>1268</v>
      </c>
      <c r="Y350" s="1">
        <v>45682</v>
      </c>
      <c r="Z350" s="1">
        <v>45712</v>
      </c>
      <c r="AA350" s="2">
        <v>298063.84999999998</v>
      </c>
      <c r="AB350" s="2">
        <v>252596.49</v>
      </c>
      <c r="AC350" s="2">
        <v>45467.360000000001</v>
      </c>
      <c r="AD350" s="2">
        <v>14903.17</v>
      </c>
      <c r="AE350" t="s">
        <v>1269</v>
      </c>
      <c r="AF350" t="s">
        <v>72</v>
      </c>
      <c r="AG350">
        <v>366</v>
      </c>
      <c r="AH350" t="s">
        <v>473</v>
      </c>
      <c r="AI350" t="s">
        <v>74</v>
      </c>
      <c r="AJ350" t="s">
        <v>1236</v>
      </c>
      <c r="AK350" t="s">
        <v>1237</v>
      </c>
      <c r="AL350" t="s">
        <v>77</v>
      </c>
      <c r="AM350" t="s">
        <v>1238</v>
      </c>
      <c r="AN350" t="s">
        <v>1239</v>
      </c>
      <c r="AO350" t="s">
        <v>80</v>
      </c>
      <c r="AP350" t="e">
        <v>#N/A</v>
      </c>
      <c r="AQ350" t="s">
        <v>1237</v>
      </c>
      <c r="AR350" t="str">
        <f t="shared" si="10"/>
        <v>60602594.ATDAM</v>
      </c>
      <c r="AS350">
        <f t="shared" si="11"/>
        <v>756624.23</v>
      </c>
      <c r="AT350" t="s">
        <v>82</v>
      </c>
    </row>
    <row r="351" spans="1:46" x14ac:dyDescent="0.35">
      <c r="A351" t="s">
        <v>52</v>
      </c>
      <c r="B351" t="s">
        <v>53</v>
      </c>
      <c r="C351" t="s">
        <v>1223</v>
      </c>
      <c r="D351" t="s">
        <v>1224</v>
      </c>
      <c r="E351" t="s">
        <v>56</v>
      </c>
      <c r="F351" t="s">
        <v>1264</v>
      </c>
      <c r="G351" t="s">
        <v>1226</v>
      </c>
      <c r="H351" t="s">
        <v>56</v>
      </c>
      <c r="I351" t="s">
        <v>1270</v>
      </c>
      <c r="J351" t="s">
        <v>61</v>
      </c>
      <c r="K351" t="s">
        <v>62</v>
      </c>
      <c r="L351" t="s">
        <v>1271</v>
      </c>
      <c r="M351" t="s">
        <v>56</v>
      </c>
      <c r="N351" t="s">
        <v>1229</v>
      </c>
      <c r="O351" t="s">
        <v>1230</v>
      </c>
      <c r="P351" t="s">
        <v>1231</v>
      </c>
      <c r="Q351" t="s">
        <v>1232</v>
      </c>
      <c r="R351" t="s">
        <v>67</v>
      </c>
      <c r="S351">
        <v>720000000</v>
      </c>
      <c r="T351">
        <v>152852502.44</v>
      </c>
      <c r="U351" t="s">
        <v>68</v>
      </c>
      <c r="V351" t="s">
        <v>1233</v>
      </c>
      <c r="W351" s="9">
        <v>60602594</v>
      </c>
      <c r="X351" t="s">
        <v>1272</v>
      </c>
      <c r="Y351" s="1">
        <v>45826</v>
      </c>
      <c r="Z351" s="1">
        <v>45856</v>
      </c>
      <c r="AA351" s="2">
        <v>380231.12</v>
      </c>
      <c r="AB351" s="2">
        <v>322229.77</v>
      </c>
      <c r="AC351" s="2">
        <v>58001.35</v>
      </c>
      <c r="AD351" s="2">
        <v>380231.12</v>
      </c>
      <c r="AE351" t="s">
        <v>1273</v>
      </c>
      <c r="AF351" t="s">
        <v>72</v>
      </c>
      <c r="AG351">
        <v>222</v>
      </c>
      <c r="AH351" t="s">
        <v>101</v>
      </c>
      <c r="AI351" t="s">
        <v>74</v>
      </c>
      <c r="AJ351" t="s">
        <v>1236</v>
      </c>
      <c r="AK351" t="s">
        <v>1237</v>
      </c>
      <c r="AL351" t="s">
        <v>77</v>
      </c>
      <c r="AM351" t="s">
        <v>1238</v>
      </c>
      <c r="AN351" t="s">
        <v>1239</v>
      </c>
      <c r="AO351" t="s">
        <v>80</v>
      </c>
      <c r="AP351" t="e">
        <v>#N/A</v>
      </c>
      <c r="AQ351" t="s">
        <v>1237</v>
      </c>
      <c r="AR351" t="str">
        <f t="shared" si="10"/>
        <v>60602594.ATDAM</v>
      </c>
      <c r="AS351">
        <f t="shared" si="11"/>
        <v>756624.23</v>
      </c>
      <c r="AT351" t="s">
        <v>82</v>
      </c>
    </row>
    <row r="352" spans="1:46" x14ac:dyDescent="0.35">
      <c r="A352" t="s">
        <v>52</v>
      </c>
      <c r="B352" t="s">
        <v>53</v>
      </c>
      <c r="C352" t="s">
        <v>1223</v>
      </c>
      <c r="D352" t="s">
        <v>1224</v>
      </c>
      <c r="E352" t="s">
        <v>56</v>
      </c>
      <c r="F352" t="s">
        <v>1264</v>
      </c>
      <c r="G352" t="s">
        <v>1226</v>
      </c>
      <c r="H352" t="s">
        <v>56</v>
      </c>
      <c r="I352" t="s">
        <v>1274</v>
      </c>
      <c r="J352" t="s">
        <v>61</v>
      </c>
      <c r="K352" t="s">
        <v>62</v>
      </c>
      <c r="L352" t="s">
        <v>1275</v>
      </c>
      <c r="M352" t="s">
        <v>56</v>
      </c>
      <c r="N352" t="s">
        <v>1229</v>
      </c>
      <c r="O352" t="s">
        <v>1230</v>
      </c>
      <c r="P352" t="s">
        <v>1231</v>
      </c>
      <c r="Q352" t="s">
        <v>1232</v>
      </c>
      <c r="R352" t="s">
        <v>67</v>
      </c>
      <c r="S352">
        <v>720000000</v>
      </c>
      <c r="T352">
        <v>152852502.44</v>
      </c>
      <c r="U352" t="s">
        <v>68</v>
      </c>
      <c r="V352" t="s">
        <v>1233</v>
      </c>
      <c r="W352" s="9">
        <v>60602594</v>
      </c>
      <c r="X352" t="s">
        <v>1276</v>
      </c>
      <c r="Y352" s="1">
        <v>45826</v>
      </c>
      <c r="Z352" s="1">
        <v>45856</v>
      </c>
      <c r="AA352" s="2">
        <v>5027.9799999999996</v>
      </c>
      <c r="AB352" s="2">
        <v>4261</v>
      </c>
      <c r="AC352" s="2">
        <v>766.98</v>
      </c>
      <c r="AD352" s="2">
        <v>5027.9799999999996</v>
      </c>
      <c r="AE352" t="s">
        <v>1277</v>
      </c>
      <c r="AF352" t="s">
        <v>72</v>
      </c>
      <c r="AG352">
        <v>222</v>
      </c>
      <c r="AH352" t="s">
        <v>101</v>
      </c>
      <c r="AI352" t="s">
        <v>74</v>
      </c>
      <c r="AJ352" t="s">
        <v>1236</v>
      </c>
      <c r="AK352" t="s">
        <v>1237</v>
      </c>
      <c r="AL352" t="s">
        <v>77</v>
      </c>
      <c r="AM352" t="s">
        <v>1238</v>
      </c>
      <c r="AN352" t="s">
        <v>1239</v>
      </c>
      <c r="AO352" t="s">
        <v>80</v>
      </c>
      <c r="AP352" t="e">
        <v>#N/A</v>
      </c>
      <c r="AQ352" t="s">
        <v>1237</v>
      </c>
      <c r="AR352" t="str">
        <f t="shared" si="10"/>
        <v>60602594.ATDAM</v>
      </c>
      <c r="AS352">
        <f t="shared" si="11"/>
        <v>756624.23</v>
      </c>
      <c r="AT352" t="s">
        <v>82</v>
      </c>
    </row>
    <row r="353" spans="1:46" x14ac:dyDescent="0.35">
      <c r="A353" t="s">
        <v>52</v>
      </c>
      <c r="B353" t="s">
        <v>53</v>
      </c>
      <c r="C353" t="s">
        <v>1223</v>
      </c>
      <c r="D353" t="s">
        <v>1224</v>
      </c>
      <c r="E353" t="s">
        <v>56</v>
      </c>
      <c r="F353" t="s">
        <v>1264</v>
      </c>
      <c r="G353" t="s">
        <v>1226</v>
      </c>
      <c r="H353" t="s">
        <v>56</v>
      </c>
      <c r="I353" t="s">
        <v>1278</v>
      </c>
      <c r="J353" t="s">
        <v>61</v>
      </c>
      <c r="K353" t="s">
        <v>62</v>
      </c>
      <c r="L353" t="s">
        <v>1279</v>
      </c>
      <c r="M353" t="s">
        <v>56</v>
      </c>
      <c r="N353" t="s">
        <v>1229</v>
      </c>
      <c r="O353" t="s">
        <v>1230</v>
      </c>
      <c r="P353" t="s">
        <v>1231</v>
      </c>
      <c r="Q353" t="s">
        <v>1232</v>
      </c>
      <c r="R353" t="s">
        <v>67</v>
      </c>
      <c r="S353">
        <v>720000000</v>
      </c>
      <c r="T353">
        <v>152852502.44</v>
      </c>
      <c r="U353" t="s">
        <v>68</v>
      </c>
      <c r="V353" t="s">
        <v>1233</v>
      </c>
      <c r="W353" s="9">
        <v>60602594</v>
      </c>
      <c r="X353" t="s">
        <v>1280</v>
      </c>
      <c r="Y353" s="1">
        <v>45828</v>
      </c>
      <c r="Z353" s="1">
        <v>45858</v>
      </c>
      <c r="AA353" s="2">
        <v>351433.98</v>
      </c>
      <c r="AB353" s="2">
        <v>297825.40999999997</v>
      </c>
      <c r="AC353" s="2">
        <v>53608.57</v>
      </c>
      <c r="AD353" s="2">
        <v>351433.98</v>
      </c>
      <c r="AE353" t="s">
        <v>1281</v>
      </c>
      <c r="AF353" t="s">
        <v>72</v>
      </c>
      <c r="AG353">
        <v>220</v>
      </c>
      <c r="AH353" t="s">
        <v>101</v>
      </c>
      <c r="AI353" t="s">
        <v>74</v>
      </c>
      <c r="AJ353" t="s">
        <v>1236</v>
      </c>
      <c r="AK353" t="s">
        <v>1237</v>
      </c>
      <c r="AL353" t="s">
        <v>77</v>
      </c>
      <c r="AM353" t="s">
        <v>1238</v>
      </c>
      <c r="AN353" t="s">
        <v>1239</v>
      </c>
      <c r="AO353" t="s">
        <v>80</v>
      </c>
      <c r="AP353" t="e">
        <v>#N/A</v>
      </c>
      <c r="AQ353" t="s">
        <v>1237</v>
      </c>
      <c r="AR353" t="str">
        <f t="shared" si="10"/>
        <v>60602594.ATDAM</v>
      </c>
      <c r="AS353">
        <f t="shared" si="11"/>
        <v>756624.23</v>
      </c>
      <c r="AT353" t="s">
        <v>82</v>
      </c>
    </row>
    <row r="354" spans="1:46" x14ac:dyDescent="0.35">
      <c r="A354" t="s">
        <v>52</v>
      </c>
      <c r="B354" t="s">
        <v>53</v>
      </c>
      <c r="C354" t="s">
        <v>1223</v>
      </c>
      <c r="D354" t="s">
        <v>1224</v>
      </c>
      <c r="E354" t="s">
        <v>56</v>
      </c>
      <c r="F354" t="s">
        <v>1264</v>
      </c>
      <c r="G354" t="s">
        <v>1226</v>
      </c>
      <c r="H354" t="s">
        <v>56</v>
      </c>
      <c r="I354" t="s">
        <v>1282</v>
      </c>
      <c r="J354" t="s">
        <v>61</v>
      </c>
      <c r="K354" t="s">
        <v>62</v>
      </c>
      <c r="L354" t="s">
        <v>1283</v>
      </c>
      <c r="M354" t="s">
        <v>56</v>
      </c>
      <c r="N354" t="s">
        <v>1229</v>
      </c>
      <c r="O354" t="s">
        <v>1230</v>
      </c>
      <c r="P354" t="s">
        <v>1231</v>
      </c>
      <c r="Q354" t="s">
        <v>1232</v>
      </c>
      <c r="R354" t="s">
        <v>67</v>
      </c>
      <c r="S354">
        <v>720000000</v>
      </c>
      <c r="T354">
        <v>152852502.44</v>
      </c>
      <c r="U354" t="s">
        <v>68</v>
      </c>
      <c r="V354" t="s">
        <v>1233</v>
      </c>
      <c r="W354" s="9">
        <v>60602594</v>
      </c>
      <c r="X354" t="s">
        <v>1284</v>
      </c>
      <c r="Y354" s="1">
        <v>46055</v>
      </c>
      <c r="Z354" s="1">
        <v>46085</v>
      </c>
      <c r="AA354" s="2">
        <v>5027.9799999999996</v>
      </c>
      <c r="AB354" s="2">
        <v>4261</v>
      </c>
      <c r="AC354" s="2">
        <v>766.98</v>
      </c>
      <c r="AD354" s="2">
        <v>5027.9799999999996</v>
      </c>
      <c r="AE354" t="s">
        <v>1285</v>
      </c>
      <c r="AF354" t="s">
        <v>72</v>
      </c>
      <c r="AG354">
        <v>-7</v>
      </c>
      <c r="AH354" t="s">
        <v>117</v>
      </c>
      <c r="AI354" t="s">
        <v>74</v>
      </c>
      <c r="AJ354" t="s">
        <v>1236</v>
      </c>
      <c r="AK354" t="s">
        <v>1237</v>
      </c>
      <c r="AL354" t="s">
        <v>118</v>
      </c>
      <c r="AM354" t="s">
        <v>1238</v>
      </c>
      <c r="AN354" t="s">
        <v>1239</v>
      </c>
      <c r="AO354" t="s">
        <v>119</v>
      </c>
      <c r="AP354" t="e">
        <v>#N/A</v>
      </c>
      <c r="AQ354" t="s">
        <v>1237</v>
      </c>
      <c r="AR354" t="str">
        <f t="shared" si="10"/>
        <v>60602594.ATDAM</v>
      </c>
      <c r="AS354">
        <f t="shared" si="11"/>
        <v>756624.23</v>
      </c>
      <c r="AT354" t="s">
        <v>82</v>
      </c>
    </row>
    <row r="355" spans="1:46" x14ac:dyDescent="0.35">
      <c r="A355" t="s">
        <v>52</v>
      </c>
      <c r="B355" t="s">
        <v>53</v>
      </c>
      <c r="C355" t="s">
        <v>1223</v>
      </c>
      <c r="D355" t="s">
        <v>1224</v>
      </c>
      <c r="E355" t="s">
        <v>56</v>
      </c>
      <c r="F355" t="s">
        <v>1286</v>
      </c>
      <c r="G355" t="s">
        <v>1287</v>
      </c>
      <c r="H355" t="s">
        <v>56</v>
      </c>
      <c r="I355" t="s">
        <v>1288</v>
      </c>
      <c r="J355" t="s">
        <v>61</v>
      </c>
      <c r="K355" t="s">
        <v>62</v>
      </c>
      <c r="L355" t="s">
        <v>1289</v>
      </c>
      <c r="M355" t="s">
        <v>56</v>
      </c>
      <c r="N355" t="s">
        <v>1229</v>
      </c>
      <c r="O355" t="s">
        <v>1230</v>
      </c>
      <c r="P355" t="s">
        <v>1231</v>
      </c>
      <c r="Q355" t="s">
        <v>1232</v>
      </c>
      <c r="R355" t="s">
        <v>67</v>
      </c>
      <c r="S355">
        <v>300000000</v>
      </c>
      <c r="T355">
        <v>190538040.31999999</v>
      </c>
      <c r="U355" t="s">
        <v>68</v>
      </c>
      <c r="V355" t="s">
        <v>1233</v>
      </c>
      <c r="W355" s="9">
        <v>60602702</v>
      </c>
      <c r="X355" t="s">
        <v>1290</v>
      </c>
      <c r="Y355" s="1">
        <v>45810</v>
      </c>
      <c r="Z355" s="1">
        <v>45840</v>
      </c>
      <c r="AA355" s="2">
        <v>25139.9</v>
      </c>
      <c r="AB355" s="2">
        <v>21305</v>
      </c>
      <c r="AC355" s="2">
        <v>3834.9</v>
      </c>
      <c r="AD355" s="2">
        <v>34.78</v>
      </c>
      <c r="AE355" t="s">
        <v>1291</v>
      </c>
      <c r="AF355" t="s">
        <v>72</v>
      </c>
      <c r="AG355">
        <v>238</v>
      </c>
      <c r="AH355" t="s">
        <v>101</v>
      </c>
      <c r="AI355" t="s">
        <v>74</v>
      </c>
      <c r="AJ355" t="s">
        <v>1236</v>
      </c>
      <c r="AK355" t="s">
        <v>1237</v>
      </c>
      <c r="AL355" t="s">
        <v>77</v>
      </c>
      <c r="AM355" t="s">
        <v>1238</v>
      </c>
      <c r="AN355" t="s">
        <v>1239</v>
      </c>
      <c r="AO355" t="s">
        <v>80</v>
      </c>
      <c r="AP355" t="e">
        <v>#N/A</v>
      </c>
      <c r="AQ355" t="s">
        <v>1237</v>
      </c>
      <c r="AR355" t="str">
        <f t="shared" si="10"/>
        <v>60602702.ATDAM</v>
      </c>
      <c r="AS355">
        <f t="shared" si="11"/>
        <v>34.78</v>
      </c>
      <c r="AT355" t="s">
        <v>82</v>
      </c>
    </row>
    <row r="356" spans="1:46" x14ac:dyDescent="0.35">
      <c r="A356" t="s">
        <v>52</v>
      </c>
      <c r="B356" t="s">
        <v>53</v>
      </c>
      <c r="C356" t="s">
        <v>1223</v>
      </c>
      <c r="D356" t="s">
        <v>1224</v>
      </c>
      <c r="E356" t="s">
        <v>56</v>
      </c>
      <c r="F356" t="s">
        <v>1292</v>
      </c>
      <c r="G356" t="s">
        <v>1293</v>
      </c>
      <c r="H356" t="s">
        <v>56</v>
      </c>
      <c r="I356" t="s">
        <v>1294</v>
      </c>
      <c r="J356" t="s">
        <v>1295</v>
      </c>
      <c r="K356" t="s">
        <v>62</v>
      </c>
      <c r="L356" t="s">
        <v>56</v>
      </c>
      <c r="M356" t="s">
        <v>56</v>
      </c>
      <c r="N356" t="s">
        <v>1247</v>
      </c>
      <c r="O356" t="s">
        <v>1296</v>
      </c>
      <c r="P356" t="s">
        <v>1297</v>
      </c>
      <c r="Q356" t="s">
        <v>1298</v>
      </c>
      <c r="R356" t="s">
        <v>67</v>
      </c>
      <c r="S356">
        <v>200000000</v>
      </c>
      <c r="T356">
        <v>161367791.65000001</v>
      </c>
      <c r="U356" t="s">
        <v>68</v>
      </c>
      <c r="V356" t="s">
        <v>1233</v>
      </c>
      <c r="W356" s="9">
        <v>60602703</v>
      </c>
      <c r="X356" t="s">
        <v>1299</v>
      </c>
      <c r="Y356" s="1">
        <v>45818</v>
      </c>
      <c r="Z356" s="1">
        <v>45848</v>
      </c>
      <c r="AA356" s="2">
        <v>115150.61</v>
      </c>
      <c r="AB356" s="2">
        <v>97585.27</v>
      </c>
      <c r="AC356" s="2">
        <v>17565.34</v>
      </c>
      <c r="AD356" s="2">
        <v>115150.61</v>
      </c>
      <c r="AE356" t="s">
        <v>1300</v>
      </c>
      <c r="AF356" t="s">
        <v>72</v>
      </c>
      <c r="AG356">
        <v>230</v>
      </c>
      <c r="AH356" t="s">
        <v>101</v>
      </c>
      <c r="AI356" t="s">
        <v>74</v>
      </c>
      <c r="AJ356" t="s">
        <v>1236</v>
      </c>
      <c r="AK356" t="s">
        <v>1237</v>
      </c>
      <c r="AL356" t="s">
        <v>77</v>
      </c>
      <c r="AM356" t="s">
        <v>1238</v>
      </c>
      <c r="AN356" t="s">
        <v>1239</v>
      </c>
      <c r="AO356" t="s">
        <v>80</v>
      </c>
      <c r="AP356" t="e">
        <v>#N/A</v>
      </c>
      <c r="AQ356" t="s">
        <v>1237</v>
      </c>
      <c r="AR356" t="str">
        <f t="shared" si="10"/>
        <v>60602703.ATDAM</v>
      </c>
      <c r="AS356">
        <f t="shared" si="11"/>
        <v>723101.37999999989</v>
      </c>
      <c r="AT356" t="s">
        <v>82</v>
      </c>
    </row>
    <row r="357" spans="1:46" x14ac:dyDescent="0.35">
      <c r="A357" t="s">
        <v>52</v>
      </c>
      <c r="B357" t="s">
        <v>53</v>
      </c>
      <c r="C357" t="s">
        <v>1223</v>
      </c>
      <c r="D357" t="s">
        <v>1224</v>
      </c>
      <c r="E357" t="s">
        <v>56</v>
      </c>
      <c r="F357" t="s">
        <v>1292</v>
      </c>
      <c r="G357" t="s">
        <v>1293</v>
      </c>
      <c r="H357" t="s">
        <v>56</v>
      </c>
      <c r="I357" t="s">
        <v>1294</v>
      </c>
      <c r="J357" t="s">
        <v>1295</v>
      </c>
      <c r="K357" t="s">
        <v>62</v>
      </c>
      <c r="L357" t="s">
        <v>56</v>
      </c>
      <c r="M357" t="s">
        <v>56</v>
      </c>
      <c r="N357" t="s">
        <v>1229</v>
      </c>
      <c r="O357" t="s">
        <v>1296</v>
      </c>
      <c r="P357" t="s">
        <v>1297</v>
      </c>
      <c r="Q357" t="s">
        <v>1298</v>
      </c>
      <c r="R357" t="s">
        <v>67</v>
      </c>
      <c r="S357">
        <v>200000000</v>
      </c>
      <c r="T357">
        <v>161367791.65000001</v>
      </c>
      <c r="U357" t="s">
        <v>68</v>
      </c>
      <c r="V357" t="s">
        <v>1233</v>
      </c>
      <c r="W357" s="9">
        <v>60602703</v>
      </c>
      <c r="X357" t="s">
        <v>1301</v>
      </c>
      <c r="Y357" s="1">
        <v>45862</v>
      </c>
      <c r="Z357" s="1">
        <v>45892</v>
      </c>
      <c r="AA357" s="2">
        <v>63089.95</v>
      </c>
      <c r="AB357" s="2">
        <v>53466.07</v>
      </c>
      <c r="AC357" s="2">
        <v>9623.8799999999992</v>
      </c>
      <c r="AD357" s="2">
        <v>63089.95</v>
      </c>
      <c r="AE357" t="s">
        <v>1302</v>
      </c>
      <c r="AF357" t="s">
        <v>72</v>
      </c>
      <c r="AG357">
        <v>186</v>
      </c>
      <c r="AH357" t="s">
        <v>101</v>
      </c>
      <c r="AI357" t="s">
        <v>74</v>
      </c>
      <c r="AJ357" t="s">
        <v>1236</v>
      </c>
      <c r="AK357" t="s">
        <v>1237</v>
      </c>
      <c r="AL357" t="s">
        <v>77</v>
      </c>
      <c r="AM357" t="s">
        <v>1238</v>
      </c>
      <c r="AN357" t="s">
        <v>1239</v>
      </c>
      <c r="AO357" t="s">
        <v>80</v>
      </c>
      <c r="AP357" t="e">
        <v>#N/A</v>
      </c>
      <c r="AQ357" t="s">
        <v>1237</v>
      </c>
      <c r="AR357" t="str">
        <f t="shared" si="10"/>
        <v>60602703.ATDAM</v>
      </c>
      <c r="AS357">
        <f t="shared" si="11"/>
        <v>723101.37999999989</v>
      </c>
      <c r="AT357" t="s">
        <v>82</v>
      </c>
    </row>
    <row r="358" spans="1:46" x14ac:dyDescent="0.35">
      <c r="A358" t="s">
        <v>52</v>
      </c>
      <c r="B358" t="s">
        <v>53</v>
      </c>
      <c r="C358" t="s">
        <v>1223</v>
      </c>
      <c r="D358" t="s">
        <v>1224</v>
      </c>
      <c r="E358" t="s">
        <v>56</v>
      </c>
      <c r="F358" t="s">
        <v>1292</v>
      </c>
      <c r="G358" t="s">
        <v>1226</v>
      </c>
      <c r="H358" t="s">
        <v>56</v>
      </c>
      <c r="I358" t="s">
        <v>1294</v>
      </c>
      <c r="J358" t="s">
        <v>61</v>
      </c>
      <c r="K358" t="s">
        <v>62</v>
      </c>
      <c r="L358" t="s">
        <v>56</v>
      </c>
      <c r="M358" t="s">
        <v>56</v>
      </c>
      <c r="N358" t="s">
        <v>1229</v>
      </c>
      <c r="O358" t="s">
        <v>1230</v>
      </c>
      <c r="P358" t="s">
        <v>1231</v>
      </c>
      <c r="Q358" t="s">
        <v>1303</v>
      </c>
      <c r="R358" t="s">
        <v>67</v>
      </c>
      <c r="S358">
        <v>200000000</v>
      </c>
      <c r="T358">
        <v>161367791.65000001</v>
      </c>
      <c r="U358" t="s">
        <v>68</v>
      </c>
      <c r="V358" t="s">
        <v>1233</v>
      </c>
      <c r="W358" s="9">
        <v>60602703</v>
      </c>
      <c r="X358" t="s">
        <v>1304</v>
      </c>
      <c r="Y358" s="1">
        <v>45964</v>
      </c>
      <c r="Z358" s="1">
        <v>45994</v>
      </c>
      <c r="AA358" s="2">
        <v>2513.9899999999998</v>
      </c>
      <c r="AB358" s="2">
        <v>2130.5</v>
      </c>
      <c r="AC358" s="2">
        <v>383.49</v>
      </c>
      <c r="AD358" s="2">
        <v>2513.9899999999998</v>
      </c>
      <c r="AE358" t="s">
        <v>1305</v>
      </c>
      <c r="AF358" t="s">
        <v>72</v>
      </c>
      <c r="AG358">
        <v>84</v>
      </c>
      <c r="AH358" t="s">
        <v>260</v>
      </c>
      <c r="AI358" t="s">
        <v>74</v>
      </c>
      <c r="AJ358" t="s">
        <v>1236</v>
      </c>
      <c r="AK358" t="s">
        <v>1237</v>
      </c>
      <c r="AL358" t="s">
        <v>77</v>
      </c>
      <c r="AM358" t="s">
        <v>1238</v>
      </c>
      <c r="AN358" t="s">
        <v>1239</v>
      </c>
      <c r="AO358" t="s">
        <v>80</v>
      </c>
      <c r="AP358" t="e">
        <v>#N/A</v>
      </c>
      <c r="AQ358" t="s">
        <v>1237</v>
      </c>
      <c r="AR358" t="str">
        <f t="shared" si="10"/>
        <v>60602703.ATDAM</v>
      </c>
      <c r="AS358">
        <f t="shared" si="11"/>
        <v>723101.37999999989</v>
      </c>
      <c r="AT358" t="s">
        <v>82</v>
      </c>
    </row>
    <row r="359" spans="1:46" x14ac:dyDescent="0.35">
      <c r="A359" t="s">
        <v>52</v>
      </c>
      <c r="B359" t="s">
        <v>53</v>
      </c>
      <c r="C359" t="s">
        <v>1223</v>
      </c>
      <c r="D359" t="s">
        <v>1224</v>
      </c>
      <c r="E359" t="s">
        <v>56</v>
      </c>
      <c r="F359" t="s">
        <v>1292</v>
      </c>
      <c r="G359" t="s">
        <v>1226</v>
      </c>
      <c r="H359" t="s">
        <v>56</v>
      </c>
      <c r="I359" t="s">
        <v>1294</v>
      </c>
      <c r="J359" t="s">
        <v>61</v>
      </c>
      <c r="K359" t="s">
        <v>62</v>
      </c>
      <c r="L359" t="s">
        <v>56</v>
      </c>
      <c r="M359" t="s">
        <v>56</v>
      </c>
      <c r="N359" t="s">
        <v>1229</v>
      </c>
      <c r="O359" t="s">
        <v>1230</v>
      </c>
      <c r="P359" t="s">
        <v>1231</v>
      </c>
      <c r="Q359" t="s">
        <v>1303</v>
      </c>
      <c r="R359" t="s">
        <v>67</v>
      </c>
      <c r="S359">
        <v>200000000</v>
      </c>
      <c r="T359">
        <v>161367791.65000001</v>
      </c>
      <c r="U359" t="s">
        <v>68</v>
      </c>
      <c r="V359" t="s">
        <v>1233</v>
      </c>
      <c r="W359" s="9">
        <v>60602703</v>
      </c>
      <c r="X359" t="s">
        <v>1306</v>
      </c>
      <c r="Y359" s="1">
        <v>46029</v>
      </c>
      <c r="Z359" s="1">
        <v>46059</v>
      </c>
      <c r="AA359" s="2">
        <v>5027.99</v>
      </c>
      <c r="AB359" s="2">
        <v>4261</v>
      </c>
      <c r="AC359" s="2">
        <v>766.99</v>
      </c>
      <c r="AD359" s="2">
        <v>5027.99</v>
      </c>
      <c r="AE359" t="s">
        <v>1307</v>
      </c>
      <c r="AF359" t="s">
        <v>72</v>
      </c>
      <c r="AG359">
        <v>19</v>
      </c>
      <c r="AH359" t="s">
        <v>73</v>
      </c>
      <c r="AI359" t="s">
        <v>74</v>
      </c>
      <c r="AJ359" t="s">
        <v>1236</v>
      </c>
      <c r="AK359" t="s">
        <v>1237</v>
      </c>
      <c r="AL359" t="s">
        <v>77</v>
      </c>
      <c r="AM359" t="s">
        <v>1238</v>
      </c>
      <c r="AN359" t="s">
        <v>1239</v>
      </c>
      <c r="AO359" t="s">
        <v>80</v>
      </c>
      <c r="AP359" t="e">
        <v>#N/A</v>
      </c>
      <c r="AQ359" t="s">
        <v>1237</v>
      </c>
      <c r="AR359" t="str">
        <f t="shared" si="10"/>
        <v>60602703.ATDAM</v>
      </c>
      <c r="AS359">
        <f t="shared" si="11"/>
        <v>723101.37999999989</v>
      </c>
      <c r="AT359" t="s">
        <v>82</v>
      </c>
    </row>
    <row r="360" spans="1:46" x14ac:dyDescent="0.35">
      <c r="A360" t="s">
        <v>52</v>
      </c>
      <c r="B360" t="s">
        <v>53</v>
      </c>
      <c r="C360" t="s">
        <v>1223</v>
      </c>
      <c r="D360" t="s">
        <v>1224</v>
      </c>
      <c r="E360" t="s">
        <v>56</v>
      </c>
      <c r="F360" t="s">
        <v>1292</v>
      </c>
      <c r="G360" t="s">
        <v>1226</v>
      </c>
      <c r="H360" t="s">
        <v>56</v>
      </c>
      <c r="I360" t="s">
        <v>1294</v>
      </c>
      <c r="J360" t="s">
        <v>61</v>
      </c>
      <c r="K360" t="s">
        <v>62</v>
      </c>
      <c r="L360" t="s">
        <v>56</v>
      </c>
      <c r="M360" t="s">
        <v>56</v>
      </c>
      <c r="N360" t="s">
        <v>1229</v>
      </c>
      <c r="O360" t="s">
        <v>1230</v>
      </c>
      <c r="P360" t="s">
        <v>1231</v>
      </c>
      <c r="Q360" t="s">
        <v>1303</v>
      </c>
      <c r="R360" t="s">
        <v>67</v>
      </c>
      <c r="S360">
        <v>200000000</v>
      </c>
      <c r="T360">
        <v>161367791.65000001</v>
      </c>
      <c r="U360" t="s">
        <v>68</v>
      </c>
      <c r="V360" t="s">
        <v>1233</v>
      </c>
      <c r="W360" s="9">
        <v>60602703</v>
      </c>
      <c r="X360" t="s">
        <v>1308</v>
      </c>
      <c r="Y360" s="1">
        <v>46029</v>
      </c>
      <c r="Z360" s="1">
        <v>46059</v>
      </c>
      <c r="AA360" s="2">
        <v>2514</v>
      </c>
      <c r="AB360" s="2">
        <v>2130.5</v>
      </c>
      <c r="AC360" s="2">
        <v>383.5</v>
      </c>
      <c r="AD360" s="2">
        <v>2514</v>
      </c>
      <c r="AE360" t="s">
        <v>1309</v>
      </c>
      <c r="AF360" t="s">
        <v>72</v>
      </c>
      <c r="AG360">
        <v>19</v>
      </c>
      <c r="AH360" t="s">
        <v>73</v>
      </c>
      <c r="AI360" t="s">
        <v>74</v>
      </c>
      <c r="AJ360" t="s">
        <v>1236</v>
      </c>
      <c r="AK360" t="s">
        <v>1237</v>
      </c>
      <c r="AL360" t="s">
        <v>77</v>
      </c>
      <c r="AM360" t="s">
        <v>1238</v>
      </c>
      <c r="AN360" t="s">
        <v>1239</v>
      </c>
      <c r="AO360" t="s">
        <v>80</v>
      </c>
      <c r="AP360" t="e">
        <v>#N/A</v>
      </c>
      <c r="AQ360" t="s">
        <v>1237</v>
      </c>
      <c r="AR360" t="str">
        <f t="shared" si="10"/>
        <v>60602703.ATDAM</v>
      </c>
      <c r="AS360">
        <f t="shared" si="11"/>
        <v>723101.37999999989</v>
      </c>
      <c r="AT360" t="s">
        <v>82</v>
      </c>
    </row>
    <row r="361" spans="1:46" x14ac:dyDescent="0.35">
      <c r="A361" t="s">
        <v>52</v>
      </c>
      <c r="B361" t="s">
        <v>53</v>
      </c>
      <c r="C361" t="s">
        <v>1223</v>
      </c>
      <c r="D361" t="s">
        <v>1224</v>
      </c>
      <c r="E361" t="s">
        <v>56</v>
      </c>
      <c r="F361" t="s">
        <v>1292</v>
      </c>
      <c r="G361" t="s">
        <v>1226</v>
      </c>
      <c r="H361" t="s">
        <v>56</v>
      </c>
      <c r="I361" t="s">
        <v>1294</v>
      </c>
      <c r="J361" t="s">
        <v>61</v>
      </c>
      <c r="K361" t="s">
        <v>62</v>
      </c>
      <c r="L361" t="s">
        <v>56</v>
      </c>
      <c r="M361" t="s">
        <v>56</v>
      </c>
      <c r="N361" t="s">
        <v>1229</v>
      </c>
      <c r="O361" t="s">
        <v>1230</v>
      </c>
      <c r="P361" t="s">
        <v>1231</v>
      </c>
      <c r="Q361" t="s">
        <v>1303</v>
      </c>
      <c r="R361" t="s">
        <v>67</v>
      </c>
      <c r="S361">
        <v>200000000</v>
      </c>
      <c r="T361">
        <v>161367791.65000001</v>
      </c>
      <c r="U361" t="s">
        <v>68</v>
      </c>
      <c r="V361" t="s">
        <v>1233</v>
      </c>
      <c r="W361" s="9">
        <v>60602703</v>
      </c>
      <c r="X361" t="s">
        <v>1310</v>
      </c>
      <c r="Y361" s="1">
        <v>46029</v>
      </c>
      <c r="Z361" s="1">
        <v>46059</v>
      </c>
      <c r="AA361" s="2">
        <v>2514</v>
      </c>
      <c r="AB361" s="2">
        <v>2130.5</v>
      </c>
      <c r="AC361" s="2">
        <v>383.5</v>
      </c>
      <c r="AD361" s="2">
        <v>2514</v>
      </c>
      <c r="AE361" t="s">
        <v>1311</v>
      </c>
      <c r="AF361" t="s">
        <v>72</v>
      </c>
      <c r="AG361">
        <v>19</v>
      </c>
      <c r="AH361" t="s">
        <v>73</v>
      </c>
      <c r="AI361" t="s">
        <v>74</v>
      </c>
      <c r="AJ361" t="s">
        <v>1236</v>
      </c>
      <c r="AK361" t="s">
        <v>1237</v>
      </c>
      <c r="AL361" t="s">
        <v>77</v>
      </c>
      <c r="AM361" t="s">
        <v>1238</v>
      </c>
      <c r="AN361" t="s">
        <v>1239</v>
      </c>
      <c r="AO361" t="s">
        <v>80</v>
      </c>
      <c r="AP361" t="e">
        <v>#N/A</v>
      </c>
      <c r="AQ361" t="s">
        <v>1237</v>
      </c>
      <c r="AR361" t="str">
        <f t="shared" si="10"/>
        <v>60602703.ATDAM</v>
      </c>
      <c r="AS361">
        <f t="shared" si="11"/>
        <v>723101.37999999989</v>
      </c>
      <c r="AT361" t="s">
        <v>82</v>
      </c>
    </row>
    <row r="362" spans="1:46" x14ac:dyDescent="0.35">
      <c r="A362" t="s">
        <v>52</v>
      </c>
      <c r="B362" t="s">
        <v>53</v>
      </c>
      <c r="C362" t="s">
        <v>1223</v>
      </c>
      <c r="D362" t="s">
        <v>1224</v>
      </c>
      <c r="E362" t="s">
        <v>56</v>
      </c>
      <c r="F362" t="s">
        <v>1292</v>
      </c>
      <c r="G362" t="s">
        <v>1226</v>
      </c>
      <c r="H362" t="s">
        <v>56</v>
      </c>
      <c r="I362" t="s">
        <v>1294</v>
      </c>
      <c r="J362" t="s">
        <v>61</v>
      </c>
      <c r="K362" t="s">
        <v>62</v>
      </c>
      <c r="L362" t="s">
        <v>56</v>
      </c>
      <c r="M362" t="s">
        <v>56</v>
      </c>
      <c r="N362" t="s">
        <v>1229</v>
      </c>
      <c r="O362" t="s">
        <v>1230</v>
      </c>
      <c r="P362" t="s">
        <v>1231</v>
      </c>
      <c r="Q362" t="s">
        <v>1303</v>
      </c>
      <c r="R362" t="s">
        <v>67</v>
      </c>
      <c r="S362">
        <v>200000000</v>
      </c>
      <c r="T362">
        <v>161367791.65000001</v>
      </c>
      <c r="U362" t="s">
        <v>68</v>
      </c>
      <c r="V362" t="s">
        <v>1233</v>
      </c>
      <c r="W362" s="9">
        <v>60602703</v>
      </c>
      <c r="X362" t="s">
        <v>1312</v>
      </c>
      <c r="Y362" s="1">
        <v>46029</v>
      </c>
      <c r="Z362" s="1">
        <v>46059</v>
      </c>
      <c r="AA362" s="2">
        <v>2514</v>
      </c>
      <c r="AB362" s="2">
        <v>2130.5</v>
      </c>
      <c r="AC362" s="2">
        <v>383.5</v>
      </c>
      <c r="AD362" s="2">
        <v>2514</v>
      </c>
      <c r="AE362" t="s">
        <v>1313</v>
      </c>
      <c r="AF362" t="s">
        <v>72</v>
      </c>
      <c r="AG362">
        <v>19</v>
      </c>
      <c r="AH362" t="s">
        <v>73</v>
      </c>
      <c r="AI362" t="s">
        <v>74</v>
      </c>
      <c r="AJ362" t="s">
        <v>1236</v>
      </c>
      <c r="AK362" t="s">
        <v>1237</v>
      </c>
      <c r="AL362" t="s">
        <v>77</v>
      </c>
      <c r="AM362" t="s">
        <v>1238</v>
      </c>
      <c r="AN362" t="s">
        <v>1239</v>
      </c>
      <c r="AO362" t="s">
        <v>80</v>
      </c>
      <c r="AP362" t="e">
        <v>#N/A</v>
      </c>
      <c r="AQ362" t="s">
        <v>1237</v>
      </c>
      <c r="AR362" t="str">
        <f t="shared" si="10"/>
        <v>60602703.ATDAM</v>
      </c>
      <c r="AS362">
        <f t="shared" si="11"/>
        <v>723101.37999999989</v>
      </c>
      <c r="AT362" t="s">
        <v>82</v>
      </c>
    </row>
    <row r="363" spans="1:46" x14ac:dyDescent="0.35">
      <c r="A363" t="s">
        <v>52</v>
      </c>
      <c r="B363" t="s">
        <v>53</v>
      </c>
      <c r="C363" t="s">
        <v>1223</v>
      </c>
      <c r="D363" t="s">
        <v>1224</v>
      </c>
      <c r="E363" t="s">
        <v>56</v>
      </c>
      <c r="F363" t="s">
        <v>1292</v>
      </c>
      <c r="G363" t="s">
        <v>1226</v>
      </c>
      <c r="H363" t="s">
        <v>56</v>
      </c>
      <c r="I363" t="s">
        <v>1294</v>
      </c>
      <c r="J363" t="s">
        <v>61</v>
      </c>
      <c r="K363" t="s">
        <v>62</v>
      </c>
      <c r="L363" t="s">
        <v>56</v>
      </c>
      <c r="M363" t="s">
        <v>56</v>
      </c>
      <c r="N363" t="s">
        <v>1229</v>
      </c>
      <c r="O363" t="s">
        <v>1230</v>
      </c>
      <c r="P363" t="s">
        <v>1231</v>
      </c>
      <c r="Q363" t="s">
        <v>1303</v>
      </c>
      <c r="R363" t="s">
        <v>67</v>
      </c>
      <c r="S363">
        <v>200000000</v>
      </c>
      <c r="T363">
        <v>161367791.65000001</v>
      </c>
      <c r="U363" t="s">
        <v>68</v>
      </c>
      <c r="V363" t="s">
        <v>1233</v>
      </c>
      <c r="W363" s="9">
        <v>60602703</v>
      </c>
      <c r="X363" t="s">
        <v>1314</v>
      </c>
      <c r="Y363" s="1">
        <v>46029</v>
      </c>
      <c r="Z363" s="1">
        <v>46059</v>
      </c>
      <c r="AA363" s="2">
        <v>5028</v>
      </c>
      <c r="AB363" s="2">
        <v>4261</v>
      </c>
      <c r="AC363" s="2">
        <v>767</v>
      </c>
      <c r="AD363" s="2">
        <v>5028</v>
      </c>
      <c r="AE363" t="s">
        <v>1315</v>
      </c>
      <c r="AF363" t="s">
        <v>72</v>
      </c>
      <c r="AG363">
        <v>19</v>
      </c>
      <c r="AH363" t="s">
        <v>73</v>
      </c>
      <c r="AI363" t="s">
        <v>74</v>
      </c>
      <c r="AJ363" t="s">
        <v>1236</v>
      </c>
      <c r="AK363" t="s">
        <v>1237</v>
      </c>
      <c r="AL363" t="s">
        <v>77</v>
      </c>
      <c r="AM363" t="s">
        <v>1238</v>
      </c>
      <c r="AN363" t="s">
        <v>1239</v>
      </c>
      <c r="AO363" t="s">
        <v>80</v>
      </c>
      <c r="AP363" t="e">
        <v>#N/A</v>
      </c>
      <c r="AQ363" t="s">
        <v>1237</v>
      </c>
      <c r="AR363" t="str">
        <f t="shared" si="10"/>
        <v>60602703.ATDAM</v>
      </c>
      <c r="AS363">
        <f t="shared" si="11"/>
        <v>723101.37999999989</v>
      </c>
      <c r="AT363" t="s">
        <v>82</v>
      </c>
    </row>
    <row r="364" spans="1:46" x14ac:dyDescent="0.35">
      <c r="A364" t="s">
        <v>52</v>
      </c>
      <c r="B364" t="s">
        <v>53</v>
      </c>
      <c r="C364" t="s">
        <v>1223</v>
      </c>
      <c r="D364" t="s">
        <v>1224</v>
      </c>
      <c r="E364" t="s">
        <v>56</v>
      </c>
      <c r="F364" t="s">
        <v>1292</v>
      </c>
      <c r="G364" t="s">
        <v>1226</v>
      </c>
      <c r="H364" t="s">
        <v>56</v>
      </c>
      <c r="I364" t="s">
        <v>1294</v>
      </c>
      <c r="J364" t="s">
        <v>61</v>
      </c>
      <c r="K364" t="s">
        <v>62</v>
      </c>
      <c r="L364" t="s">
        <v>56</v>
      </c>
      <c r="M364" t="s">
        <v>56</v>
      </c>
      <c r="N364" t="s">
        <v>1229</v>
      </c>
      <c r="O364" t="s">
        <v>1230</v>
      </c>
      <c r="P364" t="s">
        <v>1231</v>
      </c>
      <c r="Q364" t="s">
        <v>1303</v>
      </c>
      <c r="R364" t="s">
        <v>67</v>
      </c>
      <c r="S364">
        <v>200000000</v>
      </c>
      <c r="T364">
        <v>161367791.65000001</v>
      </c>
      <c r="U364" t="s">
        <v>68</v>
      </c>
      <c r="V364" t="s">
        <v>1233</v>
      </c>
      <c r="W364" s="9">
        <v>60602703</v>
      </c>
      <c r="X364" t="s">
        <v>1316</v>
      </c>
      <c r="Y364" s="1">
        <v>46029</v>
      </c>
      <c r="Z364" s="1">
        <v>46059</v>
      </c>
      <c r="AA364" s="2">
        <v>269836.90999999997</v>
      </c>
      <c r="AB364" s="2">
        <v>228675.35</v>
      </c>
      <c r="AC364" s="2">
        <v>41161.56</v>
      </c>
      <c r="AD364" s="2">
        <v>269836.90999999997</v>
      </c>
      <c r="AE364" t="s">
        <v>1317</v>
      </c>
      <c r="AF364" t="s">
        <v>72</v>
      </c>
      <c r="AG364">
        <v>19</v>
      </c>
      <c r="AH364" t="s">
        <v>73</v>
      </c>
      <c r="AI364" t="s">
        <v>74</v>
      </c>
      <c r="AJ364" t="s">
        <v>1236</v>
      </c>
      <c r="AK364" t="s">
        <v>1237</v>
      </c>
      <c r="AL364" t="s">
        <v>77</v>
      </c>
      <c r="AM364" t="s">
        <v>1238</v>
      </c>
      <c r="AN364" t="s">
        <v>1239</v>
      </c>
      <c r="AO364" t="s">
        <v>80</v>
      </c>
      <c r="AP364" t="e">
        <v>#N/A</v>
      </c>
      <c r="AQ364" t="s">
        <v>1237</v>
      </c>
      <c r="AR364" t="str">
        <f t="shared" si="10"/>
        <v>60602703.ATDAM</v>
      </c>
      <c r="AS364">
        <f t="shared" si="11"/>
        <v>723101.37999999989</v>
      </c>
      <c r="AT364" t="s">
        <v>82</v>
      </c>
    </row>
    <row r="365" spans="1:46" x14ac:dyDescent="0.35">
      <c r="A365" t="s">
        <v>52</v>
      </c>
      <c r="B365" t="s">
        <v>53</v>
      </c>
      <c r="C365" t="s">
        <v>1223</v>
      </c>
      <c r="D365" t="s">
        <v>1224</v>
      </c>
      <c r="E365" t="s">
        <v>56</v>
      </c>
      <c r="F365" t="s">
        <v>1292</v>
      </c>
      <c r="G365" t="s">
        <v>1226</v>
      </c>
      <c r="H365" t="s">
        <v>56</v>
      </c>
      <c r="I365" t="s">
        <v>1294</v>
      </c>
      <c r="J365" t="s">
        <v>61</v>
      </c>
      <c r="K365" t="s">
        <v>62</v>
      </c>
      <c r="L365" t="s">
        <v>56</v>
      </c>
      <c r="M365" t="s">
        <v>56</v>
      </c>
      <c r="N365" t="s">
        <v>1247</v>
      </c>
      <c r="O365" t="s">
        <v>1230</v>
      </c>
      <c r="P365" t="s">
        <v>1231</v>
      </c>
      <c r="Q365" t="s">
        <v>1303</v>
      </c>
      <c r="R365" t="s">
        <v>67</v>
      </c>
      <c r="S365">
        <v>200000000</v>
      </c>
      <c r="T365">
        <v>161367791.65000001</v>
      </c>
      <c r="U365" t="s">
        <v>68</v>
      </c>
      <c r="V365" t="s">
        <v>1233</v>
      </c>
      <c r="W365" s="9">
        <v>60602703</v>
      </c>
      <c r="X365" t="s">
        <v>1316</v>
      </c>
      <c r="Y365" s="1">
        <v>46029</v>
      </c>
      <c r="Z365" s="1">
        <v>46059</v>
      </c>
      <c r="AA365" s="2">
        <v>239827.96</v>
      </c>
      <c r="AB365" s="2">
        <v>203244.04</v>
      </c>
      <c r="AC365" s="2">
        <v>36583.919999999998</v>
      </c>
      <c r="AD365" s="2">
        <v>239827.96</v>
      </c>
      <c r="AE365" t="s">
        <v>1318</v>
      </c>
      <c r="AF365" t="s">
        <v>72</v>
      </c>
      <c r="AG365">
        <v>19</v>
      </c>
      <c r="AH365" t="s">
        <v>73</v>
      </c>
      <c r="AI365" t="s">
        <v>74</v>
      </c>
      <c r="AJ365" t="s">
        <v>1236</v>
      </c>
      <c r="AK365" t="s">
        <v>1237</v>
      </c>
      <c r="AL365" t="s">
        <v>77</v>
      </c>
      <c r="AM365" t="s">
        <v>1238</v>
      </c>
      <c r="AN365" t="s">
        <v>1239</v>
      </c>
      <c r="AO365" t="s">
        <v>80</v>
      </c>
      <c r="AP365" t="e">
        <v>#N/A</v>
      </c>
      <c r="AQ365" t="s">
        <v>1237</v>
      </c>
      <c r="AR365" t="str">
        <f t="shared" si="10"/>
        <v>60602703.ATDAM</v>
      </c>
      <c r="AS365">
        <f t="shared" si="11"/>
        <v>723101.37999999989</v>
      </c>
      <c r="AT365" t="s">
        <v>82</v>
      </c>
    </row>
    <row r="366" spans="1:46" x14ac:dyDescent="0.35">
      <c r="A366" t="s">
        <v>52</v>
      </c>
      <c r="B366" t="s">
        <v>53</v>
      </c>
      <c r="C366" t="s">
        <v>1223</v>
      </c>
      <c r="D366" t="s">
        <v>1224</v>
      </c>
      <c r="E366" t="s">
        <v>56</v>
      </c>
      <c r="F366" t="s">
        <v>1292</v>
      </c>
      <c r="G366" t="s">
        <v>1226</v>
      </c>
      <c r="H366" t="s">
        <v>56</v>
      </c>
      <c r="I366" t="s">
        <v>1294</v>
      </c>
      <c r="J366" t="s">
        <v>61</v>
      </c>
      <c r="K366" t="s">
        <v>62</v>
      </c>
      <c r="L366" t="s">
        <v>56</v>
      </c>
      <c r="M366" t="s">
        <v>56</v>
      </c>
      <c r="N366" t="s">
        <v>1229</v>
      </c>
      <c r="O366" t="s">
        <v>1230</v>
      </c>
      <c r="P366" t="s">
        <v>1231</v>
      </c>
      <c r="Q366" t="s">
        <v>1303</v>
      </c>
      <c r="R366" t="s">
        <v>67</v>
      </c>
      <c r="S366">
        <v>200000000</v>
      </c>
      <c r="T366">
        <v>161367791.65000001</v>
      </c>
      <c r="U366" t="s">
        <v>68</v>
      </c>
      <c r="V366" t="s">
        <v>1233</v>
      </c>
      <c r="W366" s="9">
        <v>60602703</v>
      </c>
      <c r="X366" t="s">
        <v>1319</v>
      </c>
      <c r="Y366" s="1">
        <v>46029</v>
      </c>
      <c r="Z366" s="1">
        <v>46059</v>
      </c>
      <c r="AA366" s="2">
        <v>2514</v>
      </c>
      <c r="AB366" s="2">
        <v>2130.5</v>
      </c>
      <c r="AC366" s="2">
        <v>383.5</v>
      </c>
      <c r="AD366" s="2">
        <v>2514</v>
      </c>
      <c r="AE366" t="s">
        <v>1320</v>
      </c>
      <c r="AF366" t="s">
        <v>72</v>
      </c>
      <c r="AG366">
        <v>19</v>
      </c>
      <c r="AH366" t="s">
        <v>73</v>
      </c>
      <c r="AI366" t="s">
        <v>74</v>
      </c>
      <c r="AJ366" t="s">
        <v>1236</v>
      </c>
      <c r="AK366" t="s">
        <v>1237</v>
      </c>
      <c r="AL366" t="s">
        <v>77</v>
      </c>
      <c r="AM366" t="s">
        <v>1238</v>
      </c>
      <c r="AN366" t="s">
        <v>1239</v>
      </c>
      <c r="AO366" t="s">
        <v>80</v>
      </c>
      <c r="AP366" t="e">
        <v>#N/A</v>
      </c>
      <c r="AQ366" t="s">
        <v>1237</v>
      </c>
      <c r="AR366" t="str">
        <f t="shared" si="10"/>
        <v>60602703.ATDAM</v>
      </c>
      <c r="AS366">
        <f t="shared" si="11"/>
        <v>723101.37999999989</v>
      </c>
      <c r="AT366" t="s">
        <v>82</v>
      </c>
    </row>
    <row r="367" spans="1:46" x14ac:dyDescent="0.35">
      <c r="A367" t="s">
        <v>52</v>
      </c>
      <c r="B367" t="s">
        <v>53</v>
      </c>
      <c r="C367" t="s">
        <v>1223</v>
      </c>
      <c r="D367" t="s">
        <v>1224</v>
      </c>
      <c r="E367" t="s">
        <v>56</v>
      </c>
      <c r="F367" t="s">
        <v>1292</v>
      </c>
      <c r="G367" t="s">
        <v>1226</v>
      </c>
      <c r="H367" t="s">
        <v>56</v>
      </c>
      <c r="I367" t="s">
        <v>1294</v>
      </c>
      <c r="J367" t="s">
        <v>61</v>
      </c>
      <c r="K367" t="s">
        <v>62</v>
      </c>
      <c r="L367" t="s">
        <v>56</v>
      </c>
      <c r="M367" t="s">
        <v>56</v>
      </c>
      <c r="N367" t="s">
        <v>1229</v>
      </c>
      <c r="O367" t="s">
        <v>1230</v>
      </c>
      <c r="P367" t="s">
        <v>1231</v>
      </c>
      <c r="Q367" t="s">
        <v>1303</v>
      </c>
      <c r="R367" t="s">
        <v>67</v>
      </c>
      <c r="S367">
        <v>200000000</v>
      </c>
      <c r="T367">
        <v>161367791.65000001</v>
      </c>
      <c r="U367" t="s">
        <v>68</v>
      </c>
      <c r="V367" t="s">
        <v>1233</v>
      </c>
      <c r="W367" s="9">
        <v>60602703</v>
      </c>
      <c r="X367" t="s">
        <v>1321</v>
      </c>
      <c r="Y367" s="1">
        <v>46029</v>
      </c>
      <c r="Z367" s="1">
        <v>46059</v>
      </c>
      <c r="AA367" s="2">
        <v>2513.9899999999998</v>
      </c>
      <c r="AB367" s="2">
        <v>2130.5</v>
      </c>
      <c r="AC367" s="2">
        <v>383.49</v>
      </c>
      <c r="AD367" s="2">
        <v>2513.9899999999998</v>
      </c>
      <c r="AE367" t="s">
        <v>1322</v>
      </c>
      <c r="AF367" t="s">
        <v>72</v>
      </c>
      <c r="AG367">
        <v>19</v>
      </c>
      <c r="AH367" t="s">
        <v>73</v>
      </c>
      <c r="AI367" t="s">
        <v>74</v>
      </c>
      <c r="AJ367" t="s">
        <v>1236</v>
      </c>
      <c r="AK367" t="s">
        <v>1237</v>
      </c>
      <c r="AL367" t="s">
        <v>77</v>
      </c>
      <c r="AM367" t="s">
        <v>1238</v>
      </c>
      <c r="AN367" t="s">
        <v>1239</v>
      </c>
      <c r="AO367" t="s">
        <v>80</v>
      </c>
      <c r="AP367" t="e">
        <v>#N/A</v>
      </c>
      <c r="AQ367" t="s">
        <v>1237</v>
      </c>
      <c r="AR367" t="str">
        <f t="shared" si="10"/>
        <v>60602703.ATDAM</v>
      </c>
      <c r="AS367">
        <f t="shared" si="11"/>
        <v>723101.37999999989</v>
      </c>
      <c r="AT367" t="s">
        <v>82</v>
      </c>
    </row>
    <row r="368" spans="1:46" x14ac:dyDescent="0.35">
      <c r="A368" t="s">
        <v>52</v>
      </c>
      <c r="B368" t="s">
        <v>53</v>
      </c>
      <c r="C368" t="s">
        <v>1223</v>
      </c>
      <c r="D368" t="s">
        <v>1224</v>
      </c>
      <c r="E368" t="s">
        <v>56</v>
      </c>
      <c r="F368" t="s">
        <v>1292</v>
      </c>
      <c r="G368" t="s">
        <v>1226</v>
      </c>
      <c r="H368" t="s">
        <v>56</v>
      </c>
      <c r="I368" t="s">
        <v>1294</v>
      </c>
      <c r="J368" t="s">
        <v>61</v>
      </c>
      <c r="K368" t="s">
        <v>62</v>
      </c>
      <c r="L368" t="s">
        <v>56</v>
      </c>
      <c r="M368" t="s">
        <v>56</v>
      </c>
      <c r="N368" t="s">
        <v>1229</v>
      </c>
      <c r="O368" t="s">
        <v>1230</v>
      </c>
      <c r="P368" t="s">
        <v>1231</v>
      </c>
      <c r="Q368" t="s">
        <v>1303</v>
      </c>
      <c r="R368" t="s">
        <v>67</v>
      </c>
      <c r="S368">
        <v>200000000</v>
      </c>
      <c r="T368">
        <v>161367791.65000001</v>
      </c>
      <c r="U368" t="s">
        <v>68</v>
      </c>
      <c r="V368" t="s">
        <v>1233</v>
      </c>
      <c r="W368" s="9">
        <v>60602703</v>
      </c>
      <c r="X368" t="s">
        <v>1323</v>
      </c>
      <c r="Y368" s="1">
        <v>46043</v>
      </c>
      <c r="Z368" s="1">
        <v>46073</v>
      </c>
      <c r="AA368" s="2">
        <v>2514</v>
      </c>
      <c r="AB368" s="2">
        <v>2130.5</v>
      </c>
      <c r="AC368" s="2">
        <v>383.5</v>
      </c>
      <c r="AD368" s="2">
        <v>2514</v>
      </c>
      <c r="AE368" t="s">
        <v>1324</v>
      </c>
      <c r="AF368" t="s">
        <v>72</v>
      </c>
      <c r="AG368">
        <v>5</v>
      </c>
      <c r="AH368" t="s">
        <v>73</v>
      </c>
      <c r="AI368" t="s">
        <v>74</v>
      </c>
      <c r="AJ368" t="s">
        <v>1236</v>
      </c>
      <c r="AK368" t="s">
        <v>1237</v>
      </c>
      <c r="AL368" t="s">
        <v>77</v>
      </c>
      <c r="AM368" t="s">
        <v>1238</v>
      </c>
      <c r="AN368" t="s">
        <v>1239</v>
      </c>
      <c r="AO368" t="s">
        <v>80</v>
      </c>
      <c r="AP368" t="e">
        <v>#N/A</v>
      </c>
      <c r="AQ368" t="s">
        <v>1237</v>
      </c>
      <c r="AR368" t="str">
        <f t="shared" si="10"/>
        <v>60602703.ATDAM</v>
      </c>
      <c r="AS368">
        <f t="shared" si="11"/>
        <v>723101.37999999989</v>
      </c>
      <c r="AT368" t="s">
        <v>82</v>
      </c>
    </row>
    <row r="369" spans="1:46" x14ac:dyDescent="0.35">
      <c r="A369" t="s">
        <v>52</v>
      </c>
      <c r="B369" t="s">
        <v>53</v>
      </c>
      <c r="C369" t="s">
        <v>1223</v>
      </c>
      <c r="D369" t="s">
        <v>1224</v>
      </c>
      <c r="E369" t="s">
        <v>56</v>
      </c>
      <c r="F369" t="s">
        <v>1292</v>
      </c>
      <c r="G369" t="s">
        <v>1226</v>
      </c>
      <c r="H369" t="s">
        <v>56</v>
      </c>
      <c r="I369" t="s">
        <v>1294</v>
      </c>
      <c r="J369" t="s">
        <v>61</v>
      </c>
      <c r="K369" t="s">
        <v>62</v>
      </c>
      <c r="L369" t="s">
        <v>56</v>
      </c>
      <c r="M369" t="s">
        <v>56</v>
      </c>
      <c r="N369" t="s">
        <v>1229</v>
      </c>
      <c r="O369" t="s">
        <v>1230</v>
      </c>
      <c r="P369" t="s">
        <v>1231</v>
      </c>
      <c r="Q369" t="s">
        <v>1303</v>
      </c>
      <c r="R369" t="s">
        <v>67</v>
      </c>
      <c r="S369">
        <v>200000000</v>
      </c>
      <c r="T369">
        <v>161367791.65000001</v>
      </c>
      <c r="U369" t="s">
        <v>68</v>
      </c>
      <c r="V369" t="s">
        <v>1233</v>
      </c>
      <c r="W369" s="9">
        <v>60602703</v>
      </c>
      <c r="X369" t="s">
        <v>1325</v>
      </c>
      <c r="Y369" s="1">
        <v>46043</v>
      </c>
      <c r="Z369" s="1">
        <v>46073</v>
      </c>
      <c r="AA369" s="2">
        <v>2514</v>
      </c>
      <c r="AB369" s="2">
        <v>2130.5</v>
      </c>
      <c r="AC369" s="2">
        <v>383.5</v>
      </c>
      <c r="AD369" s="2">
        <v>2514</v>
      </c>
      <c r="AE369" t="s">
        <v>1326</v>
      </c>
      <c r="AF369" t="s">
        <v>72</v>
      </c>
      <c r="AG369">
        <v>5</v>
      </c>
      <c r="AH369" t="s">
        <v>73</v>
      </c>
      <c r="AI369" t="s">
        <v>74</v>
      </c>
      <c r="AJ369" t="s">
        <v>1236</v>
      </c>
      <c r="AK369" t="s">
        <v>1237</v>
      </c>
      <c r="AL369" t="s">
        <v>77</v>
      </c>
      <c r="AM369" t="s">
        <v>1238</v>
      </c>
      <c r="AN369" t="s">
        <v>1239</v>
      </c>
      <c r="AO369" t="s">
        <v>80</v>
      </c>
      <c r="AP369" t="e">
        <v>#N/A</v>
      </c>
      <c r="AQ369" t="s">
        <v>1237</v>
      </c>
      <c r="AR369" t="str">
        <f t="shared" si="10"/>
        <v>60602703.ATDAM</v>
      </c>
      <c r="AS369">
        <f t="shared" si="11"/>
        <v>723101.37999999989</v>
      </c>
      <c r="AT369" t="s">
        <v>82</v>
      </c>
    </row>
    <row r="370" spans="1:46" x14ac:dyDescent="0.35">
      <c r="A370" t="s">
        <v>52</v>
      </c>
      <c r="B370" t="s">
        <v>53</v>
      </c>
      <c r="C370" t="s">
        <v>1223</v>
      </c>
      <c r="D370" t="s">
        <v>1224</v>
      </c>
      <c r="E370" t="s">
        <v>56</v>
      </c>
      <c r="F370" t="s">
        <v>1292</v>
      </c>
      <c r="G370" t="s">
        <v>1226</v>
      </c>
      <c r="H370" t="s">
        <v>56</v>
      </c>
      <c r="I370" t="s">
        <v>1294</v>
      </c>
      <c r="J370" t="s">
        <v>61</v>
      </c>
      <c r="K370" t="s">
        <v>62</v>
      </c>
      <c r="L370" t="s">
        <v>56</v>
      </c>
      <c r="M370" t="s">
        <v>56</v>
      </c>
      <c r="N370" t="s">
        <v>1229</v>
      </c>
      <c r="O370" t="s">
        <v>1230</v>
      </c>
      <c r="P370" t="s">
        <v>1231</v>
      </c>
      <c r="Q370" t="s">
        <v>1303</v>
      </c>
      <c r="R370" t="s">
        <v>67</v>
      </c>
      <c r="S370">
        <v>200000000</v>
      </c>
      <c r="T370">
        <v>161367791.65000001</v>
      </c>
      <c r="U370" t="s">
        <v>68</v>
      </c>
      <c r="V370" t="s">
        <v>1233</v>
      </c>
      <c r="W370" s="9">
        <v>60602703</v>
      </c>
      <c r="X370" t="s">
        <v>1327</v>
      </c>
      <c r="Y370" s="1">
        <v>46071</v>
      </c>
      <c r="Z370" s="1">
        <v>46101</v>
      </c>
      <c r="AA370" s="2">
        <v>2513.9899999999998</v>
      </c>
      <c r="AB370" s="2">
        <v>2130.5</v>
      </c>
      <c r="AC370" s="2">
        <v>383.49</v>
      </c>
      <c r="AD370" s="2">
        <v>2513.9899999999998</v>
      </c>
      <c r="AE370" t="s">
        <v>1328</v>
      </c>
      <c r="AF370" t="s">
        <v>72</v>
      </c>
      <c r="AG370">
        <v>-23</v>
      </c>
      <c r="AH370" t="s">
        <v>117</v>
      </c>
      <c r="AI370" t="s">
        <v>74</v>
      </c>
      <c r="AJ370" t="s">
        <v>1236</v>
      </c>
      <c r="AK370" t="s">
        <v>1237</v>
      </c>
      <c r="AL370" t="s">
        <v>118</v>
      </c>
      <c r="AM370" t="s">
        <v>1238</v>
      </c>
      <c r="AN370" t="s">
        <v>1239</v>
      </c>
      <c r="AO370" t="s">
        <v>119</v>
      </c>
      <c r="AP370" t="e">
        <v>#N/A</v>
      </c>
      <c r="AQ370" t="s">
        <v>1237</v>
      </c>
      <c r="AR370" t="str">
        <f t="shared" si="10"/>
        <v>60602703.ATDAM</v>
      </c>
      <c r="AS370">
        <f t="shared" si="11"/>
        <v>723101.37999999989</v>
      </c>
      <c r="AT370" t="s">
        <v>82</v>
      </c>
    </row>
    <row r="371" spans="1:46" x14ac:dyDescent="0.35">
      <c r="A371" t="s">
        <v>52</v>
      </c>
      <c r="B371" t="s">
        <v>53</v>
      </c>
      <c r="C371" t="s">
        <v>1223</v>
      </c>
      <c r="D371" t="s">
        <v>1224</v>
      </c>
      <c r="E371" t="s">
        <v>56</v>
      </c>
      <c r="F371" t="s">
        <v>1292</v>
      </c>
      <c r="G371" t="s">
        <v>1226</v>
      </c>
      <c r="H371" t="s">
        <v>56</v>
      </c>
      <c r="I371" t="s">
        <v>1294</v>
      </c>
      <c r="J371" t="s">
        <v>61</v>
      </c>
      <c r="K371" t="s">
        <v>62</v>
      </c>
      <c r="L371" t="s">
        <v>56</v>
      </c>
      <c r="M371" t="s">
        <v>56</v>
      </c>
      <c r="N371" t="s">
        <v>1229</v>
      </c>
      <c r="O371" t="s">
        <v>1230</v>
      </c>
      <c r="P371" t="s">
        <v>1231</v>
      </c>
      <c r="Q371" t="s">
        <v>1303</v>
      </c>
      <c r="R371" t="s">
        <v>67</v>
      </c>
      <c r="S371">
        <v>200000000</v>
      </c>
      <c r="T371">
        <v>161367791.65000001</v>
      </c>
      <c r="U371" t="s">
        <v>68</v>
      </c>
      <c r="V371" t="s">
        <v>1233</v>
      </c>
      <c r="W371" s="9">
        <v>60602703</v>
      </c>
      <c r="X371" t="s">
        <v>1329</v>
      </c>
      <c r="Y371" s="1">
        <v>46071</v>
      </c>
      <c r="Z371" s="1">
        <v>46101</v>
      </c>
      <c r="AA371" s="2">
        <v>2513.9899999999998</v>
      </c>
      <c r="AB371" s="2">
        <v>2130.5</v>
      </c>
      <c r="AC371" s="2">
        <v>383.49</v>
      </c>
      <c r="AD371" s="2">
        <v>2513.9899999999998</v>
      </c>
      <c r="AE371" t="s">
        <v>1330</v>
      </c>
      <c r="AF371" t="s">
        <v>72</v>
      </c>
      <c r="AG371">
        <v>-23</v>
      </c>
      <c r="AH371" t="s">
        <v>117</v>
      </c>
      <c r="AI371" t="s">
        <v>74</v>
      </c>
      <c r="AJ371" t="s">
        <v>1236</v>
      </c>
      <c r="AK371" t="s">
        <v>1237</v>
      </c>
      <c r="AL371" t="s">
        <v>118</v>
      </c>
      <c r="AM371" t="s">
        <v>1238</v>
      </c>
      <c r="AN371" t="s">
        <v>1239</v>
      </c>
      <c r="AO371" t="s">
        <v>119</v>
      </c>
      <c r="AP371" t="e">
        <v>#N/A</v>
      </c>
      <c r="AQ371" t="s">
        <v>1237</v>
      </c>
      <c r="AR371" t="str">
        <f t="shared" si="10"/>
        <v>60602703.ATDAM</v>
      </c>
      <c r="AS371">
        <f t="shared" si="11"/>
        <v>723101.37999999989</v>
      </c>
      <c r="AT371" t="s">
        <v>82</v>
      </c>
    </row>
    <row r="372" spans="1:46" x14ac:dyDescent="0.35">
      <c r="A372" t="s">
        <v>52</v>
      </c>
      <c r="B372" t="s">
        <v>53</v>
      </c>
      <c r="C372" t="s">
        <v>54</v>
      </c>
      <c r="D372" t="s">
        <v>1224</v>
      </c>
      <c r="E372" t="s">
        <v>56</v>
      </c>
      <c r="F372" t="s">
        <v>1331</v>
      </c>
      <c r="G372" t="s">
        <v>1332</v>
      </c>
      <c r="H372" t="s">
        <v>56</v>
      </c>
      <c r="I372" t="s">
        <v>1333</v>
      </c>
      <c r="J372" t="s">
        <v>61</v>
      </c>
      <c r="K372" t="s">
        <v>62</v>
      </c>
      <c r="L372" t="s">
        <v>56</v>
      </c>
      <c r="M372" t="s">
        <v>56</v>
      </c>
      <c r="N372" t="s">
        <v>252</v>
      </c>
      <c r="O372" t="s">
        <v>1206</v>
      </c>
      <c r="P372" t="s">
        <v>1207</v>
      </c>
      <c r="Q372" t="s">
        <v>114</v>
      </c>
      <c r="R372" t="s">
        <v>379</v>
      </c>
      <c r="S372">
        <v>10000000</v>
      </c>
      <c r="T372">
        <v>-3040995.41</v>
      </c>
      <c r="U372" t="s">
        <v>68</v>
      </c>
      <c r="V372" t="s">
        <v>1233</v>
      </c>
      <c r="W372" s="9">
        <v>60604041</v>
      </c>
      <c r="X372" t="s">
        <v>1334</v>
      </c>
      <c r="Y372" s="1">
        <v>46025</v>
      </c>
      <c r="Z372" s="1">
        <v>46070</v>
      </c>
      <c r="AA372" s="2">
        <v>8013604.2000000002</v>
      </c>
      <c r="AB372" s="2">
        <v>6791190</v>
      </c>
      <c r="AC372" s="2">
        <v>1222414.2</v>
      </c>
      <c r="AD372" s="2">
        <v>8013604.2000000002</v>
      </c>
      <c r="AE372" t="s">
        <v>1335</v>
      </c>
      <c r="AF372" t="s">
        <v>72</v>
      </c>
      <c r="AG372">
        <v>8</v>
      </c>
      <c r="AH372" t="s">
        <v>73</v>
      </c>
      <c r="AI372" t="s">
        <v>74</v>
      </c>
      <c r="AJ372" t="s">
        <v>75</v>
      </c>
      <c r="AK372" t="s">
        <v>76</v>
      </c>
      <c r="AL372" t="s">
        <v>77</v>
      </c>
      <c r="AM372" t="s">
        <v>78</v>
      </c>
      <c r="AN372" t="s">
        <v>239</v>
      </c>
      <c r="AO372" t="s">
        <v>80</v>
      </c>
      <c r="AP372" t="e">
        <v>#N/A</v>
      </c>
      <c r="AQ372" t="s">
        <v>81</v>
      </c>
      <c r="AR372" t="str">
        <f t="shared" si="10"/>
        <v>60604041.STATAM</v>
      </c>
      <c r="AS372">
        <f t="shared" si="11"/>
        <v>11109050.83</v>
      </c>
      <c r="AT372" t="s">
        <v>82</v>
      </c>
    </row>
    <row r="373" spans="1:46" x14ac:dyDescent="0.35">
      <c r="A373" t="s">
        <v>52</v>
      </c>
      <c r="B373" t="s">
        <v>53</v>
      </c>
      <c r="C373" t="s">
        <v>54</v>
      </c>
      <c r="D373" t="s">
        <v>1224</v>
      </c>
      <c r="E373" t="s">
        <v>56</v>
      </c>
      <c r="F373" t="s">
        <v>1331</v>
      </c>
      <c r="G373" t="s">
        <v>1336</v>
      </c>
      <c r="H373" t="s">
        <v>56</v>
      </c>
      <c r="I373" t="s">
        <v>1337</v>
      </c>
      <c r="J373" t="s">
        <v>61</v>
      </c>
      <c r="K373" t="s">
        <v>62</v>
      </c>
      <c r="L373" t="s">
        <v>56</v>
      </c>
      <c r="M373" t="s">
        <v>56</v>
      </c>
      <c r="N373" t="s">
        <v>252</v>
      </c>
      <c r="O373" t="s">
        <v>245</v>
      </c>
      <c r="P373" t="s">
        <v>246</v>
      </c>
      <c r="Q373" t="s">
        <v>393</v>
      </c>
      <c r="R373" t="s">
        <v>379</v>
      </c>
      <c r="S373">
        <v>10000000</v>
      </c>
      <c r="T373">
        <v>-3040995.41</v>
      </c>
      <c r="U373" t="s">
        <v>68</v>
      </c>
      <c r="V373" t="s">
        <v>1233</v>
      </c>
      <c r="W373" s="9">
        <v>60604041</v>
      </c>
      <c r="X373" t="s">
        <v>1338</v>
      </c>
      <c r="Y373" s="1">
        <v>46051</v>
      </c>
      <c r="Z373" s="1">
        <v>46096</v>
      </c>
      <c r="AA373" s="2">
        <v>377700.54</v>
      </c>
      <c r="AB373" s="2">
        <v>320085.2</v>
      </c>
      <c r="AC373" s="2">
        <v>57615.34</v>
      </c>
      <c r="AD373" s="2">
        <v>377700.54</v>
      </c>
      <c r="AE373" t="s">
        <v>1339</v>
      </c>
      <c r="AF373" t="s">
        <v>72</v>
      </c>
      <c r="AG373">
        <v>-18</v>
      </c>
      <c r="AH373" t="s">
        <v>117</v>
      </c>
      <c r="AI373" t="s">
        <v>74</v>
      </c>
      <c r="AJ373" t="s">
        <v>75</v>
      </c>
      <c r="AK373" t="s">
        <v>76</v>
      </c>
      <c r="AL373" t="s">
        <v>118</v>
      </c>
      <c r="AM373" t="s">
        <v>78</v>
      </c>
      <c r="AN373" t="s">
        <v>239</v>
      </c>
      <c r="AO373" t="s">
        <v>119</v>
      </c>
      <c r="AP373" t="e">
        <v>#N/A</v>
      </c>
      <c r="AQ373" t="s">
        <v>81</v>
      </c>
      <c r="AR373" t="str">
        <f t="shared" si="10"/>
        <v>60604041.STATAM</v>
      </c>
      <c r="AS373">
        <f t="shared" si="11"/>
        <v>11109050.83</v>
      </c>
      <c r="AT373" t="s">
        <v>82</v>
      </c>
    </row>
    <row r="374" spans="1:46" x14ac:dyDescent="0.35">
      <c r="A374" t="s">
        <v>52</v>
      </c>
      <c r="B374" t="s">
        <v>53</v>
      </c>
      <c r="C374" t="s">
        <v>54</v>
      </c>
      <c r="D374" t="s">
        <v>1224</v>
      </c>
      <c r="E374" t="s">
        <v>56</v>
      </c>
      <c r="F374" t="s">
        <v>1331</v>
      </c>
      <c r="G374" t="s">
        <v>1336</v>
      </c>
      <c r="H374" t="s">
        <v>56</v>
      </c>
      <c r="I374" t="s">
        <v>1337</v>
      </c>
      <c r="J374" t="s">
        <v>61</v>
      </c>
      <c r="K374" t="s">
        <v>62</v>
      </c>
      <c r="L374" t="s">
        <v>56</v>
      </c>
      <c r="M374" t="s">
        <v>56</v>
      </c>
      <c r="N374" t="s">
        <v>254</v>
      </c>
      <c r="O374" t="s">
        <v>245</v>
      </c>
      <c r="P374" t="s">
        <v>246</v>
      </c>
      <c r="Q374" t="s">
        <v>393</v>
      </c>
      <c r="R374" t="s">
        <v>379</v>
      </c>
      <c r="S374">
        <v>10000000</v>
      </c>
      <c r="T374">
        <v>-3040995.41</v>
      </c>
      <c r="U374" t="s">
        <v>68</v>
      </c>
      <c r="V374" t="s">
        <v>1233</v>
      </c>
      <c r="W374" s="9">
        <v>60604041</v>
      </c>
      <c r="X374" t="s">
        <v>1338</v>
      </c>
      <c r="Y374" s="1">
        <v>46051</v>
      </c>
      <c r="Z374" s="1">
        <v>46096</v>
      </c>
      <c r="AA374" s="2">
        <v>2533999.2599999998</v>
      </c>
      <c r="AB374" s="2">
        <v>2147457</v>
      </c>
      <c r="AC374" s="2">
        <v>386542.26</v>
      </c>
      <c r="AD374" s="2">
        <v>2533999.2599999998</v>
      </c>
      <c r="AE374" t="s">
        <v>1340</v>
      </c>
      <c r="AF374" t="s">
        <v>72</v>
      </c>
      <c r="AG374">
        <v>-18</v>
      </c>
      <c r="AH374" t="s">
        <v>117</v>
      </c>
      <c r="AI374" t="s">
        <v>74</v>
      </c>
      <c r="AJ374" t="s">
        <v>75</v>
      </c>
      <c r="AK374" t="s">
        <v>76</v>
      </c>
      <c r="AL374" t="s">
        <v>118</v>
      </c>
      <c r="AM374" t="s">
        <v>78</v>
      </c>
      <c r="AN374" t="s">
        <v>239</v>
      </c>
      <c r="AO374" t="s">
        <v>119</v>
      </c>
      <c r="AP374" t="e">
        <v>#N/A</v>
      </c>
      <c r="AQ374" t="s">
        <v>81</v>
      </c>
      <c r="AR374" t="str">
        <f t="shared" si="10"/>
        <v>60604041.STATAM</v>
      </c>
      <c r="AS374">
        <f t="shared" si="11"/>
        <v>11109050.83</v>
      </c>
      <c r="AT374" t="s">
        <v>82</v>
      </c>
    </row>
    <row r="375" spans="1:46" x14ac:dyDescent="0.35">
      <c r="A375" t="s">
        <v>52</v>
      </c>
      <c r="B375" t="s">
        <v>53</v>
      </c>
      <c r="C375" t="s">
        <v>54</v>
      </c>
      <c r="D375" t="s">
        <v>1224</v>
      </c>
      <c r="E375" t="s">
        <v>56</v>
      </c>
      <c r="F375" t="s">
        <v>1331</v>
      </c>
      <c r="G375" t="s">
        <v>1341</v>
      </c>
      <c r="H375" t="s">
        <v>56</v>
      </c>
      <c r="I375" t="s">
        <v>1342</v>
      </c>
      <c r="J375" t="s">
        <v>61</v>
      </c>
      <c r="K375" t="s">
        <v>62</v>
      </c>
      <c r="L375" t="s">
        <v>56</v>
      </c>
      <c r="M375" t="s">
        <v>56</v>
      </c>
      <c r="N375" t="s">
        <v>252</v>
      </c>
      <c r="O375" t="s">
        <v>245</v>
      </c>
      <c r="P375" t="s">
        <v>246</v>
      </c>
      <c r="Q375" t="s">
        <v>393</v>
      </c>
      <c r="R375" t="s">
        <v>379</v>
      </c>
      <c r="S375">
        <v>10000000</v>
      </c>
      <c r="T375">
        <v>-3040995.41</v>
      </c>
      <c r="U375" t="s">
        <v>68</v>
      </c>
      <c r="V375" t="s">
        <v>1233</v>
      </c>
      <c r="W375" s="9">
        <v>60604041</v>
      </c>
      <c r="X375" t="s">
        <v>1343</v>
      </c>
      <c r="Y375" s="1">
        <v>46060</v>
      </c>
      <c r="Z375" s="1">
        <v>46105</v>
      </c>
      <c r="AA375" s="2">
        <v>33345.5</v>
      </c>
      <c r="AB375" s="2">
        <v>28258.9</v>
      </c>
      <c r="AC375" s="2">
        <v>5086.6000000000004</v>
      </c>
      <c r="AD375" s="2">
        <v>33345.5</v>
      </c>
      <c r="AE375" t="s">
        <v>1344</v>
      </c>
      <c r="AF375" t="s">
        <v>72</v>
      </c>
      <c r="AG375">
        <v>-27</v>
      </c>
      <c r="AH375" t="s">
        <v>117</v>
      </c>
      <c r="AI375" t="s">
        <v>74</v>
      </c>
      <c r="AJ375" t="s">
        <v>75</v>
      </c>
      <c r="AK375" t="s">
        <v>76</v>
      </c>
      <c r="AL375" t="s">
        <v>118</v>
      </c>
      <c r="AM375" t="s">
        <v>78</v>
      </c>
      <c r="AN375" t="s">
        <v>239</v>
      </c>
      <c r="AO375" t="s">
        <v>119</v>
      </c>
      <c r="AP375" t="e">
        <v>#N/A</v>
      </c>
      <c r="AQ375" t="s">
        <v>81</v>
      </c>
      <c r="AR375" t="str">
        <f t="shared" si="10"/>
        <v>60604041.STATAM</v>
      </c>
      <c r="AS375">
        <f t="shared" si="11"/>
        <v>11109050.83</v>
      </c>
      <c r="AT375" t="s">
        <v>82</v>
      </c>
    </row>
    <row r="376" spans="1:46" x14ac:dyDescent="0.35">
      <c r="A376" t="s">
        <v>52</v>
      </c>
      <c r="B376" t="s">
        <v>53</v>
      </c>
      <c r="C376" t="s">
        <v>54</v>
      </c>
      <c r="D376" t="s">
        <v>1224</v>
      </c>
      <c r="E376" t="s">
        <v>56</v>
      </c>
      <c r="F376" t="s">
        <v>1331</v>
      </c>
      <c r="G376" t="s">
        <v>1345</v>
      </c>
      <c r="H376" t="s">
        <v>56</v>
      </c>
      <c r="I376" t="s">
        <v>1346</v>
      </c>
      <c r="J376" t="s">
        <v>61</v>
      </c>
      <c r="K376" t="s">
        <v>62</v>
      </c>
      <c r="L376" t="s">
        <v>56</v>
      </c>
      <c r="M376" t="s">
        <v>56</v>
      </c>
      <c r="N376" t="s">
        <v>252</v>
      </c>
      <c r="O376" t="s">
        <v>245</v>
      </c>
      <c r="P376" t="s">
        <v>246</v>
      </c>
      <c r="Q376" t="s">
        <v>393</v>
      </c>
      <c r="R376" t="s">
        <v>379</v>
      </c>
      <c r="S376">
        <v>10000000</v>
      </c>
      <c r="T376">
        <v>-3040995.41</v>
      </c>
      <c r="U376" t="s">
        <v>68</v>
      </c>
      <c r="V376" t="s">
        <v>1233</v>
      </c>
      <c r="W376" s="9">
        <v>60604041</v>
      </c>
      <c r="X376" t="s">
        <v>1347</v>
      </c>
      <c r="Y376" s="1">
        <v>46077</v>
      </c>
      <c r="Z376" s="1">
        <v>46122</v>
      </c>
      <c r="AA376" s="2">
        <v>150401.32999999999</v>
      </c>
      <c r="AB376" s="2">
        <v>127458.75</v>
      </c>
      <c r="AC376" s="2">
        <v>22942.58</v>
      </c>
      <c r="AD376" s="2">
        <v>150401.32999999999</v>
      </c>
      <c r="AE376" t="s">
        <v>1348</v>
      </c>
      <c r="AF376" t="s">
        <v>72</v>
      </c>
      <c r="AG376">
        <v>-44</v>
      </c>
      <c r="AH376" t="s">
        <v>117</v>
      </c>
      <c r="AI376" t="s">
        <v>74</v>
      </c>
      <c r="AJ376" t="s">
        <v>75</v>
      </c>
      <c r="AK376" t="s">
        <v>76</v>
      </c>
      <c r="AL376" t="s">
        <v>118</v>
      </c>
      <c r="AM376" t="s">
        <v>78</v>
      </c>
      <c r="AN376" t="s">
        <v>239</v>
      </c>
      <c r="AO376" t="s">
        <v>119</v>
      </c>
      <c r="AP376" t="e">
        <v>#N/A</v>
      </c>
      <c r="AQ376" t="s">
        <v>81</v>
      </c>
      <c r="AR376" t="str">
        <f t="shared" si="10"/>
        <v>60604041.STATAM</v>
      </c>
      <c r="AS376">
        <f t="shared" si="11"/>
        <v>11109050.83</v>
      </c>
      <c r="AT376" t="s">
        <v>82</v>
      </c>
    </row>
    <row r="377" spans="1:46" x14ac:dyDescent="0.35">
      <c r="A377" t="s">
        <v>52</v>
      </c>
      <c r="B377" t="s">
        <v>53</v>
      </c>
      <c r="C377" t="s">
        <v>54</v>
      </c>
      <c r="D377" t="s">
        <v>1224</v>
      </c>
      <c r="E377" t="s">
        <v>56</v>
      </c>
      <c r="F377" t="s">
        <v>1349</v>
      </c>
      <c r="G377" t="s">
        <v>1350</v>
      </c>
      <c r="H377" t="s">
        <v>56</v>
      </c>
      <c r="I377" t="s">
        <v>1351</v>
      </c>
      <c r="J377" t="s">
        <v>61</v>
      </c>
      <c r="K377" t="s">
        <v>62</v>
      </c>
      <c r="L377" t="s">
        <v>56</v>
      </c>
      <c r="M377" t="s">
        <v>56</v>
      </c>
      <c r="N377" t="s">
        <v>252</v>
      </c>
      <c r="O377" t="s">
        <v>1206</v>
      </c>
      <c r="P377" t="s">
        <v>1207</v>
      </c>
      <c r="Q377" t="s">
        <v>114</v>
      </c>
      <c r="R377" t="s">
        <v>379</v>
      </c>
      <c r="S377">
        <v>10000000</v>
      </c>
      <c r="T377">
        <v>-6767554.54</v>
      </c>
      <c r="U377" t="s">
        <v>68</v>
      </c>
      <c r="V377" t="s">
        <v>1233</v>
      </c>
      <c r="W377" s="9">
        <v>60604042</v>
      </c>
      <c r="X377" t="s">
        <v>1352</v>
      </c>
      <c r="Y377" s="1">
        <v>46025</v>
      </c>
      <c r="Z377" s="1">
        <v>46070</v>
      </c>
      <c r="AA377" s="2">
        <v>1060658.8400000001</v>
      </c>
      <c r="AB377" s="2">
        <v>898863.42</v>
      </c>
      <c r="AC377" s="2">
        <v>161795.42000000001</v>
      </c>
      <c r="AD377" s="2">
        <v>1060658.8400000001</v>
      </c>
      <c r="AE377" t="s">
        <v>1353</v>
      </c>
      <c r="AF377" t="s">
        <v>72</v>
      </c>
      <c r="AG377">
        <v>8</v>
      </c>
      <c r="AH377" t="s">
        <v>73</v>
      </c>
      <c r="AI377" t="s">
        <v>74</v>
      </c>
      <c r="AJ377" t="s">
        <v>75</v>
      </c>
      <c r="AK377" t="s">
        <v>76</v>
      </c>
      <c r="AL377" t="s">
        <v>77</v>
      </c>
      <c r="AM377" t="s">
        <v>78</v>
      </c>
      <c r="AN377" t="s">
        <v>239</v>
      </c>
      <c r="AO377" t="s">
        <v>80</v>
      </c>
      <c r="AP377" t="e">
        <v>#N/A</v>
      </c>
      <c r="AQ377" t="s">
        <v>81</v>
      </c>
      <c r="AR377" t="str">
        <f t="shared" si="10"/>
        <v>60604042.STATAM</v>
      </c>
      <c r="AS377">
        <f t="shared" si="11"/>
        <v>9074936.5700000022</v>
      </c>
      <c r="AT377" t="s">
        <v>82</v>
      </c>
    </row>
    <row r="378" spans="1:46" x14ac:dyDescent="0.35">
      <c r="A378" t="s">
        <v>52</v>
      </c>
      <c r="B378" t="s">
        <v>53</v>
      </c>
      <c r="C378" t="s">
        <v>54</v>
      </c>
      <c r="D378" t="s">
        <v>1224</v>
      </c>
      <c r="E378" t="s">
        <v>56</v>
      </c>
      <c r="F378" t="s">
        <v>1349</v>
      </c>
      <c r="G378" t="s">
        <v>1354</v>
      </c>
      <c r="H378" t="s">
        <v>56</v>
      </c>
      <c r="I378" t="s">
        <v>1355</v>
      </c>
      <c r="J378" t="s">
        <v>61</v>
      </c>
      <c r="K378" t="s">
        <v>62</v>
      </c>
      <c r="L378" t="s">
        <v>56</v>
      </c>
      <c r="M378" t="s">
        <v>56</v>
      </c>
      <c r="N378" t="s">
        <v>252</v>
      </c>
      <c r="O378" t="s">
        <v>1206</v>
      </c>
      <c r="P378" t="s">
        <v>1207</v>
      </c>
      <c r="Q378" t="s">
        <v>114</v>
      </c>
      <c r="R378" t="s">
        <v>379</v>
      </c>
      <c r="S378">
        <v>10000000</v>
      </c>
      <c r="T378">
        <v>-6767554.54</v>
      </c>
      <c r="U378" t="s">
        <v>68</v>
      </c>
      <c r="V378" t="s">
        <v>1233</v>
      </c>
      <c r="W378" s="9">
        <v>60604042</v>
      </c>
      <c r="X378" t="s">
        <v>1356</v>
      </c>
      <c r="Y378" s="1">
        <v>46043</v>
      </c>
      <c r="Z378" s="1">
        <v>46088</v>
      </c>
      <c r="AA378" s="2">
        <v>474872.97</v>
      </c>
      <c r="AB378" s="2">
        <v>402434.72</v>
      </c>
      <c r="AC378" s="2">
        <v>72438.25</v>
      </c>
      <c r="AD378" s="2">
        <v>474872.97</v>
      </c>
      <c r="AE378" t="s">
        <v>1357</v>
      </c>
      <c r="AF378" t="s">
        <v>72</v>
      </c>
      <c r="AG378">
        <v>-10</v>
      </c>
      <c r="AH378" t="s">
        <v>117</v>
      </c>
      <c r="AI378" t="s">
        <v>74</v>
      </c>
      <c r="AJ378" t="s">
        <v>75</v>
      </c>
      <c r="AK378" t="s">
        <v>76</v>
      </c>
      <c r="AL378" t="s">
        <v>118</v>
      </c>
      <c r="AM378" t="s">
        <v>78</v>
      </c>
      <c r="AN378" t="s">
        <v>239</v>
      </c>
      <c r="AO378" t="s">
        <v>119</v>
      </c>
      <c r="AP378" t="e">
        <v>#N/A</v>
      </c>
      <c r="AQ378" t="s">
        <v>81</v>
      </c>
      <c r="AR378" t="str">
        <f t="shared" si="10"/>
        <v>60604042.STATAM</v>
      </c>
      <c r="AS378">
        <f t="shared" si="11"/>
        <v>9074936.5700000022</v>
      </c>
      <c r="AT378" t="s">
        <v>82</v>
      </c>
    </row>
    <row r="379" spans="1:46" x14ac:dyDescent="0.35">
      <c r="A379" t="s">
        <v>52</v>
      </c>
      <c r="B379" t="s">
        <v>53</v>
      </c>
      <c r="C379" t="s">
        <v>54</v>
      </c>
      <c r="D379" t="s">
        <v>1224</v>
      </c>
      <c r="E379" t="s">
        <v>56</v>
      </c>
      <c r="F379" t="s">
        <v>1349</v>
      </c>
      <c r="G379" t="s">
        <v>1354</v>
      </c>
      <c r="H379" t="s">
        <v>56</v>
      </c>
      <c r="I379" t="s">
        <v>1355</v>
      </c>
      <c r="J379" t="s">
        <v>61</v>
      </c>
      <c r="K379" t="s">
        <v>62</v>
      </c>
      <c r="L379" t="s">
        <v>56</v>
      </c>
      <c r="M379" t="s">
        <v>56</v>
      </c>
      <c r="N379" t="s">
        <v>261</v>
      </c>
      <c r="O379" t="s">
        <v>1206</v>
      </c>
      <c r="P379" t="s">
        <v>1207</v>
      </c>
      <c r="Q379" t="s">
        <v>114</v>
      </c>
      <c r="R379" t="s">
        <v>379</v>
      </c>
      <c r="S379">
        <v>10000000</v>
      </c>
      <c r="T379">
        <v>-6767554.54</v>
      </c>
      <c r="U379" t="s">
        <v>68</v>
      </c>
      <c r="V379" t="s">
        <v>1233</v>
      </c>
      <c r="W379" s="9">
        <v>60604042</v>
      </c>
      <c r="X379" t="s">
        <v>1356</v>
      </c>
      <c r="Y379" s="1">
        <v>46043</v>
      </c>
      <c r="Z379" s="1">
        <v>46088</v>
      </c>
      <c r="AA379" s="2">
        <v>289333.87</v>
      </c>
      <c r="AB379" s="2">
        <v>245198.2</v>
      </c>
      <c r="AC379" s="2">
        <v>44135.67</v>
      </c>
      <c r="AD379" s="2">
        <v>289333.87</v>
      </c>
      <c r="AE379" t="s">
        <v>1358</v>
      </c>
      <c r="AF379" t="s">
        <v>72</v>
      </c>
      <c r="AG379">
        <v>-10</v>
      </c>
      <c r="AH379" t="s">
        <v>117</v>
      </c>
      <c r="AI379" t="s">
        <v>74</v>
      </c>
      <c r="AJ379" t="s">
        <v>75</v>
      </c>
      <c r="AK379" t="s">
        <v>76</v>
      </c>
      <c r="AL379" t="s">
        <v>118</v>
      </c>
      <c r="AM379" t="s">
        <v>78</v>
      </c>
      <c r="AN379" t="s">
        <v>239</v>
      </c>
      <c r="AO379" t="s">
        <v>119</v>
      </c>
      <c r="AP379" t="e">
        <v>#N/A</v>
      </c>
      <c r="AQ379" t="s">
        <v>81</v>
      </c>
      <c r="AR379" t="str">
        <f t="shared" si="10"/>
        <v>60604042.STATAM</v>
      </c>
      <c r="AS379">
        <f t="shared" si="11"/>
        <v>9074936.5700000022</v>
      </c>
      <c r="AT379" t="s">
        <v>82</v>
      </c>
    </row>
    <row r="380" spans="1:46" x14ac:dyDescent="0.35">
      <c r="A380" t="s">
        <v>52</v>
      </c>
      <c r="B380" t="s">
        <v>53</v>
      </c>
      <c r="C380" t="s">
        <v>54</v>
      </c>
      <c r="D380" t="s">
        <v>1224</v>
      </c>
      <c r="E380" t="s">
        <v>56</v>
      </c>
      <c r="F380" t="s">
        <v>1349</v>
      </c>
      <c r="G380" t="s">
        <v>1359</v>
      </c>
      <c r="H380" t="s">
        <v>56</v>
      </c>
      <c r="I380" t="s">
        <v>1360</v>
      </c>
      <c r="J380" t="s">
        <v>61</v>
      </c>
      <c r="K380" t="s">
        <v>62</v>
      </c>
      <c r="L380" t="s">
        <v>56</v>
      </c>
      <c r="M380" t="s">
        <v>56</v>
      </c>
      <c r="N380" t="s">
        <v>254</v>
      </c>
      <c r="O380" t="s">
        <v>1206</v>
      </c>
      <c r="P380" t="s">
        <v>1207</v>
      </c>
      <c r="Q380" t="s">
        <v>114</v>
      </c>
      <c r="R380" t="s">
        <v>379</v>
      </c>
      <c r="S380">
        <v>10000000</v>
      </c>
      <c r="T380">
        <v>-6767554.54</v>
      </c>
      <c r="U380" t="s">
        <v>68</v>
      </c>
      <c r="V380" t="s">
        <v>1233</v>
      </c>
      <c r="W380" s="9">
        <v>60604042</v>
      </c>
      <c r="X380" t="s">
        <v>1361</v>
      </c>
      <c r="Y380" s="1">
        <v>46051</v>
      </c>
      <c r="Z380" s="1">
        <v>46096</v>
      </c>
      <c r="AA380" s="2">
        <v>800904.94</v>
      </c>
      <c r="AB380" s="2">
        <v>678733</v>
      </c>
      <c r="AC380" s="2">
        <v>122171.94</v>
      </c>
      <c r="AD380" s="2">
        <v>800904.94</v>
      </c>
      <c r="AE380" t="s">
        <v>1362</v>
      </c>
      <c r="AF380" t="s">
        <v>72</v>
      </c>
      <c r="AG380">
        <v>-18</v>
      </c>
      <c r="AH380" t="s">
        <v>117</v>
      </c>
      <c r="AI380" t="s">
        <v>74</v>
      </c>
      <c r="AJ380" t="s">
        <v>75</v>
      </c>
      <c r="AK380" t="s">
        <v>76</v>
      </c>
      <c r="AL380" t="s">
        <v>118</v>
      </c>
      <c r="AM380" t="s">
        <v>78</v>
      </c>
      <c r="AN380" t="s">
        <v>239</v>
      </c>
      <c r="AO380" t="s">
        <v>119</v>
      </c>
      <c r="AP380" t="e">
        <v>#N/A</v>
      </c>
      <c r="AQ380" t="s">
        <v>81</v>
      </c>
      <c r="AR380" t="str">
        <f t="shared" si="10"/>
        <v>60604042.STATAM</v>
      </c>
      <c r="AS380">
        <f t="shared" si="11"/>
        <v>9074936.5700000022</v>
      </c>
      <c r="AT380" t="s">
        <v>82</v>
      </c>
    </row>
    <row r="381" spans="1:46" x14ac:dyDescent="0.35">
      <c r="A381" t="s">
        <v>52</v>
      </c>
      <c r="B381" t="s">
        <v>53</v>
      </c>
      <c r="C381" t="s">
        <v>54</v>
      </c>
      <c r="D381" t="s">
        <v>1224</v>
      </c>
      <c r="E381" t="s">
        <v>56</v>
      </c>
      <c r="F381" t="s">
        <v>1349</v>
      </c>
      <c r="G381" t="s">
        <v>1359</v>
      </c>
      <c r="H381" t="s">
        <v>56</v>
      </c>
      <c r="I381" t="s">
        <v>1360</v>
      </c>
      <c r="J381" t="s">
        <v>61</v>
      </c>
      <c r="K381" t="s">
        <v>62</v>
      </c>
      <c r="L381" t="s">
        <v>56</v>
      </c>
      <c r="M381" t="s">
        <v>56</v>
      </c>
      <c r="N381" t="s">
        <v>252</v>
      </c>
      <c r="O381" t="s">
        <v>1206</v>
      </c>
      <c r="P381" t="s">
        <v>1207</v>
      </c>
      <c r="Q381" t="s">
        <v>114</v>
      </c>
      <c r="R381" t="s">
        <v>379</v>
      </c>
      <c r="S381">
        <v>10000000</v>
      </c>
      <c r="T381">
        <v>-6767554.54</v>
      </c>
      <c r="U381" t="s">
        <v>68</v>
      </c>
      <c r="V381" t="s">
        <v>1233</v>
      </c>
      <c r="W381" s="9">
        <v>60604042</v>
      </c>
      <c r="X381" t="s">
        <v>1361</v>
      </c>
      <c r="Y381" s="1">
        <v>46051</v>
      </c>
      <c r="Z381" s="1">
        <v>46096</v>
      </c>
      <c r="AA381" s="2">
        <v>1100555.52</v>
      </c>
      <c r="AB381" s="2">
        <v>932674.17</v>
      </c>
      <c r="AC381" s="2">
        <v>167881.35</v>
      </c>
      <c r="AD381" s="2">
        <v>1100555.52</v>
      </c>
      <c r="AE381" t="s">
        <v>1363</v>
      </c>
      <c r="AF381" t="s">
        <v>72</v>
      </c>
      <c r="AG381">
        <v>-18</v>
      </c>
      <c r="AH381" t="s">
        <v>117</v>
      </c>
      <c r="AI381" t="s">
        <v>74</v>
      </c>
      <c r="AJ381" t="s">
        <v>75</v>
      </c>
      <c r="AK381" t="s">
        <v>76</v>
      </c>
      <c r="AL381" t="s">
        <v>118</v>
      </c>
      <c r="AM381" t="s">
        <v>78</v>
      </c>
      <c r="AN381" t="s">
        <v>239</v>
      </c>
      <c r="AO381" t="s">
        <v>119</v>
      </c>
      <c r="AP381" t="e">
        <v>#N/A</v>
      </c>
      <c r="AQ381" t="s">
        <v>81</v>
      </c>
      <c r="AR381" t="str">
        <f t="shared" si="10"/>
        <v>60604042.STATAM</v>
      </c>
      <c r="AS381">
        <f t="shared" si="11"/>
        <v>9074936.5700000022</v>
      </c>
      <c r="AT381" t="s">
        <v>82</v>
      </c>
    </row>
    <row r="382" spans="1:46" x14ac:dyDescent="0.35">
      <c r="A382" t="s">
        <v>52</v>
      </c>
      <c r="B382" t="s">
        <v>53</v>
      </c>
      <c r="C382" t="s">
        <v>54</v>
      </c>
      <c r="D382" t="s">
        <v>1224</v>
      </c>
      <c r="E382" t="s">
        <v>56</v>
      </c>
      <c r="F382" t="s">
        <v>1349</v>
      </c>
      <c r="G382" t="s">
        <v>1359</v>
      </c>
      <c r="H382" t="s">
        <v>56</v>
      </c>
      <c r="I382" t="s">
        <v>1360</v>
      </c>
      <c r="J382" t="s">
        <v>61</v>
      </c>
      <c r="K382" t="s">
        <v>62</v>
      </c>
      <c r="L382" t="s">
        <v>56</v>
      </c>
      <c r="M382" t="s">
        <v>56</v>
      </c>
      <c r="N382" t="s">
        <v>261</v>
      </c>
      <c r="O382" t="s">
        <v>1206</v>
      </c>
      <c r="P382" t="s">
        <v>1207</v>
      </c>
      <c r="Q382" t="s">
        <v>114</v>
      </c>
      <c r="R382" t="s">
        <v>379</v>
      </c>
      <c r="S382">
        <v>10000000</v>
      </c>
      <c r="T382">
        <v>-6767554.54</v>
      </c>
      <c r="U382" t="s">
        <v>68</v>
      </c>
      <c r="V382" t="s">
        <v>1233</v>
      </c>
      <c r="W382" s="9">
        <v>60604042</v>
      </c>
      <c r="X382" t="s">
        <v>1361</v>
      </c>
      <c r="Y382" s="1">
        <v>46051</v>
      </c>
      <c r="Z382" s="1">
        <v>46096</v>
      </c>
      <c r="AA382" s="2">
        <v>1064819.8400000001</v>
      </c>
      <c r="AB382" s="2">
        <v>902389.7</v>
      </c>
      <c r="AC382" s="2">
        <v>162430.14000000001</v>
      </c>
      <c r="AD382" s="2">
        <v>1064819.8400000001</v>
      </c>
      <c r="AE382" t="s">
        <v>1364</v>
      </c>
      <c r="AF382" t="s">
        <v>72</v>
      </c>
      <c r="AG382">
        <v>-18</v>
      </c>
      <c r="AH382" t="s">
        <v>117</v>
      </c>
      <c r="AI382" t="s">
        <v>74</v>
      </c>
      <c r="AJ382" t="s">
        <v>75</v>
      </c>
      <c r="AK382" t="s">
        <v>76</v>
      </c>
      <c r="AL382" t="s">
        <v>118</v>
      </c>
      <c r="AM382" t="s">
        <v>78</v>
      </c>
      <c r="AN382" t="s">
        <v>239</v>
      </c>
      <c r="AO382" t="s">
        <v>119</v>
      </c>
      <c r="AP382" t="e">
        <v>#N/A</v>
      </c>
      <c r="AQ382" t="s">
        <v>81</v>
      </c>
      <c r="AR382" t="str">
        <f t="shared" si="10"/>
        <v>60604042.STATAM</v>
      </c>
      <c r="AS382">
        <f t="shared" si="11"/>
        <v>9074936.5700000022</v>
      </c>
      <c r="AT382" t="s">
        <v>82</v>
      </c>
    </row>
    <row r="383" spans="1:46" x14ac:dyDescent="0.35">
      <c r="A383" t="s">
        <v>52</v>
      </c>
      <c r="B383" t="s">
        <v>53</v>
      </c>
      <c r="C383" t="s">
        <v>54</v>
      </c>
      <c r="D383" t="s">
        <v>1224</v>
      </c>
      <c r="E383" t="s">
        <v>56</v>
      </c>
      <c r="F383" t="s">
        <v>1349</v>
      </c>
      <c r="G383" t="s">
        <v>1365</v>
      </c>
      <c r="H383" t="s">
        <v>56</v>
      </c>
      <c r="I383" t="s">
        <v>1366</v>
      </c>
      <c r="J383" t="s">
        <v>61</v>
      </c>
      <c r="K383" t="s">
        <v>62</v>
      </c>
      <c r="L383" t="s">
        <v>56</v>
      </c>
      <c r="M383" t="s">
        <v>56</v>
      </c>
      <c r="N383" t="s">
        <v>252</v>
      </c>
      <c r="O383" t="s">
        <v>1206</v>
      </c>
      <c r="P383" t="s">
        <v>1207</v>
      </c>
      <c r="Q383" t="s">
        <v>114</v>
      </c>
      <c r="R383" t="s">
        <v>379</v>
      </c>
      <c r="S383">
        <v>10000000</v>
      </c>
      <c r="T383">
        <v>-6767554.54</v>
      </c>
      <c r="U383" t="s">
        <v>68</v>
      </c>
      <c r="V383" t="s">
        <v>1233</v>
      </c>
      <c r="W383" s="9">
        <v>60604042</v>
      </c>
      <c r="X383" t="s">
        <v>1367</v>
      </c>
      <c r="Y383" s="1">
        <v>46051</v>
      </c>
      <c r="Z383" s="1">
        <v>46096</v>
      </c>
      <c r="AA383" s="2">
        <v>353738.58</v>
      </c>
      <c r="AB383" s="2">
        <v>299778.46000000002</v>
      </c>
      <c r="AC383" s="2">
        <v>53960.12</v>
      </c>
      <c r="AD383" s="2">
        <v>353738.58</v>
      </c>
      <c r="AE383" t="s">
        <v>1368</v>
      </c>
      <c r="AF383" t="s">
        <v>72</v>
      </c>
      <c r="AG383">
        <v>-18</v>
      </c>
      <c r="AH383" t="s">
        <v>117</v>
      </c>
      <c r="AI383" t="s">
        <v>74</v>
      </c>
      <c r="AJ383" t="s">
        <v>75</v>
      </c>
      <c r="AK383" t="s">
        <v>76</v>
      </c>
      <c r="AL383" t="s">
        <v>118</v>
      </c>
      <c r="AM383" t="s">
        <v>78</v>
      </c>
      <c r="AN383" t="s">
        <v>239</v>
      </c>
      <c r="AO383" t="s">
        <v>119</v>
      </c>
      <c r="AP383" t="e">
        <v>#N/A</v>
      </c>
      <c r="AQ383" t="s">
        <v>81</v>
      </c>
      <c r="AR383" t="str">
        <f t="shared" si="10"/>
        <v>60604042.STATAM</v>
      </c>
      <c r="AS383">
        <f t="shared" si="11"/>
        <v>9074936.5700000022</v>
      </c>
      <c r="AT383" t="s">
        <v>82</v>
      </c>
    </row>
    <row r="384" spans="1:46" x14ac:dyDescent="0.35">
      <c r="A384" t="s">
        <v>52</v>
      </c>
      <c r="B384" t="s">
        <v>53</v>
      </c>
      <c r="C384" t="s">
        <v>54</v>
      </c>
      <c r="D384" t="s">
        <v>1224</v>
      </c>
      <c r="E384" t="s">
        <v>56</v>
      </c>
      <c r="F384" t="s">
        <v>1349</v>
      </c>
      <c r="G384" t="s">
        <v>1369</v>
      </c>
      <c r="H384" t="s">
        <v>56</v>
      </c>
      <c r="I384" t="s">
        <v>1370</v>
      </c>
      <c r="J384" t="s">
        <v>61</v>
      </c>
      <c r="K384" t="s">
        <v>62</v>
      </c>
      <c r="L384" t="s">
        <v>56</v>
      </c>
      <c r="M384" t="s">
        <v>56</v>
      </c>
      <c r="N384" t="s">
        <v>261</v>
      </c>
      <c r="O384" t="s">
        <v>1206</v>
      </c>
      <c r="P384" t="s">
        <v>1207</v>
      </c>
      <c r="Q384" t="s">
        <v>114</v>
      </c>
      <c r="R384" t="s">
        <v>379</v>
      </c>
      <c r="S384">
        <v>10000000</v>
      </c>
      <c r="T384">
        <v>-6767554.54</v>
      </c>
      <c r="U384" t="s">
        <v>68</v>
      </c>
      <c r="V384" t="s">
        <v>1233</v>
      </c>
      <c r="W384" s="9">
        <v>60604042</v>
      </c>
      <c r="X384" t="s">
        <v>1371</v>
      </c>
      <c r="Y384" s="1">
        <v>46051</v>
      </c>
      <c r="Z384" s="1">
        <v>46096</v>
      </c>
      <c r="AA384" s="2">
        <v>908.32</v>
      </c>
      <c r="AB384" s="2">
        <v>769.76</v>
      </c>
      <c r="AC384" s="2">
        <v>138.56</v>
      </c>
      <c r="AD384" s="2">
        <v>908.32</v>
      </c>
      <c r="AE384" t="s">
        <v>1372</v>
      </c>
      <c r="AF384" t="s">
        <v>72</v>
      </c>
      <c r="AG384">
        <v>-18</v>
      </c>
      <c r="AH384" t="s">
        <v>117</v>
      </c>
      <c r="AI384" t="s">
        <v>74</v>
      </c>
      <c r="AJ384" t="s">
        <v>75</v>
      </c>
      <c r="AK384" t="s">
        <v>76</v>
      </c>
      <c r="AL384" t="s">
        <v>118</v>
      </c>
      <c r="AM384" t="s">
        <v>78</v>
      </c>
      <c r="AN384" t="s">
        <v>239</v>
      </c>
      <c r="AO384" t="s">
        <v>119</v>
      </c>
      <c r="AP384" t="e">
        <v>#N/A</v>
      </c>
      <c r="AQ384" t="s">
        <v>81</v>
      </c>
      <c r="AR384" t="str">
        <f t="shared" si="10"/>
        <v>60604042.STATAM</v>
      </c>
      <c r="AS384">
        <f t="shared" si="11"/>
        <v>9074936.5700000022</v>
      </c>
      <c r="AT384" t="s">
        <v>82</v>
      </c>
    </row>
    <row r="385" spans="1:46" x14ac:dyDescent="0.35">
      <c r="A385" t="s">
        <v>52</v>
      </c>
      <c r="B385" t="s">
        <v>53</v>
      </c>
      <c r="C385" t="s">
        <v>54</v>
      </c>
      <c r="D385" t="s">
        <v>1224</v>
      </c>
      <c r="E385" t="s">
        <v>56</v>
      </c>
      <c r="F385" t="s">
        <v>1349</v>
      </c>
      <c r="G385" t="s">
        <v>1369</v>
      </c>
      <c r="H385" t="s">
        <v>56</v>
      </c>
      <c r="I385" t="s">
        <v>1370</v>
      </c>
      <c r="J385" t="s">
        <v>61</v>
      </c>
      <c r="K385" t="s">
        <v>62</v>
      </c>
      <c r="L385" t="s">
        <v>56</v>
      </c>
      <c r="M385" t="s">
        <v>56</v>
      </c>
      <c r="N385" t="s">
        <v>252</v>
      </c>
      <c r="O385" t="s">
        <v>1206</v>
      </c>
      <c r="P385" t="s">
        <v>1207</v>
      </c>
      <c r="Q385" t="s">
        <v>114</v>
      </c>
      <c r="R385" t="s">
        <v>379</v>
      </c>
      <c r="S385">
        <v>10000000</v>
      </c>
      <c r="T385">
        <v>-6767554.54</v>
      </c>
      <c r="U385" t="s">
        <v>68</v>
      </c>
      <c r="V385" t="s">
        <v>1233</v>
      </c>
      <c r="W385" s="9">
        <v>60604042</v>
      </c>
      <c r="X385" t="s">
        <v>1371</v>
      </c>
      <c r="Y385" s="1">
        <v>46051</v>
      </c>
      <c r="Z385" s="1">
        <v>46096</v>
      </c>
      <c r="AA385" s="2">
        <v>446580.12</v>
      </c>
      <c r="AB385" s="2">
        <v>378457.73</v>
      </c>
      <c r="AC385" s="2">
        <v>68122.39</v>
      </c>
      <c r="AD385" s="2">
        <v>446580.12</v>
      </c>
      <c r="AE385" t="s">
        <v>1373</v>
      </c>
      <c r="AF385" t="s">
        <v>72</v>
      </c>
      <c r="AG385">
        <v>-18</v>
      </c>
      <c r="AH385" t="s">
        <v>117</v>
      </c>
      <c r="AI385" t="s">
        <v>74</v>
      </c>
      <c r="AJ385" t="s">
        <v>75</v>
      </c>
      <c r="AK385" t="s">
        <v>76</v>
      </c>
      <c r="AL385" t="s">
        <v>118</v>
      </c>
      <c r="AM385" t="s">
        <v>78</v>
      </c>
      <c r="AN385" t="s">
        <v>239</v>
      </c>
      <c r="AO385" t="s">
        <v>119</v>
      </c>
      <c r="AP385" t="e">
        <v>#N/A</v>
      </c>
      <c r="AQ385" t="s">
        <v>81</v>
      </c>
      <c r="AR385" t="str">
        <f t="shared" si="10"/>
        <v>60604042.STATAM</v>
      </c>
      <c r="AS385">
        <f t="shared" si="11"/>
        <v>9074936.5700000022</v>
      </c>
      <c r="AT385" t="s">
        <v>82</v>
      </c>
    </row>
    <row r="386" spans="1:46" x14ac:dyDescent="0.35">
      <c r="A386" t="s">
        <v>52</v>
      </c>
      <c r="B386" t="s">
        <v>53</v>
      </c>
      <c r="C386" t="s">
        <v>54</v>
      </c>
      <c r="D386" t="s">
        <v>1224</v>
      </c>
      <c r="E386" t="s">
        <v>56</v>
      </c>
      <c r="F386" t="s">
        <v>1349</v>
      </c>
      <c r="G386" t="s">
        <v>1374</v>
      </c>
      <c r="H386" t="s">
        <v>56</v>
      </c>
      <c r="I386" t="s">
        <v>1375</v>
      </c>
      <c r="J386" t="s">
        <v>61</v>
      </c>
      <c r="K386" t="s">
        <v>62</v>
      </c>
      <c r="L386" t="s">
        <v>56</v>
      </c>
      <c r="M386" t="s">
        <v>56</v>
      </c>
      <c r="N386" t="s">
        <v>682</v>
      </c>
      <c r="O386" t="s">
        <v>1206</v>
      </c>
      <c r="P386" t="s">
        <v>1207</v>
      </c>
      <c r="Q386" t="s">
        <v>114</v>
      </c>
      <c r="R386" t="s">
        <v>379</v>
      </c>
      <c r="S386">
        <v>10000000</v>
      </c>
      <c r="T386">
        <v>-6767554.54</v>
      </c>
      <c r="U386" t="s">
        <v>68</v>
      </c>
      <c r="V386" t="s">
        <v>1233</v>
      </c>
      <c r="W386" s="9">
        <v>60604042</v>
      </c>
      <c r="X386" t="s">
        <v>1376</v>
      </c>
      <c r="Y386" s="1">
        <v>46051</v>
      </c>
      <c r="Z386" s="1">
        <v>46096</v>
      </c>
      <c r="AA386" s="2">
        <v>437361.29</v>
      </c>
      <c r="AB386" s="2">
        <v>370645.16</v>
      </c>
      <c r="AC386" s="2">
        <v>66716.13</v>
      </c>
      <c r="AD386" s="2">
        <v>437361.29</v>
      </c>
      <c r="AE386" t="s">
        <v>1377</v>
      </c>
      <c r="AF386" t="s">
        <v>72</v>
      </c>
      <c r="AG386">
        <v>-18</v>
      </c>
      <c r="AH386" t="s">
        <v>117</v>
      </c>
      <c r="AI386" t="s">
        <v>74</v>
      </c>
      <c r="AJ386" t="s">
        <v>127</v>
      </c>
      <c r="AK386" t="s">
        <v>334</v>
      </c>
      <c r="AL386" t="s">
        <v>118</v>
      </c>
      <c r="AM386" t="s">
        <v>78</v>
      </c>
      <c r="AN386" t="s">
        <v>239</v>
      </c>
      <c r="AO386" t="s">
        <v>119</v>
      </c>
      <c r="AP386" t="e">
        <v>#N/A</v>
      </c>
      <c r="AQ386" t="s">
        <v>335</v>
      </c>
      <c r="AR386" t="str">
        <f t="shared" si="10"/>
        <v>60604042.SPMINAM</v>
      </c>
      <c r="AS386">
        <f t="shared" si="11"/>
        <v>1416339.44</v>
      </c>
      <c r="AT386" t="s">
        <v>82</v>
      </c>
    </row>
    <row r="387" spans="1:46" x14ac:dyDescent="0.35">
      <c r="A387" t="s">
        <v>52</v>
      </c>
      <c r="B387" t="s">
        <v>53</v>
      </c>
      <c r="C387" t="s">
        <v>54</v>
      </c>
      <c r="D387" t="s">
        <v>1224</v>
      </c>
      <c r="E387" t="s">
        <v>56</v>
      </c>
      <c r="F387" t="s">
        <v>1349</v>
      </c>
      <c r="G387" t="s">
        <v>1378</v>
      </c>
      <c r="H387" t="s">
        <v>56</v>
      </c>
      <c r="I387" t="s">
        <v>1379</v>
      </c>
      <c r="J387" t="s">
        <v>61</v>
      </c>
      <c r="K387" t="s">
        <v>62</v>
      </c>
      <c r="L387" t="s">
        <v>56</v>
      </c>
      <c r="M387" t="s">
        <v>56</v>
      </c>
      <c r="N387" t="s">
        <v>337</v>
      </c>
      <c r="O387" t="s">
        <v>1206</v>
      </c>
      <c r="P387" t="s">
        <v>1207</v>
      </c>
      <c r="Q387" t="s">
        <v>114</v>
      </c>
      <c r="R387" t="s">
        <v>379</v>
      </c>
      <c r="S387">
        <v>10000000</v>
      </c>
      <c r="T387">
        <v>-6767554.54</v>
      </c>
      <c r="U387" t="s">
        <v>68</v>
      </c>
      <c r="V387" t="s">
        <v>1233</v>
      </c>
      <c r="W387" s="9">
        <v>60604042</v>
      </c>
      <c r="X387" t="s">
        <v>1380</v>
      </c>
      <c r="Y387" s="1">
        <v>46060</v>
      </c>
      <c r="Z387" s="1">
        <v>46105</v>
      </c>
      <c r="AA387" s="2">
        <v>707037.12</v>
      </c>
      <c r="AB387" s="2">
        <v>599184</v>
      </c>
      <c r="AC387" s="2">
        <v>107853.12</v>
      </c>
      <c r="AD387" s="2">
        <v>707037.12</v>
      </c>
      <c r="AE387" t="s">
        <v>1381</v>
      </c>
      <c r="AF387" t="s">
        <v>72</v>
      </c>
      <c r="AG387">
        <v>-27</v>
      </c>
      <c r="AH387" t="s">
        <v>117</v>
      </c>
      <c r="AI387" t="s">
        <v>74</v>
      </c>
      <c r="AJ387" t="s">
        <v>127</v>
      </c>
      <c r="AK387" t="s">
        <v>334</v>
      </c>
      <c r="AL387" t="s">
        <v>118</v>
      </c>
      <c r="AM387" t="s">
        <v>78</v>
      </c>
      <c r="AN387" t="s">
        <v>239</v>
      </c>
      <c r="AO387" t="s">
        <v>119</v>
      </c>
      <c r="AP387" t="e">
        <v>#N/A</v>
      </c>
      <c r="AQ387" t="s">
        <v>335</v>
      </c>
      <c r="AR387" t="str">
        <f t="shared" si="10"/>
        <v>60604042.SPMINAM</v>
      </c>
      <c r="AS387">
        <f t="shared" si="11"/>
        <v>1416339.44</v>
      </c>
      <c r="AT387" t="s">
        <v>82</v>
      </c>
    </row>
    <row r="388" spans="1:46" x14ac:dyDescent="0.35">
      <c r="A388" t="s">
        <v>52</v>
      </c>
      <c r="B388" t="s">
        <v>53</v>
      </c>
      <c r="C388" t="s">
        <v>54</v>
      </c>
      <c r="D388" t="s">
        <v>1224</v>
      </c>
      <c r="E388" t="s">
        <v>56</v>
      </c>
      <c r="F388" t="s">
        <v>1349</v>
      </c>
      <c r="G388" t="s">
        <v>1382</v>
      </c>
      <c r="H388" t="s">
        <v>56</v>
      </c>
      <c r="I388" t="s">
        <v>1383</v>
      </c>
      <c r="J388" t="s">
        <v>61</v>
      </c>
      <c r="K388" t="s">
        <v>62</v>
      </c>
      <c r="L388" t="s">
        <v>56</v>
      </c>
      <c r="M388" t="s">
        <v>56</v>
      </c>
      <c r="N388" t="s">
        <v>1384</v>
      </c>
      <c r="O388" t="s">
        <v>1206</v>
      </c>
      <c r="P388" t="s">
        <v>1207</v>
      </c>
      <c r="Q388" t="s">
        <v>114</v>
      </c>
      <c r="R388" t="s">
        <v>379</v>
      </c>
      <c r="S388">
        <v>10000000</v>
      </c>
      <c r="T388">
        <v>-6767554.54</v>
      </c>
      <c r="U388" t="s">
        <v>68</v>
      </c>
      <c r="V388" t="s">
        <v>1233</v>
      </c>
      <c r="W388" s="9">
        <v>60604042</v>
      </c>
      <c r="X388" t="s">
        <v>1385</v>
      </c>
      <c r="Y388" s="1">
        <v>46060</v>
      </c>
      <c r="Z388" s="1">
        <v>46105</v>
      </c>
      <c r="AA388" s="2">
        <v>633035.12</v>
      </c>
      <c r="AB388" s="2">
        <v>536470.43999999994</v>
      </c>
      <c r="AC388" s="2">
        <v>96564.68</v>
      </c>
      <c r="AD388" s="2">
        <v>633035.12</v>
      </c>
      <c r="AE388" t="s">
        <v>1386</v>
      </c>
      <c r="AF388" t="s">
        <v>72</v>
      </c>
      <c r="AG388">
        <v>-27</v>
      </c>
      <c r="AH388" t="s">
        <v>117</v>
      </c>
      <c r="AI388" t="s">
        <v>74</v>
      </c>
      <c r="AJ388" t="s">
        <v>75</v>
      </c>
      <c r="AK388" t="s">
        <v>76</v>
      </c>
      <c r="AL388" t="s">
        <v>118</v>
      </c>
      <c r="AM388" t="s">
        <v>78</v>
      </c>
      <c r="AN388" t="s">
        <v>239</v>
      </c>
      <c r="AO388" t="s">
        <v>119</v>
      </c>
      <c r="AP388" t="e">
        <v>#N/A</v>
      </c>
      <c r="AQ388" t="s">
        <v>81</v>
      </c>
      <c r="AR388" t="str">
        <f t="shared" si="10"/>
        <v>60604042.STATAM</v>
      </c>
      <c r="AS388">
        <f t="shared" si="11"/>
        <v>9074936.5700000022</v>
      </c>
      <c r="AT388" t="s">
        <v>82</v>
      </c>
    </row>
    <row r="389" spans="1:46" x14ac:dyDescent="0.35">
      <c r="A389" t="s">
        <v>52</v>
      </c>
      <c r="B389" t="s">
        <v>53</v>
      </c>
      <c r="C389" t="s">
        <v>54</v>
      </c>
      <c r="D389" t="s">
        <v>1224</v>
      </c>
      <c r="E389" t="s">
        <v>56</v>
      </c>
      <c r="F389" t="s">
        <v>1349</v>
      </c>
      <c r="G389" t="s">
        <v>1387</v>
      </c>
      <c r="H389" t="s">
        <v>56</v>
      </c>
      <c r="I389" t="s">
        <v>1388</v>
      </c>
      <c r="J389" t="s">
        <v>61</v>
      </c>
      <c r="K389" t="s">
        <v>62</v>
      </c>
      <c r="L389" t="s">
        <v>56</v>
      </c>
      <c r="M389" t="s">
        <v>56</v>
      </c>
      <c r="N389" t="s">
        <v>1384</v>
      </c>
      <c r="O389" t="s">
        <v>1206</v>
      </c>
      <c r="P389" t="s">
        <v>1207</v>
      </c>
      <c r="Q389" t="s">
        <v>114</v>
      </c>
      <c r="R389" t="s">
        <v>379</v>
      </c>
      <c r="S389">
        <v>10000000</v>
      </c>
      <c r="T389">
        <v>-6767554.54</v>
      </c>
      <c r="U389" t="s">
        <v>68</v>
      </c>
      <c r="V389" t="s">
        <v>1233</v>
      </c>
      <c r="W389" s="9">
        <v>60604042</v>
      </c>
      <c r="X389" t="s">
        <v>1389</v>
      </c>
      <c r="Y389" s="1">
        <v>46060</v>
      </c>
      <c r="Z389" s="1">
        <v>46105</v>
      </c>
      <c r="AA389" s="2">
        <v>70480.259999999995</v>
      </c>
      <c r="AB389" s="2">
        <v>59729.03</v>
      </c>
      <c r="AC389" s="2">
        <v>10751.23</v>
      </c>
      <c r="AD389" s="2">
        <v>70480.259999999995</v>
      </c>
      <c r="AE389" t="s">
        <v>1390</v>
      </c>
      <c r="AF389" t="s">
        <v>72</v>
      </c>
      <c r="AG389">
        <v>-27</v>
      </c>
      <c r="AH389" t="s">
        <v>117</v>
      </c>
      <c r="AI389" t="s">
        <v>74</v>
      </c>
      <c r="AJ389" t="s">
        <v>75</v>
      </c>
      <c r="AK389" t="s">
        <v>76</v>
      </c>
      <c r="AL389" t="s">
        <v>118</v>
      </c>
      <c r="AM389" t="s">
        <v>78</v>
      </c>
      <c r="AN389" t="s">
        <v>239</v>
      </c>
      <c r="AO389" t="s">
        <v>119</v>
      </c>
      <c r="AP389" t="e">
        <v>#N/A</v>
      </c>
      <c r="AQ389" t="s">
        <v>81</v>
      </c>
      <c r="AR389" t="str">
        <f t="shared" si="10"/>
        <v>60604042.STATAM</v>
      </c>
      <c r="AS389">
        <f t="shared" si="11"/>
        <v>9074936.5700000022</v>
      </c>
      <c r="AT389" t="s">
        <v>82</v>
      </c>
    </row>
    <row r="390" spans="1:46" x14ac:dyDescent="0.35">
      <c r="A390" t="s">
        <v>52</v>
      </c>
      <c r="B390" t="s">
        <v>53</v>
      </c>
      <c r="C390" t="s">
        <v>54</v>
      </c>
      <c r="D390" t="s">
        <v>1224</v>
      </c>
      <c r="E390" t="s">
        <v>56</v>
      </c>
      <c r="F390" t="s">
        <v>1349</v>
      </c>
      <c r="G390" t="s">
        <v>1391</v>
      </c>
      <c r="H390" t="s">
        <v>56</v>
      </c>
      <c r="I390" t="s">
        <v>1392</v>
      </c>
      <c r="J390" t="s">
        <v>61</v>
      </c>
      <c r="K390" t="s">
        <v>62</v>
      </c>
      <c r="L390" t="s">
        <v>56</v>
      </c>
      <c r="M390" t="s">
        <v>56</v>
      </c>
      <c r="N390" t="s">
        <v>337</v>
      </c>
      <c r="O390" t="s">
        <v>1206</v>
      </c>
      <c r="P390" t="s">
        <v>1207</v>
      </c>
      <c r="Q390" t="s">
        <v>114</v>
      </c>
      <c r="R390" t="s">
        <v>379</v>
      </c>
      <c r="S390">
        <v>10000000</v>
      </c>
      <c r="T390">
        <v>-6767554.54</v>
      </c>
      <c r="U390" t="s">
        <v>68</v>
      </c>
      <c r="V390" t="s">
        <v>1233</v>
      </c>
      <c r="W390" s="9">
        <v>60604042</v>
      </c>
      <c r="X390" t="s">
        <v>1393</v>
      </c>
      <c r="Y390" s="1">
        <v>46077</v>
      </c>
      <c r="Z390" s="1">
        <v>46122</v>
      </c>
      <c r="AA390" s="2">
        <v>271941.03000000003</v>
      </c>
      <c r="AB390" s="2">
        <v>230458.5</v>
      </c>
      <c r="AC390" s="2">
        <v>41482.53</v>
      </c>
      <c r="AD390" s="2">
        <v>271941.03000000003</v>
      </c>
      <c r="AE390" t="s">
        <v>1394</v>
      </c>
      <c r="AF390" t="s">
        <v>72</v>
      </c>
      <c r="AG390">
        <v>-44</v>
      </c>
      <c r="AH390" t="s">
        <v>117</v>
      </c>
      <c r="AI390" t="s">
        <v>74</v>
      </c>
      <c r="AJ390" t="s">
        <v>127</v>
      </c>
      <c r="AK390" t="s">
        <v>334</v>
      </c>
      <c r="AL390" t="s">
        <v>118</v>
      </c>
      <c r="AM390" t="s">
        <v>78</v>
      </c>
      <c r="AN390" t="s">
        <v>239</v>
      </c>
      <c r="AO390" t="s">
        <v>119</v>
      </c>
      <c r="AP390" t="e">
        <v>#N/A</v>
      </c>
      <c r="AQ390" t="s">
        <v>335</v>
      </c>
      <c r="AR390" t="str">
        <f t="shared" si="10"/>
        <v>60604042.SPMINAM</v>
      </c>
      <c r="AS390">
        <f t="shared" si="11"/>
        <v>1416339.44</v>
      </c>
      <c r="AT390" t="s">
        <v>82</v>
      </c>
    </row>
    <row r="391" spans="1:46" x14ac:dyDescent="0.35">
      <c r="A391" t="s">
        <v>52</v>
      </c>
      <c r="B391" t="s">
        <v>53</v>
      </c>
      <c r="C391" t="s">
        <v>54</v>
      </c>
      <c r="D391" t="s">
        <v>1224</v>
      </c>
      <c r="E391" t="s">
        <v>56</v>
      </c>
      <c r="F391" t="s">
        <v>1349</v>
      </c>
      <c r="G391" t="s">
        <v>1365</v>
      </c>
      <c r="H391" t="s">
        <v>56</v>
      </c>
      <c r="I391" t="s">
        <v>1395</v>
      </c>
      <c r="J391" t="s">
        <v>61</v>
      </c>
      <c r="K391" t="s">
        <v>62</v>
      </c>
      <c r="L391" t="s">
        <v>56</v>
      </c>
      <c r="M391" t="s">
        <v>56</v>
      </c>
      <c r="N391" t="s">
        <v>252</v>
      </c>
      <c r="O391" t="s">
        <v>1206</v>
      </c>
      <c r="P391" t="s">
        <v>1207</v>
      </c>
      <c r="Q391" t="s">
        <v>114</v>
      </c>
      <c r="R391" t="s">
        <v>379</v>
      </c>
      <c r="S391">
        <v>10000000</v>
      </c>
      <c r="T391">
        <v>-6767554.54</v>
      </c>
      <c r="U391" t="s">
        <v>68</v>
      </c>
      <c r="V391" t="s">
        <v>1233</v>
      </c>
      <c r="W391" s="9">
        <v>60604042</v>
      </c>
      <c r="X391" t="s">
        <v>1396</v>
      </c>
      <c r="Y391" s="1">
        <v>46077</v>
      </c>
      <c r="Z391" s="1">
        <v>46122</v>
      </c>
      <c r="AA391" s="2">
        <v>1464686.36</v>
      </c>
      <c r="AB391" s="2">
        <v>1241259.6200000001</v>
      </c>
      <c r="AC391" s="2">
        <v>223426.74</v>
      </c>
      <c r="AD391" s="2">
        <v>1464686.36</v>
      </c>
      <c r="AE391" t="s">
        <v>1397</v>
      </c>
      <c r="AF391" t="s">
        <v>72</v>
      </c>
      <c r="AG391">
        <v>-44</v>
      </c>
      <c r="AH391" t="s">
        <v>117</v>
      </c>
      <c r="AI391" t="s">
        <v>74</v>
      </c>
      <c r="AJ391" t="s">
        <v>75</v>
      </c>
      <c r="AK391" t="s">
        <v>76</v>
      </c>
      <c r="AL391" t="s">
        <v>118</v>
      </c>
      <c r="AM391" t="s">
        <v>78</v>
      </c>
      <c r="AN391" t="s">
        <v>239</v>
      </c>
      <c r="AO391" t="s">
        <v>119</v>
      </c>
      <c r="AP391" t="e">
        <v>#N/A</v>
      </c>
      <c r="AQ391" t="s">
        <v>81</v>
      </c>
      <c r="AR391" t="str">
        <f t="shared" si="10"/>
        <v>60604042.STATAM</v>
      </c>
      <c r="AS391">
        <f t="shared" si="11"/>
        <v>9074936.5700000022</v>
      </c>
      <c r="AT391" t="s">
        <v>82</v>
      </c>
    </row>
    <row r="392" spans="1:46" x14ac:dyDescent="0.35">
      <c r="A392" t="s">
        <v>52</v>
      </c>
      <c r="B392" t="s">
        <v>53</v>
      </c>
      <c r="C392" t="s">
        <v>54</v>
      </c>
      <c r="D392" t="s">
        <v>1224</v>
      </c>
      <c r="E392" t="s">
        <v>56</v>
      </c>
      <c r="F392" t="s">
        <v>1349</v>
      </c>
      <c r="G392" t="s">
        <v>1374</v>
      </c>
      <c r="H392" t="s">
        <v>56</v>
      </c>
      <c r="I392" t="s">
        <v>1398</v>
      </c>
      <c r="J392" t="s">
        <v>61</v>
      </c>
      <c r="K392" t="s">
        <v>62</v>
      </c>
      <c r="L392" t="s">
        <v>56</v>
      </c>
      <c r="M392" t="s">
        <v>56</v>
      </c>
      <c r="N392" t="s">
        <v>1384</v>
      </c>
      <c r="O392" t="s">
        <v>1206</v>
      </c>
      <c r="P392" t="s">
        <v>1207</v>
      </c>
      <c r="Q392" t="s">
        <v>114</v>
      </c>
      <c r="R392" t="s">
        <v>379</v>
      </c>
      <c r="S392">
        <v>10000000</v>
      </c>
      <c r="T392">
        <v>-6767554.54</v>
      </c>
      <c r="U392" t="s">
        <v>68</v>
      </c>
      <c r="V392" t="s">
        <v>1233</v>
      </c>
      <c r="W392" s="9">
        <v>60604042</v>
      </c>
      <c r="X392" t="s">
        <v>1399</v>
      </c>
      <c r="Y392" s="1">
        <v>46077</v>
      </c>
      <c r="Z392" s="1">
        <v>46122</v>
      </c>
      <c r="AA392" s="2">
        <v>439643.69</v>
      </c>
      <c r="AB392" s="2">
        <v>372579.4</v>
      </c>
      <c r="AC392" s="2">
        <v>67064.289999999994</v>
      </c>
      <c r="AD392" s="2">
        <v>439643.69</v>
      </c>
      <c r="AE392" t="s">
        <v>1400</v>
      </c>
      <c r="AF392" t="s">
        <v>72</v>
      </c>
      <c r="AG392">
        <v>-44</v>
      </c>
      <c r="AH392" t="s">
        <v>117</v>
      </c>
      <c r="AI392" t="s">
        <v>74</v>
      </c>
      <c r="AJ392" t="s">
        <v>75</v>
      </c>
      <c r="AK392" t="s">
        <v>76</v>
      </c>
      <c r="AL392" t="s">
        <v>118</v>
      </c>
      <c r="AM392" t="s">
        <v>78</v>
      </c>
      <c r="AN392" t="s">
        <v>239</v>
      </c>
      <c r="AO392" t="s">
        <v>119</v>
      </c>
      <c r="AP392" t="e">
        <v>#N/A</v>
      </c>
      <c r="AQ392" t="s">
        <v>81</v>
      </c>
      <c r="AR392" t="str">
        <f t="shared" ref="AR392:AR455" si="12">W392&amp;"."&amp;AQ392</f>
        <v>60604042.STATAM</v>
      </c>
      <c r="AS392">
        <f t="shared" ref="AS392:AS455" si="13">SUMIFS(AD:AD,AQ:AQ,AQ392,W:W,W392)</f>
        <v>9074936.5700000022</v>
      </c>
      <c r="AT392" t="s">
        <v>82</v>
      </c>
    </row>
    <row r="393" spans="1:46" x14ac:dyDescent="0.35">
      <c r="A393" t="s">
        <v>52</v>
      </c>
      <c r="B393" t="s">
        <v>53</v>
      </c>
      <c r="C393" t="s">
        <v>54</v>
      </c>
      <c r="D393" t="s">
        <v>1224</v>
      </c>
      <c r="E393" t="s">
        <v>56</v>
      </c>
      <c r="F393" t="s">
        <v>1349</v>
      </c>
      <c r="G393" t="s">
        <v>1369</v>
      </c>
      <c r="H393" t="s">
        <v>56</v>
      </c>
      <c r="I393" t="s">
        <v>1401</v>
      </c>
      <c r="J393" t="s">
        <v>61</v>
      </c>
      <c r="K393" t="s">
        <v>62</v>
      </c>
      <c r="L393" t="s">
        <v>56</v>
      </c>
      <c r="M393" t="s">
        <v>56</v>
      </c>
      <c r="N393" t="s">
        <v>252</v>
      </c>
      <c r="O393" t="s">
        <v>1206</v>
      </c>
      <c r="P393" t="s">
        <v>1207</v>
      </c>
      <c r="Q393" t="s">
        <v>114</v>
      </c>
      <c r="R393" t="s">
        <v>379</v>
      </c>
      <c r="S393">
        <v>10000000</v>
      </c>
      <c r="T393">
        <v>-6767554.54</v>
      </c>
      <c r="U393" t="s">
        <v>68</v>
      </c>
      <c r="V393" t="s">
        <v>1233</v>
      </c>
      <c r="W393" s="9">
        <v>60604042</v>
      </c>
      <c r="X393" t="s">
        <v>1402</v>
      </c>
      <c r="Y393" s="1">
        <v>46077</v>
      </c>
      <c r="Z393" s="1">
        <v>46122</v>
      </c>
      <c r="AA393" s="2">
        <v>3726.92</v>
      </c>
      <c r="AB393" s="2">
        <v>3158.41</v>
      </c>
      <c r="AC393" s="2">
        <v>568.51</v>
      </c>
      <c r="AD393" s="2">
        <v>3726.92</v>
      </c>
      <c r="AE393" t="s">
        <v>1403</v>
      </c>
      <c r="AF393" t="s">
        <v>72</v>
      </c>
      <c r="AG393">
        <v>-44</v>
      </c>
      <c r="AH393" t="s">
        <v>117</v>
      </c>
      <c r="AI393" t="s">
        <v>74</v>
      </c>
      <c r="AJ393" t="s">
        <v>75</v>
      </c>
      <c r="AK393" t="s">
        <v>76</v>
      </c>
      <c r="AL393" t="s">
        <v>118</v>
      </c>
      <c r="AM393" t="s">
        <v>78</v>
      </c>
      <c r="AN393" t="s">
        <v>239</v>
      </c>
      <c r="AO393" t="s">
        <v>119</v>
      </c>
      <c r="AP393" t="e">
        <v>#N/A</v>
      </c>
      <c r="AQ393" t="s">
        <v>81</v>
      </c>
      <c r="AR393" t="str">
        <f t="shared" si="12"/>
        <v>60604042.STATAM</v>
      </c>
      <c r="AS393">
        <f t="shared" si="13"/>
        <v>9074936.5700000022</v>
      </c>
      <c r="AT393" t="s">
        <v>82</v>
      </c>
    </row>
    <row r="394" spans="1:46" x14ac:dyDescent="0.35">
      <c r="A394" t="s">
        <v>52</v>
      </c>
      <c r="B394" t="s">
        <v>53</v>
      </c>
      <c r="C394" t="s">
        <v>54</v>
      </c>
      <c r="D394" t="s">
        <v>1224</v>
      </c>
      <c r="E394" t="s">
        <v>56</v>
      </c>
      <c r="F394" t="s">
        <v>1349</v>
      </c>
      <c r="G394" t="s">
        <v>1404</v>
      </c>
      <c r="H394" t="s">
        <v>56</v>
      </c>
      <c r="I394" t="s">
        <v>1405</v>
      </c>
      <c r="J394" t="s">
        <v>61</v>
      </c>
      <c r="K394" t="s">
        <v>62</v>
      </c>
      <c r="L394" t="s">
        <v>56</v>
      </c>
      <c r="M394" t="s">
        <v>56</v>
      </c>
      <c r="N394" t="s">
        <v>252</v>
      </c>
      <c r="O394" t="s">
        <v>1206</v>
      </c>
      <c r="P394" t="s">
        <v>1207</v>
      </c>
      <c r="Q394" t="s">
        <v>114</v>
      </c>
      <c r="R394" t="s">
        <v>379</v>
      </c>
      <c r="S394">
        <v>10000000</v>
      </c>
      <c r="T394">
        <v>-6767554.54</v>
      </c>
      <c r="U394" t="s">
        <v>68</v>
      </c>
      <c r="V394" t="s">
        <v>1233</v>
      </c>
      <c r="W394" s="9">
        <v>60604042</v>
      </c>
      <c r="X394" t="s">
        <v>1406</v>
      </c>
      <c r="Y394" s="1">
        <v>46077</v>
      </c>
      <c r="Z394" s="1">
        <v>46122</v>
      </c>
      <c r="AA394" s="2">
        <v>870991.22</v>
      </c>
      <c r="AB394" s="2">
        <v>738128.15</v>
      </c>
      <c r="AC394" s="2">
        <v>132863.07</v>
      </c>
      <c r="AD394" s="2">
        <v>870991.22</v>
      </c>
      <c r="AE394" t="s">
        <v>1407</v>
      </c>
      <c r="AF394" t="s">
        <v>72</v>
      </c>
      <c r="AG394">
        <v>-44</v>
      </c>
      <c r="AH394" t="s">
        <v>117</v>
      </c>
      <c r="AI394" t="s">
        <v>74</v>
      </c>
      <c r="AJ394" t="s">
        <v>75</v>
      </c>
      <c r="AK394" t="s">
        <v>76</v>
      </c>
      <c r="AL394" t="s">
        <v>118</v>
      </c>
      <c r="AM394" t="s">
        <v>78</v>
      </c>
      <c r="AN394" t="s">
        <v>239</v>
      </c>
      <c r="AO394" t="s">
        <v>119</v>
      </c>
      <c r="AP394" t="e">
        <v>#N/A</v>
      </c>
      <c r="AQ394" t="s">
        <v>81</v>
      </c>
      <c r="AR394" t="str">
        <f t="shared" si="12"/>
        <v>60604042.STATAM</v>
      </c>
      <c r="AS394">
        <f t="shared" si="13"/>
        <v>9074936.5700000022</v>
      </c>
      <c r="AT394" t="s">
        <v>82</v>
      </c>
    </row>
    <row r="395" spans="1:46" x14ac:dyDescent="0.35">
      <c r="A395" t="s">
        <v>52</v>
      </c>
      <c r="B395" t="s">
        <v>53</v>
      </c>
      <c r="C395" t="s">
        <v>54</v>
      </c>
      <c r="D395" t="s">
        <v>55</v>
      </c>
      <c r="E395" t="s">
        <v>56</v>
      </c>
      <c r="F395" t="s">
        <v>1408</v>
      </c>
      <c r="G395" t="s">
        <v>56</v>
      </c>
      <c r="H395" t="s">
        <v>56</v>
      </c>
      <c r="I395" t="s">
        <v>1409</v>
      </c>
      <c r="J395" t="s">
        <v>61</v>
      </c>
      <c r="K395" t="s">
        <v>62</v>
      </c>
      <c r="L395" t="s">
        <v>56</v>
      </c>
      <c r="M395" t="s">
        <v>56</v>
      </c>
      <c r="N395" t="s">
        <v>56</v>
      </c>
      <c r="O395" t="s">
        <v>391</v>
      </c>
      <c r="P395" t="s">
        <v>392</v>
      </c>
      <c r="Q395" t="s">
        <v>87</v>
      </c>
      <c r="R395" t="s">
        <v>88</v>
      </c>
      <c r="T395">
        <v>2074.59</v>
      </c>
      <c r="U395" t="s">
        <v>68</v>
      </c>
      <c r="V395" t="s">
        <v>1410</v>
      </c>
      <c r="W395" s="9">
        <v>60603937</v>
      </c>
      <c r="X395" t="s">
        <v>1411</v>
      </c>
      <c r="Y395" s="1">
        <v>46060</v>
      </c>
      <c r="Z395" s="1">
        <v>46060</v>
      </c>
      <c r="AA395" s="2">
        <v>-60158</v>
      </c>
      <c r="AB395" s="2">
        <v>-60158</v>
      </c>
      <c r="AC395" s="2">
        <v>0</v>
      </c>
      <c r="AD395" s="2">
        <v>-2074.59</v>
      </c>
      <c r="AE395" t="s">
        <v>1411</v>
      </c>
      <c r="AF395" t="s">
        <v>72</v>
      </c>
      <c r="AG395">
        <v>18</v>
      </c>
      <c r="AH395" t="s">
        <v>73</v>
      </c>
      <c r="AI395" t="s">
        <v>74</v>
      </c>
      <c r="AJ395" t="s">
        <v>75</v>
      </c>
      <c r="AK395" t="s">
        <v>76</v>
      </c>
      <c r="AL395" t="s">
        <v>77</v>
      </c>
      <c r="AM395" t="s">
        <v>78</v>
      </c>
      <c r="AN395" t="s">
        <v>104</v>
      </c>
      <c r="AO395" t="s">
        <v>80</v>
      </c>
      <c r="AP395" t="e">
        <v>#N/A</v>
      </c>
      <c r="AQ395" t="s">
        <v>81</v>
      </c>
      <c r="AR395" t="str">
        <f t="shared" si="12"/>
        <v>60603937.STATAM</v>
      </c>
      <c r="AS395">
        <f t="shared" si="13"/>
        <v>-2074.59</v>
      </c>
      <c r="AT395" t="s">
        <v>93</v>
      </c>
    </row>
    <row r="396" spans="1:46" x14ac:dyDescent="0.35">
      <c r="A396" t="s">
        <v>52</v>
      </c>
      <c r="B396" t="s">
        <v>53</v>
      </c>
      <c r="C396" t="s">
        <v>54</v>
      </c>
      <c r="D396" t="s">
        <v>55</v>
      </c>
      <c r="E396" t="s">
        <v>56</v>
      </c>
      <c r="F396" t="s">
        <v>1412</v>
      </c>
      <c r="G396" t="s">
        <v>1413</v>
      </c>
      <c r="H396" t="s">
        <v>56</v>
      </c>
      <c r="I396" t="s">
        <v>1414</v>
      </c>
      <c r="J396" t="s">
        <v>61</v>
      </c>
      <c r="K396" t="s">
        <v>640</v>
      </c>
      <c r="L396" t="s">
        <v>1415</v>
      </c>
      <c r="M396" t="s">
        <v>56</v>
      </c>
      <c r="N396" t="s">
        <v>682</v>
      </c>
      <c r="O396" t="s">
        <v>1416</v>
      </c>
      <c r="P396" t="s">
        <v>1417</v>
      </c>
      <c r="Q396" t="s">
        <v>87</v>
      </c>
      <c r="R396" t="s">
        <v>248</v>
      </c>
      <c r="S396">
        <v>1900000</v>
      </c>
      <c r="T396">
        <v>-373686.89</v>
      </c>
      <c r="U396" t="s">
        <v>68</v>
      </c>
      <c r="V396" t="s">
        <v>1418</v>
      </c>
      <c r="W396" s="9">
        <v>60602039</v>
      </c>
      <c r="X396" t="s">
        <v>1419</v>
      </c>
      <c r="Y396" s="1">
        <v>46021</v>
      </c>
      <c r="Z396" s="1">
        <v>46081</v>
      </c>
      <c r="AA396" s="2">
        <v>365366.59</v>
      </c>
      <c r="AB396" s="2">
        <v>309632.7</v>
      </c>
      <c r="AC396" s="2">
        <v>55733.89</v>
      </c>
      <c r="AD396" s="2">
        <v>322470.96999999997</v>
      </c>
      <c r="AE396" t="s">
        <v>1420</v>
      </c>
      <c r="AF396" t="s">
        <v>72</v>
      </c>
      <c r="AG396">
        <v>-3</v>
      </c>
      <c r="AH396" t="s">
        <v>117</v>
      </c>
      <c r="AI396" t="s">
        <v>74</v>
      </c>
      <c r="AJ396" t="s">
        <v>127</v>
      </c>
      <c r="AK396" t="s">
        <v>334</v>
      </c>
      <c r="AL396" t="s">
        <v>77</v>
      </c>
      <c r="AM396" t="s">
        <v>78</v>
      </c>
      <c r="AN396" t="s">
        <v>92</v>
      </c>
      <c r="AO396" t="s">
        <v>119</v>
      </c>
      <c r="AP396" t="s">
        <v>46</v>
      </c>
      <c r="AQ396" t="s">
        <v>335</v>
      </c>
      <c r="AR396" t="str">
        <f t="shared" si="12"/>
        <v>60602039.SPMINAM</v>
      </c>
      <c r="AS396">
        <f t="shared" si="13"/>
        <v>351518.79</v>
      </c>
      <c r="AT396" t="s">
        <v>82</v>
      </c>
    </row>
    <row r="397" spans="1:46" x14ac:dyDescent="0.35">
      <c r="A397" t="s">
        <v>52</v>
      </c>
      <c r="B397" t="s">
        <v>53</v>
      </c>
      <c r="C397" t="s">
        <v>54</v>
      </c>
      <c r="D397" t="s">
        <v>55</v>
      </c>
      <c r="E397" t="s">
        <v>56</v>
      </c>
      <c r="F397" t="s">
        <v>1412</v>
      </c>
      <c r="G397" t="s">
        <v>1421</v>
      </c>
      <c r="H397" t="s">
        <v>56</v>
      </c>
      <c r="I397" t="s">
        <v>1422</v>
      </c>
      <c r="J397" t="s">
        <v>61</v>
      </c>
      <c r="K397" t="s">
        <v>640</v>
      </c>
      <c r="L397" t="s">
        <v>56</v>
      </c>
      <c r="M397" t="s">
        <v>56</v>
      </c>
      <c r="N397" t="s">
        <v>252</v>
      </c>
      <c r="O397" t="s">
        <v>1416</v>
      </c>
      <c r="P397" t="s">
        <v>1417</v>
      </c>
      <c r="Q397" t="s">
        <v>87</v>
      </c>
      <c r="R397" t="s">
        <v>248</v>
      </c>
      <c r="S397">
        <v>1900000</v>
      </c>
      <c r="T397">
        <v>-373686.89</v>
      </c>
      <c r="U397" t="s">
        <v>68</v>
      </c>
      <c r="V397" t="s">
        <v>1418</v>
      </c>
      <c r="W397" s="9">
        <v>60602039</v>
      </c>
      <c r="X397" t="s">
        <v>1423</v>
      </c>
      <c r="Y397" s="1">
        <v>46034</v>
      </c>
      <c r="Z397" s="1">
        <v>46094</v>
      </c>
      <c r="AA397" s="2">
        <v>121851.76</v>
      </c>
      <c r="AB397" s="2">
        <v>103264.2</v>
      </c>
      <c r="AC397" s="2">
        <v>18587.560000000001</v>
      </c>
      <c r="AD397" s="2">
        <v>121851.76</v>
      </c>
      <c r="AE397" t="s">
        <v>1424</v>
      </c>
      <c r="AF397" t="s">
        <v>72</v>
      </c>
      <c r="AG397">
        <v>-16</v>
      </c>
      <c r="AH397" t="s">
        <v>117</v>
      </c>
      <c r="AI397" t="s">
        <v>74</v>
      </c>
      <c r="AJ397" t="s">
        <v>75</v>
      </c>
      <c r="AK397" t="s">
        <v>76</v>
      </c>
      <c r="AL397" t="s">
        <v>118</v>
      </c>
      <c r="AM397" t="s">
        <v>78</v>
      </c>
      <c r="AN397" t="s">
        <v>92</v>
      </c>
      <c r="AO397" t="s">
        <v>119</v>
      </c>
      <c r="AP397" t="s">
        <v>46</v>
      </c>
      <c r="AQ397" t="s">
        <v>81</v>
      </c>
      <c r="AR397" t="str">
        <f t="shared" si="12"/>
        <v>60602039.STATAM</v>
      </c>
      <c r="AS397">
        <f t="shared" si="13"/>
        <v>1899926.37</v>
      </c>
      <c r="AT397" t="s">
        <v>82</v>
      </c>
    </row>
    <row r="398" spans="1:46" x14ac:dyDescent="0.35">
      <c r="A398" t="s">
        <v>52</v>
      </c>
      <c r="B398" t="s">
        <v>53</v>
      </c>
      <c r="C398" t="s">
        <v>54</v>
      </c>
      <c r="D398" t="s">
        <v>55</v>
      </c>
      <c r="E398" t="s">
        <v>56</v>
      </c>
      <c r="F398" t="s">
        <v>1412</v>
      </c>
      <c r="G398" t="s">
        <v>1425</v>
      </c>
      <c r="H398" t="s">
        <v>56</v>
      </c>
      <c r="I398" t="s">
        <v>1426</v>
      </c>
      <c r="J398" t="s">
        <v>61</v>
      </c>
      <c r="K398" t="s">
        <v>640</v>
      </c>
      <c r="L398" t="s">
        <v>56</v>
      </c>
      <c r="M398" t="s">
        <v>56</v>
      </c>
      <c r="N398" t="s">
        <v>252</v>
      </c>
      <c r="O398" t="s">
        <v>1416</v>
      </c>
      <c r="P398" t="s">
        <v>1417</v>
      </c>
      <c r="Q398" t="s">
        <v>87</v>
      </c>
      <c r="R398" t="s">
        <v>248</v>
      </c>
      <c r="S398">
        <v>1900000</v>
      </c>
      <c r="T398">
        <v>-373686.89</v>
      </c>
      <c r="U398" t="s">
        <v>68</v>
      </c>
      <c r="V398" t="s">
        <v>1418</v>
      </c>
      <c r="W398" s="9">
        <v>60602039</v>
      </c>
      <c r="X398" t="s">
        <v>1427</v>
      </c>
      <c r="Y398" s="1">
        <v>46034</v>
      </c>
      <c r="Z398" s="1">
        <v>46094</v>
      </c>
      <c r="AA398" s="2">
        <v>4213.59</v>
      </c>
      <c r="AB398" s="2">
        <v>3570.84</v>
      </c>
      <c r="AC398" s="2">
        <v>642.75</v>
      </c>
      <c r="AD398" s="2">
        <v>4213.59</v>
      </c>
      <c r="AE398" t="s">
        <v>1428</v>
      </c>
      <c r="AF398" t="s">
        <v>72</v>
      </c>
      <c r="AG398">
        <v>-16</v>
      </c>
      <c r="AH398" t="s">
        <v>117</v>
      </c>
      <c r="AI398" t="s">
        <v>74</v>
      </c>
      <c r="AJ398" t="s">
        <v>75</v>
      </c>
      <c r="AK398" t="s">
        <v>76</v>
      </c>
      <c r="AL398" t="s">
        <v>118</v>
      </c>
      <c r="AM398" t="s">
        <v>78</v>
      </c>
      <c r="AN398" t="s">
        <v>92</v>
      </c>
      <c r="AO398" t="s">
        <v>119</v>
      </c>
      <c r="AP398" t="s">
        <v>46</v>
      </c>
      <c r="AQ398" t="s">
        <v>81</v>
      </c>
      <c r="AR398" t="str">
        <f t="shared" si="12"/>
        <v>60602039.STATAM</v>
      </c>
      <c r="AS398">
        <f t="shared" si="13"/>
        <v>1899926.37</v>
      </c>
      <c r="AT398" t="s">
        <v>82</v>
      </c>
    </row>
    <row r="399" spans="1:46" x14ac:dyDescent="0.35">
      <c r="A399" t="s">
        <v>52</v>
      </c>
      <c r="B399" t="s">
        <v>53</v>
      </c>
      <c r="C399" t="s">
        <v>54</v>
      </c>
      <c r="D399" t="s">
        <v>55</v>
      </c>
      <c r="E399" t="s">
        <v>56</v>
      </c>
      <c r="F399" t="s">
        <v>1412</v>
      </c>
      <c r="G399" t="s">
        <v>1429</v>
      </c>
      <c r="H399" t="s">
        <v>56</v>
      </c>
      <c r="I399" t="s">
        <v>1430</v>
      </c>
      <c r="J399" t="s">
        <v>61</v>
      </c>
      <c r="K399" t="s">
        <v>640</v>
      </c>
      <c r="L399" t="s">
        <v>56</v>
      </c>
      <c r="M399" t="s">
        <v>56</v>
      </c>
      <c r="N399" t="s">
        <v>1384</v>
      </c>
      <c r="O399" t="s">
        <v>1416</v>
      </c>
      <c r="P399" t="s">
        <v>1417</v>
      </c>
      <c r="Q399" t="s">
        <v>87</v>
      </c>
      <c r="R399" t="s">
        <v>248</v>
      </c>
      <c r="S399">
        <v>1900000</v>
      </c>
      <c r="T399">
        <v>-373686.89</v>
      </c>
      <c r="U399" t="s">
        <v>68</v>
      </c>
      <c r="V399" t="s">
        <v>1418</v>
      </c>
      <c r="W399" s="9">
        <v>60602039</v>
      </c>
      <c r="X399" t="s">
        <v>1431</v>
      </c>
      <c r="Y399" s="1">
        <v>46036</v>
      </c>
      <c r="Z399" s="1">
        <v>46096</v>
      </c>
      <c r="AA399" s="2">
        <v>1314.33</v>
      </c>
      <c r="AB399" s="2">
        <v>1113.8399999999999</v>
      </c>
      <c r="AC399" s="2">
        <v>200.49</v>
      </c>
      <c r="AD399" s="2">
        <v>1314.33</v>
      </c>
      <c r="AE399" t="s">
        <v>1432</v>
      </c>
      <c r="AF399" t="s">
        <v>72</v>
      </c>
      <c r="AG399">
        <v>-18</v>
      </c>
      <c r="AH399" t="s">
        <v>117</v>
      </c>
      <c r="AI399" t="s">
        <v>74</v>
      </c>
      <c r="AJ399" t="s">
        <v>75</v>
      </c>
      <c r="AK399" t="s">
        <v>76</v>
      </c>
      <c r="AL399" t="s">
        <v>118</v>
      </c>
      <c r="AM399" t="s">
        <v>78</v>
      </c>
      <c r="AN399" t="s">
        <v>92</v>
      </c>
      <c r="AO399" t="s">
        <v>119</v>
      </c>
      <c r="AP399" t="s">
        <v>46</v>
      </c>
      <c r="AQ399" t="s">
        <v>81</v>
      </c>
      <c r="AR399" t="str">
        <f t="shared" si="12"/>
        <v>60602039.STATAM</v>
      </c>
      <c r="AS399">
        <f t="shared" si="13"/>
        <v>1899926.37</v>
      </c>
      <c r="AT399" t="s">
        <v>82</v>
      </c>
    </row>
    <row r="400" spans="1:46" x14ac:dyDescent="0.35">
      <c r="A400" t="s">
        <v>52</v>
      </c>
      <c r="B400" t="s">
        <v>53</v>
      </c>
      <c r="C400" t="s">
        <v>54</v>
      </c>
      <c r="D400" t="s">
        <v>55</v>
      </c>
      <c r="E400" t="s">
        <v>56</v>
      </c>
      <c r="F400" t="s">
        <v>1412</v>
      </c>
      <c r="G400" t="s">
        <v>1433</v>
      </c>
      <c r="H400" t="s">
        <v>56</v>
      </c>
      <c r="I400" t="s">
        <v>1434</v>
      </c>
      <c r="J400" t="s">
        <v>61</v>
      </c>
      <c r="K400" t="s">
        <v>640</v>
      </c>
      <c r="L400" t="s">
        <v>56</v>
      </c>
      <c r="M400" t="s">
        <v>56</v>
      </c>
      <c r="N400" t="s">
        <v>261</v>
      </c>
      <c r="O400" t="s">
        <v>1416</v>
      </c>
      <c r="P400" t="s">
        <v>1417</v>
      </c>
      <c r="Q400" t="s">
        <v>87</v>
      </c>
      <c r="R400" t="s">
        <v>248</v>
      </c>
      <c r="S400">
        <v>1900000</v>
      </c>
      <c r="T400">
        <v>-373686.89</v>
      </c>
      <c r="U400" t="s">
        <v>68</v>
      </c>
      <c r="V400" t="s">
        <v>1418</v>
      </c>
      <c r="W400" s="9">
        <v>60602039</v>
      </c>
      <c r="X400" t="s">
        <v>1435</v>
      </c>
      <c r="Y400" s="1">
        <v>46036</v>
      </c>
      <c r="Z400" s="1">
        <v>46096</v>
      </c>
      <c r="AA400" s="2">
        <v>311014.2</v>
      </c>
      <c r="AB400" s="2">
        <v>263571.36</v>
      </c>
      <c r="AC400" s="2">
        <v>47442.84</v>
      </c>
      <c r="AD400" s="2">
        <v>311014.2</v>
      </c>
      <c r="AE400" t="s">
        <v>1436</v>
      </c>
      <c r="AF400" t="s">
        <v>72</v>
      </c>
      <c r="AG400">
        <v>-18</v>
      </c>
      <c r="AH400" t="s">
        <v>117</v>
      </c>
      <c r="AI400" t="s">
        <v>74</v>
      </c>
      <c r="AJ400" t="s">
        <v>75</v>
      </c>
      <c r="AK400" t="s">
        <v>76</v>
      </c>
      <c r="AL400" t="s">
        <v>118</v>
      </c>
      <c r="AM400" t="s">
        <v>78</v>
      </c>
      <c r="AN400" t="s">
        <v>92</v>
      </c>
      <c r="AO400" t="s">
        <v>119</v>
      </c>
      <c r="AP400" t="s">
        <v>46</v>
      </c>
      <c r="AQ400" t="s">
        <v>81</v>
      </c>
      <c r="AR400" t="str">
        <f t="shared" si="12"/>
        <v>60602039.STATAM</v>
      </c>
      <c r="AS400">
        <f t="shared" si="13"/>
        <v>1899926.37</v>
      </c>
      <c r="AT400" t="s">
        <v>82</v>
      </c>
    </row>
    <row r="401" spans="1:46" x14ac:dyDescent="0.35">
      <c r="A401" t="s">
        <v>52</v>
      </c>
      <c r="B401" t="s">
        <v>53</v>
      </c>
      <c r="C401" t="s">
        <v>54</v>
      </c>
      <c r="D401" t="s">
        <v>55</v>
      </c>
      <c r="E401" t="s">
        <v>56</v>
      </c>
      <c r="F401" t="s">
        <v>1412</v>
      </c>
      <c r="G401" t="s">
        <v>1437</v>
      </c>
      <c r="H401" t="s">
        <v>56</v>
      </c>
      <c r="I401" t="s">
        <v>1438</v>
      </c>
      <c r="J401" t="s">
        <v>61</v>
      </c>
      <c r="K401" t="s">
        <v>640</v>
      </c>
      <c r="L401" t="s">
        <v>56</v>
      </c>
      <c r="M401" t="s">
        <v>56</v>
      </c>
      <c r="N401" t="s">
        <v>252</v>
      </c>
      <c r="O401" t="s">
        <v>1416</v>
      </c>
      <c r="P401" t="s">
        <v>1417</v>
      </c>
      <c r="Q401" t="s">
        <v>87</v>
      </c>
      <c r="R401" t="s">
        <v>248</v>
      </c>
      <c r="S401">
        <v>1900000</v>
      </c>
      <c r="T401">
        <v>-373686.89</v>
      </c>
      <c r="U401" t="s">
        <v>68</v>
      </c>
      <c r="V401" t="s">
        <v>1418</v>
      </c>
      <c r="W401" s="9">
        <v>60602039</v>
      </c>
      <c r="X401" t="s">
        <v>1439</v>
      </c>
      <c r="Y401" s="1">
        <v>46036</v>
      </c>
      <c r="Z401" s="1">
        <v>46096</v>
      </c>
      <c r="AA401" s="2">
        <v>671781.55</v>
      </c>
      <c r="AB401" s="2">
        <v>569306.4</v>
      </c>
      <c r="AC401" s="2">
        <v>102475.15</v>
      </c>
      <c r="AD401" s="2">
        <v>671781.55</v>
      </c>
      <c r="AE401" t="s">
        <v>1440</v>
      </c>
      <c r="AF401" t="s">
        <v>72</v>
      </c>
      <c r="AG401">
        <v>-18</v>
      </c>
      <c r="AH401" t="s">
        <v>117</v>
      </c>
      <c r="AI401" t="s">
        <v>74</v>
      </c>
      <c r="AJ401" t="s">
        <v>75</v>
      </c>
      <c r="AK401" t="s">
        <v>76</v>
      </c>
      <c r="AL401" t="s">
        <v>118</v>
      </c>
      <c r="AM401" t="s">
        <v>78</v>
      </c>
      <c r="AN401" t="s">
        <v>92</v>
      </c>
      <c r="AO401" t="s">
        <v>119</v>
      </c>
      <c r="AP401" t="s">
        <v>46</v>
      </c>
      <c r="AQ401" t="s">
        <v>81</v>
      </c>
      <c r="AR401" t="str">
        <f t="shared" si="12"/>
        <v>60602039.STATAM</v>
      </c>
      <c r="AS401">
        <f t="shared" si="13"/>
        <v>1899926.37</v>
      </c>
      <c r="AT401" t="s">
        <v>82</v>
      </c>
    </row>
    <row r="402" spans="1:46" x14ac:dyDescent="0.35">
      <c r="A402" t="s">
        <v>52</v>
      </c>
      <c r="B402" t="s">
        <v>53</v>
      </c>
      <c r="C402" t="s">
        <v>54</v>
      </c>
      <c r="D402" t="s">
        <v>55</v>
      </c>
      <c r="E402" t="s">
        <v>56</v>
      </c>
      <c r="F402" t="s">
        <v>1412</v>
      </c>
      <c r="G402" t="s">
        <v>1441</v>
      </c>
      <c r="H402" t="s">
        <v>56</v>
      </c>
      <c r="I402" t="s">
        <v>1442</v>
      </c>
      <c r="J402" t="s">
        <v>61</v>
      </c>
      <c r="K402" t="s">
        <v>640</v>
      </c>
      <c r="L402" t="s">
        <v>56</v>
      </c>
      <c r="M402" t="s">
        <v>56</v>
      </c>
      <c r="N402" t="s">
        <v>789</v>
      </c>
      <c r="O402" t="s">
        <v>1416</v>
      </c>
      <c r="P402" t="s">
        <v>1417</v>
      </c>
      <c r="Q402" t="s">
        <v>87</v>
      </c>
      <c r="R402" t="s">
        <v>248</v>
      </c>
      <c r="S402">
        <v>1900000</v>
      </c>
      <c r="T402">
        <v>-373686.89</v>
      </c>
      <c r="U402" t="s">
        <v>68</v>
      </c>
      <c r="V402" t="s">
        <v>1418</v>
      </c>
      <c r="W402" s="9">
        <v>60602039</v>
      </c>
      <c r="X402" t="s">
        <v>1443</v>
      </c>
      <c r="Y402" s="1">
        <v>46036</v>
      </c>
      <c r="Z402" s="1">
        <v>46096</v>
      </c>
      <c r="AA402" s="2">
        <v>29047.82</v>
      </c>
      <c r="AB402" s="2">
        <v>24616.799999999999</v>
      </c>
      <c r="AC402" s="2">
        <v>4431.0200000000004</v>
      </c>
      <c r="AD402" s="2">
        <v>29047.82</v>
      </c>
      <c r="AE402" t="s">
        <v>1444</v>
      </c>
      <c r="AF402" t="s">
        <v>72</v>
      </c>
      <c r="AG402">
        <v>-18</v>
      </c>
      <c r="AH402" t="s">
        <v>117</v>
      </c>
      <c r="AI402" t="s">
        <v>74</v>
      </c>
      <c r="AJ402" t="s">
        <v>127</v>
      </c>
      <c r="AK402" t="s">
        <v>334</v>
      </c>
      <c r="AL402" t="s">
        <v>118</v>
      </c>
      <c r="AM402" t="s">
        <v>78</v>
      </c>
      <c r="AN402" t="s">
        <v>92</v>
      </c>
      <c r="AO402" t="s">
        <v>119</v>
      </c>
      <c r="AP402" t="s">
        <v>46</v>
      </c>
      <c r="AQ402" t="s">
        <v>335</v>
      </c>
      <c r="AR402" t="str">
        <f t="shared" si="12"/>
        <v>60602039.SPMINAM</v>
      </c>
      <c r="AS402">
        <f t="shared" si="13"/>
        <v>351518.79</v>
      </c>
      <c r="AT402" t="s">
        <v>82</v>
      </c>
    </row>
    <row r="403" spans="1:46" x14ac:dyDescent="0.35">
      <c r="A403" t="s">
        <v>52</v>
      </c>
      <c r="B403" t="s">
        <v>53</v>
      </c>
      <c r="C403" t="s">
        <v>54</v>
      </c>
      <c r="D403" t="s">
        <v>55</v>
      </c>
      <c r="E403" t="s">
        <v>56</v>
      </c>
      <c r="F403" t="s">
        <v>1412</v>
      </c>
      <c r="G403" t="s">
        <v>1445</v>
      </c>
      <c r="H403" t="s">
        <v>56</v>
      </c>
      <c r="I403" t="s">
        <v>1446</v>
      </c>
      <c r="J403" t="s">
        <v>61</v>
      </c>
      <c r="K403" t="s">
        <v>640</v>
      </c>
      <c r="L403" t="s">
        <v>56</v>
      </c>
      <c r="M403" t="s">
        <v>56</v>
      </c>
      <c r="N403" t="s">
        <v>254</v>
      </c>
      <c r="O403" t="s">
        <v>1416</v>
      </c>
      <c r="P403" t="s">
        <v>1417</v>
      </c>
      <c r="Q403" t="s">
        <v>641</v>
      </c>
      <c r="R403" t="s">
        <v>248</v>
      </c>
      <c r="S403">
        <v>1900000</v>
      </c>
      <c r="T403">
        <v>-373686.89</v>
      </c>
      <c r="U403" t="s">
        <v>68</v>
      </c>
      <c r="V403" t="s">
        <v>1418</v>
      </c>
      <c r="W403" s="9">
        <v>60602039</v>
      </c>
      <c r="X403" t="s">
        <v>1447</v>
      </c>
      <c r="Y403" s="1">
        <v>46043</v>
      </c>
      <c r="Z403" s="1">
        <v>46103</v>
      </c>
      <c r="AA403" s="2">
        <v>292429.96000000002</v>
      </c>
      <c r="AB403" s="2">
        <v>247822</v>
      </c>
      <c r="AC403" s="2">
        <v>44607.96</v>
      </c>
      <c r="AD403" s="2">
        <v>292429.96000000002</v>
      </c>
      <c r="AE403" t="s">
        <v>1448</v>
      </c>
      <c r="AF403" t="s">
        <v>72</v>
      </c>
      <c r="AG403">
        <v>-25</v>
      </c>
      <c r="AH403" t="s">
        <v>117</v>
      </c>
      <c r="AI403" t="s">
        <v>74</v>
      </c>
      <c r="AJ403" t="s">
        <v>75</v>
      </c>
      <c r="AK403" t="s">
        <v>76</v>
      </c>
      <c r="AL403" t="s">
        <v>118</v>
      </c>
      <c r="AM403" t="s">
        <v>78</v>
      </c>
      <c r="AN403" t="s">
        <v>92</v>
      </c>
      <c r="AO403" t="s">
        <v>119</v>
      </c>
      <c r="AP403" t="s">
        <v>46</v>
      </c>
      <c r="AQ403" t="s">
        <v>81</v>
      </c>
      <c r="AR403" t="str">
        <f t="shared" si="12"/>
        <v>60602039.STATAM</v>
      </c>
      <c r="AS403">
        <f t="shared" si="13"/>
        <v>1899926.37</v>
      </c>
      <c r="AT403" t="s">
        <v>82</v>
      </c>
    </row>
    <row r="404" spans="1:46" x14ac:dyDescent="0.35">
      <c r="A404" t="s">
        <v>52</v>
      </c>
      <c r="B404" t="s">
        <v>53</v>
      </c>
      <c r="C404" t="s">
        <v>54</v>
      </c>
      <c r="D404" t="s">
        <v>55</v>
      </c>
      <c r="E404" t="s">
        <v>56</v>
      </c>
      <c r="F404" t="s">
        <v>1412</v>
      </c>
      <c r="G404" t="s">
        <v>1449</v>
      </c>
      <c r="H404" t="s">
        <v>56</v>
      </c>
      <c r="I404" t="s">
        <v>1450</v>
      </c>
      <c r="J404" t="s">
        <v>61</v>
      </c>
      <c r="K404" t="s">
        <v>640</v>
      </c>
      <c r="L404" t="s">
        <v>56</v>
      </c>
      <c r="M404" t="s">
        <v>56</v>
      </c>
      <c r="N404" t="s">
        <v>295</v>
      </c>
      <c r="O404" t="s">
        <v>1416</v>
      </c>
      <c r="P404" t="s">
        <v>1417</v>
      </c>
      <c r="Q404" t="s">
        <v>87</v>
      </c>
      <c r="R404" t="s">
        <v>248</v>
      </c>
      <c r="S404">
        <v>1900000</v>
      </c>
      <c r="T404">
        <v>-373686.89</v>
      </c>
      <c r="U404" t="s">
        <v>68</v>
      </c>
      <c r="V404" t="s">
        <v>1418</v>
      </c>
      <c r="W404" s="9">
        <v>60602039</v>
      </c>
      <c r="X404" t="s">
        <v>1451</v>
      </c>
      <c r="Y404" s="1">
        <v>46043</v>
      </c>
      <c r="Z404" s="1">
        <v>46103</v>
      </c>
      <c r="AA404" s="2">
        <v>9108.2800000000007</v>
      </c>
      <c r="AB404" s="2">
        <v>7718.88</v>
      </c>
      <c r="AC404" s="2">
        <v>1389.4</v>
      </c>
      <c r="AD404" s="2">
        <v>9108.2800000000007</v>
      </c>
      <c r="AE404" t="s">
        <v>1452</v>
      </c>
      <c r="AF404" t="s">
        <v>72</v>
      </c>
      <c r="AG404">
        <v>-25</v>
      </c>
      <c r="AH404" t="s">
        <v>117</v>
      </c>
      <c r="AI404" t="s">
        <v>74</v>
      </c>
      <c r="AJ404" t="s">
        <v>75</v>
      </c>
      <c r="AK404" t="s">
        <v>76</v>
      </c>
      <c r="AL404" t="s">
        <v>118</v>
      </c>
      <c r="AM404" t="s">
        <v>78</v>
      </c>
      <c r="AN404" t="s">
        <v>92</v>
      </c>
      <c r="AO404" t="s">
        <v>119</v>
      </c>
      <c r="AP404" t="s">
        <v>46</v>
      </c>
      <c r="AQ404" t="s">
        <v>81</v>
      </c>
      <c r="AR404" t="str">
        <f t="shared" si="12"/>
        <v>60602039.STATAM</v>
      </c>
      <c r="AS404">
        <f t="shared" si="13"/>
        <v>1899926.37</v>
      </c>
      <c r="AT404" t="s">
        <v>82</v>
      </c>
    </row>
    <row r="405" spans="1:46" x14ac:dyDescent="0.35">
      <c r="A405" t="s">
        <v>52</v>
      </c>
      <c r="B405" t="s">
        <v>53</v>
      </c>
      <c r="C405" t="s">
        <v>54</v>
      </c>
      <c r="D405" t="s">
        <v>55</v>
      </c>
      <c r="E405" t="s">
        <v>56</v>
      </c>
      <c r="F405" t="s">
        <v>1412</v>
      </c>
      <c r="G405" t="s">
        <v>1449</v>
      </c>
      <c r="H405" t="s">
        <v>56</v>
      </c>
      <c r="I405" t="s">
        <v>1450</v>
      </c>
      <c r="J405" t="s">
        <v>61</v>
      </c>
      <c r="K405" t="s">
        <v>640</v>
      </c>
      <c r="L405" t="s">
        <v>56</v>
      </c>
      <c r="M405" t="s">
        <v>56</v>
      </c>
      <c r="N405" t="s">
        <v>261</v>
      </c>
      <c r="O405" t="s">
        <v>1416</v>
      </c>
      <c r="P405" t="s">
        <v>1417</v>
      </c>
      <c r="Q405" t="s">
        <v>87</v>
      </c>
      <c r="R405" t="s">
        <v>248</v>
      </c>
      <c r="S405">
        <v>1900000</v>
      </c>
      <c r="T405">
        <v>-373686.89</v>
      </c>
      <c r="U405" t="s">
        <v>68</v>
      </c>
      <c r="V405" t="s">
        <v>1418</v>
      </c>
      <c r="W405" s="9">
        <v>60602039</v>
      </c>
      <c r="X405" t="s">
        <v>1451</v>
      </c>
      <c r="Y405" s="1">
        <v>46043</v>
      </c>
      <c r="Z405" s="1">
        <v>46103</v>
      </c>
      <c r="AA405" s="2">
        <v>191307.9</v>
      </c>
      <c r="AB405" s="2">
        <v>162125.34</v>
      </c>
      <c r="AC405" s="2">
        <v>29182.560000000001</v>
      </c>
      <c r="AD405" s="2">
        <v>191307.9</v>
      </c>
      <c r="AE405" t="s">
        <v>1453</v>
      </c>
      <c r="AF405" t="s">
        <v>72</v>
      </c>
      <c r="AG405">
        <v>-25</v>
      </c>
      <c r="AH405" t="s">
        <v>117</v>
      </c>
      <c r="AI405" t="s">
        <v>74</v>
      </c>
      <c r="AJ405" t="s">
        <v>75</v>
      </c>
      <c r="AK405" t="s">
        <v>76</v>
      </c>
      <c r="AL405" t="s">
        <v>118</v>
      </c>
      <c r="AM405" t="s">
        <v>78</v>
      </c>
      <c r="AN405" t="s">
        <v>92</v>
      </c>
      <c r="AO405" t="s">
        <v>119</v>
      </c>
      <c r="AP405" t="s">
        <v>46</v>
      </c>
      <c r="AQ405" t="s">
        <v>81</v>
      </c>
      <c r="AR405" t="str">
        <f t="shared" si="12"/>
        <v>60602039.STATAM</v>
      </c>
      <c r="AS405">
        <f t="shared" si="13"/>
        <v>1899926.37</v>
      </c>
      <c r="AT405" t="s">
        <v>82</v>
      </c>
    </row>
    <row r="406" spans="1:46" x14ac:dyDescent="0.35">
      <c r="A406" t="s">
        <v>52</v>
      </c>
      <c r="B406" t="s">
        <v>53</v>
      </c>
      <c r="C406" t="s">
        <v>54</v>
      </c>
      <c r="D406" t="s">
        <v>55</v>
      </c>
      <c r="E406" t="s">
        <v>56</v>
      </c>
      <c r="F406" t="s">
        <v>1412</v>
      </c>
      <c r="G406" t="s">
        <v>1454</v>
      </c>
      <c r="H406" t="s">
        <v>56</v>
      </c>
      <c r="I406" t="s">
        <v>1455</v>
      </c>
      <c r="J406" t="s">
        <v>61</v>
      </c>
      <c r="K406" t="s">
        <v>640</v>
      </c>
      <c r="L406" t="s">
        <v>56</v>
      </c>
      <c r="M406" t="s">
        <v>56</v>
      </c>
      <c r="N406" t="s">
        <v>295</v>
      </c>
      <c r="O406" t="s">
        <v>1416</v>
      </c>
      <c r="P406" t="s">
        <v>1417</v>
      </c>
      <c r="Q406" t="s">
        <v>87</v>
      </c>
      <c r="R406" t="s">
        <v>248</v>
      </c>
      <c r="S406">
        <v>1900000</v>
      </c>
      <c r="T406">
        <v>-373686.89</v>
      </c>
      <c r="U406" t="s">
        <v>68</v>
      </c>
      <c r="V406" t="s">
        <v>1418</v>
      </c>
      <c r="W406" s="9">
        <v>60602039</v>
      </c>
      <c r="X406" t="s">
        <v>1456</v>
      </c>
      <c r="Y406" s="1">
        <v>46044</v>
      </c>
      <c r="Z406" s="1">
        <v>46104</v>
      </c>
      <c r="AA406" s="2">
        <v>26883.040000000001</v>
      </c>
      <c r="AB406" s="2">
        <v>22782.240000000002</v>
      </c>
      <c r="AC406" s="2">
        <v>4100.8</v>
      </c>
      <c r="AD406" s="2">
        <v>26883.040000000001</v>
      </c>
      <c r="AE406" t="s">
        <v>1457</v>
      </c>
      <c r="AF406" t="s">
        <v>72</v>
      </c>
      <c r="AG406">
        <v>-26</v>
      </c>
      <c r="AH406" t="s">
        <v>117</v>
      </c>
      <c r="AI406" t="s">
        <v>74</v>
      </c>
      <c r="AJ406" t="s">
        <v>75</v>
      </c>
      <c r="AK406" t="s">
        <v>76</v>
      </c>
      <c r="AL406" t="s">
        <v>118</v>
      </c>
      <c r="AM406" t="s">
        <v>78</v>
      </c>
      <c r="AN406" t="s">
        <v>92</v>
      </c>
      <c r="AO406" t="s">
        <v>119</v>
      </c>
      <c r="AP406" t="s">
        <v>46</v>
      </c>
      <c r="AQ406" t="s">
        <v>81</v>
      </c>
      <c r="AR406" t="str">
        <f t="shared" si="12"/>
        <v>60602039.STATAM</v>
      </c>
      <c r="AS406">
        <f t="shared" si="13"/>
        <v>1899926.37</v>
      </c>
      <c r="AT406" t="s">
        <v>82</v>
      </c>
    </row>
    <row r="407" spans="1:46" x14ac:dyDescent="0.35">
      <c r="A407" t="s">
        <v>52</v>
      </c>
      <c r="B407" t="s">
        <v>53</v>
      </c>
      <c r="C407" t="s">
        <v>54</v>
      </c>
      <c r="D407" t="s">
        <v>55</v>
      </c>
      <c r="E407" t="s">
        <v>56</v>
      </c>
      <c r="F407" t="s">
        <v>1412</v>
      </c>
      <c r="G407" t="s">
        <v>1458</v>
      </c>
      <c r="H407" t="s">
        <v>56</v>
      </c>
      <c r="I407" t="s">
        <v>1459</v>
      </c>
      <c r="J407" t="s">
        <v>61</v>
      </c>
      <c r="K407" t="s">
        <v>640</v>
      </c>
      <c r="L407" t="s">
        <v>56</v>
      </c>
      <c r="M407" t="s">
        <v>56</v>
      </c>
      <c r="N407" t="s">
        <v>244</v>
      </c>
      <c r="O407" t="s">
        <v>1416</v>
      </c>
      <c r="P407" t="s">
        <v>1417</v>
      </c>
      <c r="Q407" t="s">
        <v>641</v>
      </c>
      <c r="R407" t="s">
        <v>248</v>
      </c>
      <c r="S407">
        <v>1900000</v>
      </c>
      <c r="T407">
        <v>-373686.89</v>
      </c>
      <c r="U407" t="s">
        <v>68</v>
      </c>
      <c r="V407" t="s">
        <v>1418</v>
      </c>
      <c r="W407" s="9">
        <v>60602039</v>
      </c>
      <c r="X407" t="s">
        <v>1460</v>
      </c>
      <c r="Y407" s="1">
        <v>46046</v>
      </c>
      <c r="Z407" s="1">
        <v>46106</v>
      </c>
      <c r="AA407" s="2">
        <v>270021.76000000001</v>
      </c>
      <c r="AB407" s="2">
        <v>228832</v>
      </c>
      <c r="AC407" s="2">
        <v>41189.760000000002</v>
      </c>
      <c r="AD407" s="2">
        <v>270021.76000000001</v>
      </c>
      <c r="AE407" t="s">
        <v>1461</v>
      </c>
      <c r="AF407" t="s">
        <v>72</v>
      </c>
      <c r="AG407">
        <v>-28</v>
      </c>
      <c r="AH407" t="s">
        <v>117</v>
      </c>
      <c r="AI407" t="s">
        <v>74</v>
      </c>
      <c r="AJ407" t="s">
        <v>75</v>
      </c>
      <c r="AK407" t="s">
        <v>76</v>
      </c>
      <c r="AL407" t="s">
        <v>118</v>
      </c>
      <c r="AM407" t="s">
        <v>78</v>
      </c>
      <c r="AN407" t="s">
        <v>92</v>
      </c>
      <c r="AO407" t="s">
        <v>119</v>
      </c>
      <c r="AP407" t="s">
        <v>46</v>
      </c>
      <c r="AQ407" t="s">
        <v>81</v>
      </c>
      <c r="AR407" t="str">
        <f t="shared" si="12"/>
        <v>60602039.STATAM</v>
      </c>
      <c r="AS407">
        <f t="shared" si="13"/>
        <v>1899926.37</v>
      </c>
      <c r="AT407" t="s">
        <v>82</v>
      </c>
    </row>
    <row r="408" spans="1:46" x14ac:dyDescent="0.35">
      <c r="A408" t="s">
        <v>52</v>
      </c>
      <c r="B408" t="s">
        <v>53</v>
      </c>
      <c r="C408" t="s">
        <v>54</v>
      </c>
      <c r="D408" t="s">
        <v>55</v>
      </c>
      <c r="E408" t="s">
        <v>56</v>
      </c>
      <c r="F408" t="s">
        <v>1462</v>
      </c>
      <c r="G408" t="s">
        <v>1463</v>
      </c>
      <c r="H408" t="s">
        <v>56</v>
      </c>
      <c r="I408" t="s">
        <v>1464</v>
      </c>
      <c r="J408" t="s">
        <v>61</v>
      </c>
      <c r="K408" t="s">
        <v>640</v>
      </c>
      <c r="L408" t="s">
        <v>1465</v>
      </c>
      <c r="M408" t="s">
        <v>56</v>
      </c>
      <c r="N408" t="s">
        <v>1183</v>
      </c>
      <c r="O408" t="s">
        <v>1466</v>
      </c>
      <c r="P408" t="s">
        <v>1467</v>
      </c>
      <c r="Q408" t="s">
        <v>87</v>
      </c>
      <c r="R408" t="s">
        <v>248</v>
      </c>
      <c r="S408">
        <v>8000000</v>
      </c>
      <c r="T408">
        <v>-2236328.4900000002</v>
      </c>
      <c r="U408" t="s">
        <v>68</v>
      </c>
      <c r="V408" t="s">
        <v>1418</v>
      </c>
      <c r="W408" s="9">
        <v>60602298</v>
      </c>
      <c r="X408" t="s">
        <v>1468</v>
      </c>
      <c r="Y408" s="1">
        <v>46028</v>
      </c>
      <c r="Z408" s="1">
        <v>46088</v>
      </c>
      <c r="AA408" s="2">
        <v>25606</v>
      </c>
      <c r="AB408" s="2">
        <v>21700</v>
      </c>
      <c r="AC408" s="2">
        <v>3906</v>
      </c>
      <c r="AD408" s="2">
        <v>25606</v>
      </c>
      <c r="AE408" t="s">
        <v>1469</v>
      </c>
      <c r="AF408" t="s">
        <v>72</v>
      </c>
      <c r="AG408">
        <v>-10</v>
      </c>
      <c r="AH408" t="s">
        <v>117</v>
      </c>
      <c r="AI408" t="s">
        <v>74</v>
      </c>
      <c r="AJ408" t="s">
        <v>75</v>
      </c>
      <c r="AK408" t="s">
        <v>76</v>
      </c>
      <c r="AL408" t="s">
        <v>118</v>
      </c>
      <c r="AM408" t="s">
        <v>78</v>
      </c>
      <c r="AN408" t="s">
        <v>979</v>
      </c>
      <c r="AO408" t="s">
        <v>119</v>
      </c>
      <c r="AP408" t="s">
        <v>46</v>
      </c>
      <c r="AQ408" t="s">
        <v>81</v>
      </c>
      <c r="AR408" t="str">
        <f t="shared" si="12"/>
        <v>60602298.STATAM</v>
      </c>
      <c r="AS408">
        <f t="shared" si="13"/>
        <v>8158303.190000006</v>
      </c>
      <c r="AT408" t="s">
        <v>82</v>
      </c>
    </row>
    <row r="409" spans="1:46" x14ac:dyDescent="0.35">
      <c r="A409" t="s">
        <v>52</v>
      </c>
      <c r="B409" t="s">
        <v>53</v>
      </c>
      <c r="C409" t="s">
        <v>54</v>
      </c>
      <c r="D409" t="s">
        <v>55</v>
      </c>
      <c r="E409" t="s">
        <v>56</v>
      </c>
      <c r="F409" t="s">
        <v>1462</v>
      </c>
      <c r="G409" t="s">
        <v>1463</v>
      </c>
      <c r="H409" t="s">
        <v>56</v>
      </c>
      <c r="I409" t="s">
        <v>1464</v>
      </c>
      <c r="J409" t="s">
        <v>61</v>
      </c>
      <c r="K409" t="s">
        <v>640</v>
      </c>
      <c r="L409" t="s">
        <v>1465</v>
      </c>
      <c r="M409" t="s">
        <v>56</v>
      </c>
      <c r="N409" t="s">
        <v>682</v>
      </c>
      <c r="O409" t="s">
        <v>1466</v>
      </c>
      <c r="P409" t="s">
        <v>1467</v>
      </c>
      <c r="Q409" t="s">
        <v>87</v>
      </c>
      <c r="R409" t="s">
        <v>248</v>
      </c>
      <c r="S409">
        <v>8000000</v>
      </c>
      <c r="T409">
        <v>-2236328.4900000002</v>
      </c>
      <c r="U409" t="s">
        <v>68</v>
      </c>
      <c r="V409" t="s">
        <v>1418</v>
      </c>
      <c r="W409" s="9">
        <v>60602298</v>
      </c>
      <c r="X409" t="s">
        <v>1468</v>
      </c>
      <c r="Y409" s="1">
        <v>46028</v>
      </c>
      <c r="Z409" s="1">
        <v>46088</v>
      </c>
      <c r="AA409" s="2">
        <v>41712.53</v>
      </c>
      <c r="AB409" s="2">
        <v>35349.599999999999</v>
      </c>
      <c r="AC409" s="2">
        <v>6362.93</v>
      </c>
      <c r="AD409" s="2">
        <v>41712.53</v>
      </c>
      <c r="AE409" t="s">
        <v>1470</v>
      </c>
      <c r="AF409" t="s">
        <v>72</v>
      </c>
      <c r="AG409">
        <v>-10</v>
      </c>
      <c r="AH409" t="s">
        <v>117</v>
      </c>
      <c r="AI409" t="s">
        <v>74</v>
      </c>
      <c r="AJ409" t="s">
        <v>127</v>
      </c>
      <c r="AK409" t="s">
        <v>334</v>
      </c>
      <c r="AL409" t="s">
        <v>118</v>
      </c>
      <c r="AM409" t="s">
        <v>78</v>
      </c>
      <c r="AN409" t="s">
        <v>979</v>
      </c>
      <c r="AO409" t="s">
        <v>119</v>
      </c>
      <c r="AP409" t="s">
        <v>46</v>
      </c>
      <c r="AQ409" t="s">
        <v>335</v>
      </c>
      <c r="AR409" t="str">
        <f t="shared" si="12"/>
        <v>60602298.SPMINAM</v>
      </c>
      <c r="AS409">
        <f t="shared" si="13"/>
        <v>1341270.1200000001</v>
      </c>
      <c r="AT409" t="s">
        <v>82</v>
      </c>
    </row>
    <row r="410" spans="1:46" x14ac:dyDescent="0.35">
      <c r="A410" t="s">
        <v>52</v>
      </c>
      <c r="B410" t="s">
        <v>53</v>
      </c>
      <c r="C410" t="s">
        <v>54</v>
      </c>
      <c r="D410" t="s">
        <v>55</v>
      </c>
      <c r="E410" t="s">
        <v>56</v>
      </c>
      <c r="F410" t="s">
        <v>1462</v>
      </c>
      <c r="G410" t="s">
        <v>1471</v>
      </c>
      <c r="H410" t="s">
        <v>56</v>
      </c>
      <c r="I410" t="s">
        <v>1472</v>
      </c>
      <c r="J410" t="s">
        <v>61</v>
      </c>
      <c r="K410" t="s">
        <v>640</v>
      </c>
      <c r="L410" t="s">
        <v>1465</v>
      </c>
      <c r="M410" t="s">
        <v>56</v>
      </c>
      <c r="N410" t="s">
        <v>261</v>
      </c>
      <c r="O410" t="s">
        <v>1466</v>
      </c>
      <c r="P410" t="s">
        <v>1467</v>
      </c>
      <c r="Q410" t="s">
        <v>87</v>
      </c>
      <c r="R410" t="s">
        <v>248</v>
      </c>
      <c r="S410">
        <v>8000000</v>
      </c>
      <c r="T410">
        <v>-2236328.4900000002</v>
      </c>
      <c r="U410" t="s">
        <v>68</v>
      </c>
      <c r="V410" t="s">
        <v>1418</v>
      </c>
      <c r="W410" s="9">
        <v>60602298</v>
      </c>
      <c r="X410" t="s">
        <v>1473</v>
      </c>
      <c r="Y410" s="1">
        <v>46028</v>
      </c>
      <c r="Z410" s="1">
        <v>46088</v>
      </c>
      <c r="AA410" s="2">
        <v>6009.29</v>
      </c>
      <c r="AB410" s="2">
        <v>5092.62</v>
      </c>
      <c r="AC410" s="2">
        <v>916.67</v>
      </c>
      <c r="AD410" s="2">
        <v>6009.29</v>
      </c>
      <c r="AE410" t="s">
        <v>1474</v>
      </c>
      <c r="AF410" t="s">
        <v>72</v>
      </c>
      <c r="AG410">
        <v>-10</v>
      </c>
      <c r="AH410" t="s">
        <v>117</v>
      </c>
      <c r="AI410" t="s">
        <v>74</v>
      </c>
      <c r="AJ410" t="s">
        <v>75</v>
      </c>
      <c r="AK410" t="s">
        <v>76</v>
      </c>
      <c r="AL410" t="s">
        <v>118</v>
      </c>
      <c r="AM410" t="s">
        <v>78</v>
      </c>
      <c r="AN410" t="s">
        <v>979</v>
      </c>
      <c r="AO410" t="s">
        <v>119</v>
      </c>
      <c r="AP410" t="s">
        <v>46</v>
      </c>
      <c r="AQ410" t="s">
        <v>81</v>
      </c>
      <c r="AR410" t="str">
        <f t="shared" si="12"/>
        <v>60602298.STATAM</v>
      </c>
      <c r="AS410">
        <f t="shared" si="13"/>
        <v>8158303.190000006</v>
      </c>
      <c r="AT410" t="s">
        <v>82</v>
      </c>
    </row>
    <row r="411" spans="1:46" x14ac:dyDescent="0.35">
      <c r="A411" t="s">
        <v>52</v>
      </c>
      <c r="B411" t="s">
        <v>53</v>
      </c>
      <c r="C411" t="s">
        <v>54</v>
      </c>
      <c r="D411" t="s">
        <v>55</v>
      </c>
      <c r="E411" t="s">
        <v>56</v>
      </c>
      <c r="F411" t="s">
        <v>1462</v>
      </c>
      <c r="G411" t="s">
        <v>1475</v>
      </c>
      <c r="H411" t="s">
        <v>56</v>
      </c>
      <c r="I411" t="s">
        <v>1476</v>
      </c>
      <c r="J411" t="s">
        <v>61</v>
      </c>
      <c r="K411" t="s">
        <v>640</v>
      </c>
      <c r="L411" t="s">
        <v>1465</v>
      </c>
      <c r="M411" t="s">
        <v>56</v>
      </c>
      <c r="N411" t="s">
        <v>261</v>
      </c>
      <c r="O411" t="s">
        <v>1466</v>
      </c>
      <c r="P411" t="s">
        <v>1467</v>
      </c>
      <c r="Q411" t="s">
        <v>87</v>
      </c>
      <c r="R411" t="s">
        <v>248</v>
      </c>
      <c r="S411">
        <v>8000000</v>
      </c>
      <c r="T411">
        <v>-2236328.4900000002</v>
      </c>
      <c r="U411" t="s">
        <v>68</v>
      </c>
      <c r="V411" t="s">
        <v>1418</v>
      </c>
      <c r="W411" s="9">
        <v>60602298</v>
      </c>
      <c r="X411" t="s">
        <v>1477</v>
      </c>
      <c r="Y411" s="1">
        <v>46028</v>
      </c>
      <c r="Z411" s="1">
        <v>46088</v>
      </c>
      <c r="AA411" s="2">
        <v>10908.58</v>
      </c>
      <c r="AB411" s="2">
        <v>9244.56</v>
      </c>
      <c r="AC411" s="2">
        <v>1664.02</v>
      </c>
      <c r="AD411" s="2">
        <v>10908.58</v>
      </c>
      <c r="AE411" t="s">
        <v>1478</v>
      </c>
      <c r="AF411" t="s">
        <v>72</v>
      </c>
      <c r="AG411">
        <v>-10</v>
      </c>
      <c r="AH411" t="s">
        <v>117</v>
      </c>
      <c r="AI411" t="s">
        <v>74</v>
      </c>
      <c r="AJ411" t="s">
        <v>75</v>
      </c>
      <c r="AK411" t="s">
        <v>76</v>
      </c>
      <c r="AL411" t="s">
        <v>118</v>
      </c>
      <c r="AM411" t="s">
        <v>78</v>
      </c>
      <c r="AN411" t="s">
        <v>979</v>
      </c>
      <c r="AO411" t="s">
        <v>119</v>
      </c>
      <c r="AP411" t="s">
        <v>46</v>
      </c>
      <c r="AQ411" t="s">
        <v>81</v>
      </c>
      <c r="AR411" t="str">
        <f t="shared" si="12"/>
        <v>60602298.STATAM</v>
      </c>
      <c r="AS411">
        <f t="shared" si="13"/>
        <v>8158303.190000006</v>
      </c>
      <c r="AT411" t="s">
        <v>82</v>
      </c>
    </row>
    <row r="412" spans="1:46" x14ac:dyDescent="0.35">
      <c r="A412" t="s">
        <v>52</v>
      </c>
      <c r="B412" t="s">
        <v>53</v>
      </c>
      <c r="C412" t="s">
        <v>54</v>
      </c>
      <c r="D412" t="s">
        <v>55</v>
      </c>
      <c r="E412" t="s">
        <v>56</v>
      </c>
      <c r="F412" t="s">
        <v>1462</v>
      </c>
      <c r="G412" t="s">
        <v>1475</v>
      </c>
      <c r="H412" t="s">
        <v>56</v>
      </c>
      <c r="I412" t="s">
        <v>1476</v>
      </c>
      <c r="J412" t="s">
        <v>61</v>
      </c>
      <c r="K412" t="s">
        <v>640</v>
      </c>
      <c r="L412" t="s">
        <v>1465</v>
      </c>
      <c r="M412" t="s">
        <v>56</v>
      </c>
      <c r="N412" t="s">
        <v>252</v>
      </c>
      <c r="O412" t="s">
        <v>1466</v>
      </c>
      <c r="P412" t="s">
        <v>1467</v>
      </c>
      <c r="Q412" t="s">
        <v>87</v>
      </c>
      <c r="R412" t="s">
        <v>248</v>
      </c>
      <c r="S412">
        <v>8000000</v>
      </c>
      <c r="T412">
        <v>-2236328.4900000002</v>
      </c>
      <c r="U412" t="s">
        <v>68</v>
      </c>
      <c r="V412" t="s">
        <v>1418</v>
      </c>
      <c r="W412" s="9">
        <v>60602298</v>
      </c>
      <c r="X412" t="s">
        <v>1477</v>
      </c>
      <c r="Y412" s="1">
        <v>46028</v>
      </c>
      <c r="Z412" s="1">
        <v>46088</v>
      </c>
      <c r="AA412" s="2">
        <v>44285.97</v>
      </c>
      <c r="AB412" s="2">
        <v>37530.480000000003</v>
      </c>
      <c r="AC412" s="2">
        <v>6755.49</v>
      </c>
      <c r="AD412" s="2">
        <v>44285.97</v>
      </c>
      <c r="AE412" t="s">
        <v>1479</v>
      </c>
      <c r="AF412" t="s">
        <v>72</v>
      </c>
      <c r="AG412">
        <v>-10</v>
      </c>
      <c r="AH412" t="s">
        <v>117</v>
      </c>
      <c r="AI412" t="s">
        <v>74</v>
      </c>
      <c r="AJ412" t="s">
        <v>75</v>
      </c>
      <c r="AK412" t="s">
        <v>76</v>
      </c>
      <c r="AL412" t="s">
        <v>118</v>
      </c>
      <c r="AM412" t="s">
        <v>78</v>
      </c>
      <c r="AN412" t="s">
        <v>979</v>
      </c>
      <c r="AO412" t="s">
        <v>119</v>
      </c>
      <c r="AP412" t="s">
        <v>46</v>
      </c>
      <c r="AQ412" t="s">
        <v>81</v>
      </c>
      <c r="AR412" t="str">
        <f t="shared" si="12"/>
        <v>60602298.STATAM</v>
      </c>
      <c r="AS412">
        <f t="shared" si="13"/>
        <v>8158303.190000006</v>
      </c>
      <c r="AT412" t="s">
        <v>82</v>
      </c>
    </row>
    <row r="413" spans="1:46" x14ac:dyDescent="0.35">
      <c r="A413" t="s">
        <v>52</v>
      </c>
      <c r="B413" t="s">
        <v>53</v>
      </c>
      <c r="C413" t="s">
        <v>54</v>
      </c>
      <c r="D413" t="s">
        <v>55</v>
      </c>
      <c r="E413" t="s">
        <v>56</v>
      </c>
      <c r="F413" t="s">
        <v>1462</v>
      </c>
      <c r="G413" t="s">
        <v>1480</v>
      </c>
      <c r="H413" t="s">
        <v>56</v>
      </c>
      <c r="I413" t="s">
        <v>1481</v>
      </c>
      <c r="J413" t="s">
        <v>61</v>
      </c>
      <c r="K413" t="s">
        <v>640</v>
      </c>
      <c r="L413" t="s">
        <v>1465</v>
      </c>
      <c r="M413" t="s">
        <v>56</v>
      </c>
      <c r="N413" t="s">
        <v>252</v>
      </c>
      <c r="O413" t="s">
        <v>1466</v>
      </c>
      <c r="P413" t="s">
        <v>1467</v>
      </c>
      <c r="Q413" t="s">
        <v>87</v>
      </c>
      <c r="R413" t="s">
        <v>248</v>
      </c>
      <c r="S413">
        <v>8000000</v>
      </c>
      <c r="T413">
        <v>-2236328.4900000002</v>
      </c>
      <c r="U413" t="s">
        <v>68</v>
      </c>
      <c r="V413" t="s">
        <v>1418</v>
      </c>
      <c r="W413" s="9">
        <v>60602298</v>
      </c>
      <c r="X413" t="s">
        <v>1482</v>
      </c>
      <c r="Y413" s="1">
        <v>46028</v>
      </c>
      <c r="Z413" s="1">
        <v>46088</v>
      </c>
      <c r="AA413" s="2">
        <v>439.95</v>
      </c>
      <c r="AB413" s="2">
        <v>372.84</v>
      </c>
      <c r="AC413" s="2">
        <v>67.11</v>
      </c>
      <c r="AD413" s="2">
        <v>439.95</v>
      </c>
      <c r="AE413" t="s">
        <v>1483</v>
      </c>
      <c r="AF413" t="s">
        <v>72</v>
      </c>
      <c r="AG413">
        <v>-10</v>
      </c>
      <c r="AH413" t="s">
        <v>117</v>
      </c>
      <c r="AI413" t="s">
        <v>74</v>
      </c>
      <c r="AJ413" t="s">
        <v>75</v>
      </c>
      <c r="AK413" t="s">
        <v>76</v>
      </c>
      <c r="AL413" t="s">
        <v>118</v>
      </c>
      <c r="AM413" t="s">
        <v>78</v>
      </c>
      <c r="AN413" t="s">
        <v>979</v>
      </c>
      <c r="AO413" t="s">
        <v>119</v>
      </c>
      <c r="AP413" t="s">
        <v>46</v>
      </c>
      <c r="AQ413" t="s">
        <v>81</v>
      </c>
      <c r="AR413" t="str">
        <f t="shared" si="12"/>
        <v>60602298.STATAM</v>
      </c>
      <c r="AS413">
        <f t="shared" si="13"/>
        <v>8158303.190000006</v>
      </c>
      <c r="AT413" t="s">
        <v>82</v>
      </c>
    </row>
    <row r="414" spans="1:46" x14ac:dyDescent="0.35">
      <c r="A414" t="s">
        <v>52</v>
      </c>
      <c r="B414" t="s">
        <v>53</v>
      </c>
      <c r="C414" t="s">
        <v>54</v>
      </c>
      <c r="D414" t="s">
        <v>55</v>
      </c>
      <c r="E414" t="s">
        <v>56</v>
      </c>
      <c r="F414" t="s">
        <v>1462</v>
      </c>
      <c r="G414" t="s">
        <v>1484</v>
      </c>
      <c r="H414" t="s">
        <v>56</v>
      </c>
      <c r="I414" t="s">
        <v>1485</v>
      </c>
      <c r="J414" t="s">
        <v>476</v>
      </c>
      <c r="K414" t="s">
        <v>640</v>
      </c>
      <c r="L414" t="s">
        <v>1465</v>
      </c>
      <c r="M414" t="s">
        <v>56</v>
      </c>
      <c r="N414" t="s">
        <v>1135</v>
      </c>
      <c r="O414" t="s">
        <v>1466</v>
      </c>
      <c r="P414" t="s">
        <v>1467</v>
      </c>
      <c r="Q414" t="s">
        <v>1486</v>
      </c>
      <c r="R414" t="s">
        <v>248</v>
      </c>
      <c r="S414">
        <v>8000000</v>
      </c>
      <c r="T414">
        <v>-2236328.4900000002</v>
      </c>
      <c r="U414" t="s">
        <v>68</v>
      </c>
      <c r="V414" t="s">
        <v>1418</v>
      </c>
      <c r="W414" s="9">
        <v>60602298</v>
      </c>
      <c r="X414" t="s">
        <v>1487</v>
      </c>
      <c r="Y414" s="1">
        <v>46028</v>
      </c>
      <c r="Z414" s="1">
        <v>46088</v>
      </c>
      <c r="AA414" s="2">
        <v>76700</v>
      </c>
      <c r="AB414" s="2">
        <v>65000</v>
      </c>
      <c r="AC414" s="2">
        <v>11700</v>
      </c>
      <c r="AD414" s="2">
        <v>76700</v>
      </c>
      <c r="AE414" t="s">
        <v>1488</v>
      </c>
      <c r="AF414" t="s">
        <v>72</v>
      </c>
      <c r="AG414">
        <v>-10</v>
      </c>
      <c r="AH414" t="s">
        <v>117</v>
      </c>
      <c r="AI414" t="s">
        <v>74</v>
      </c>
      <c r="AJ414" t="s">
        <v>127</v>
      </c>
      <c r="AK414" t="s">
        <v>334</v>
      </c>
      <c r="AL414" t="s">
        <v>118</v>
      </c>
      <c r="AM414" t="s">
        <v>78</v>
      </c>
      <c r="AN414" t="s">
        <v>979</v>
      </c>
      <c r="AO414" t="s">
        <v>119</v>
      </c>
      <c r="AP414" t="s">
        <v>46</v>
      </c>
      <c r="AQ414" t="s">
        <v>335</v>
      </c>
      <c r="AR414" t="str">
        <f t="shared" si="12"/>
        <v>60602298.SPMINAM</v>
      </c>
      <c r="AS414">
        <f t="shared" si="13"/>
        <v>1341270.1200000001</v>
      </c>
      <c r="AT414" t="s">
        <v>82</v>
      </c>
    </row>
    <row r="415" spans="1:46" x14ac:dyDescent="0.35">
      <c r="A415" t="s">
        <v>52</v>
      </c>
      <c r="B415" t="s">
        <v>53</v>
      </c>
      <c r="C415" t="s">
        <v>54</v>
      </c>
      <c r="D415" t="s">
        <v>55</v>
      </c>
      <c r="E415" t="s">
        <v>56</v>
      </c>
      <c r="F415" t="s">
        <v>1462</v>
      </c>
      <c r="G415" t="s">
        <v>1489</v>
      </c>
      <c r="H415" t="s">
        <v>56</v>
      </c>
      <c r="I415" t="s">
        <v>1490</v>
      </c>
      <c r="J415" t="s">
        <v>476</v>
      </c>
      <c r="K415" t="s">
        <v>640</v>
      </c>
      <c r="L415" t="s">
        <v>1465</v>
      </c>
      <c r="M415" t="s">
        <v>56</v>
      </c>
      <c r="N415" t="s">
        <v>263</v>
      </c>
      <c r="O415" t="s">
        <v>1466</v>
      </c>
      <c r="P415" t="s">
        <v>1467</v>
      </c>
      <c r="Q415" t="s">
        <v>1486</v>
      </c>
      <c r="R415" t="s">
        <v>248</v>
      </c>
      <c r="S415">
        <v>8000000</v>
      </c>
      <c r="T415">
        <v>-2236328.4900000002</v>
      </c>
      <c r="U415" t="s">
        <v>68</v>
      </c>
      <c r="V415" t="s">
        <v>1418</v>
      </c>
      <c r="W415" s="9">
        <v>60602298</v>
      </c>
      <c r="X415" t="s">
        <v>1491</v>
      </c>
      <c r="Y415" s="1">
        <v>46028</v>
      </c>
      <c r="Z415" s="1">
        <v>46088</v>
      </c>
      <c r="AA415" s="2">
        <v>207730.74</v>
      </c>
      <c r="AB415" s="2">
        <v>176043</v>
      </c>
      <c r="AC415" s="2">
        <v>31687.74</v>
      </c>
      <c r="AD415" s="2">
        <v>207730.74</v>
      </c>
      <c r="AE415" t="s">
        <v>1492</v>
      </c>
      <c r="AF415" t="s">
        <v>72</v>
      </c>
      <c r="AG415">
        <v>-10</v>
      </c>
      <c r="AH415" t="s">
        <v>117</v>
      </c>
      <c r="AI415" t="s">
        <v>74</v>
      </c>
      <c r="AJ415" t="s">
        <v>75</v>
      </c>
      <c r="AK415" t="s">
        <v>76</v>
      </c>
      <c r="AL415" t="s">
        <v>118</v>
      </c>
      <c r="AM415" t="s">
        <v>78</v>
      </c>
      <c r="AN415" t="s">
        <v>979</v>
      </c>
      <c r="AO415" t="s">
        <v>119</v>
      </c>
      <c r="AP415" t="s">
        <v>46</v>
      </c>
      <c r="AQ415" t="s">
        <v>81</v>
      </c>
      <c r="AR415" t="str">
        <f t="shared" si="12"/>
        <v>60602298.STATAM</v>
      </c>
      <c r="AS415">
        <f t="shared" si="13"/>
        <v>8158303.190000006</v>
      </c>
      <c r="AT415" t="s">
        <v>82</v>
      </c>
    </row>
    <row r="416" spans="1:46" x14ac:dyDescent="0.35">
      <c r="A416" t="s">
        <v>52</v>
      </c>
      <c r="B416" t="s">
        <v>53</v>
      </c>
      <c r="C416" t="s">
        <v>54</v>
      </c>
      <c r="D416" t="s">
        <v>55</v>
      </c>
      <c r="E416" t="s">
        <v>56</v>
      </c>
      <c r="F416" t="s">
        <v>1462</v>
      </c>
      <c r="G416" t="s">
        <v>1493</v>
      </c>
      <c r="H416" t="s">
        <v>56</v>
      </c>
      <c r="I416" t="s">
        <v>1494</v>
      </c>
      <c r="J416" t="s">
        <v>476</v>
      </c>
      <c r="K416" t="s">
        <v>640</v>
      </c>
      <c r="L416" t="s">
        <v>56</v>
      </c>
      <c r="M416" t="s">
        <v>56</v>
      </c>
      <c r="N416" t="s">
        <v>244</v>
      </c>
      <c r="O416" t="s">
        <v>1466</v>
      </c>
      <c r="P416" t="s">
        <v>1467</v>
      </c>
      <c r="Q416" t="s">
        <v>1486</v>
      </c>
      <c r="R416" t="s">
        <v>248</v>
      </c>
      <c r="S416">
        <v>8000000</v>
      </c>
      <c r="T416">
        <v>-2236328.4900000002</v>
      </c>
      <c r="U416" t="s">
        <v>68</v>
      </c>
      <c r="V416" t="s">
        <v>1418</v>
      </c>
      <c r="W416" s="9">
        <v>60602298</v>
      </c>
      <c r="X416" t="s">
        <v>1495</v>
      </c>
      <c r="Y416" s="1">
        <v>46028</v>
      </c>
      <c r="Z416" s="1">
        <v>46088</v>
      </c>
      <c r="AA416" s="2">
        <v>629327.04</v>
      </c>
      <c r="AB416" s="2">
        <v>533328</v>
      </c>
      <c r="AC416" s="2">
        <v>95999.039999999994</v>
      </c>
      <c r="AD416" s="2">
        <v>629327.04</v>
      </c>
      <c r="AE416" t="s">
        <v>1496</v>
      </c>
      <c r="AF416" t="s">
        <v>72</v>
      </c>
      <c r="AG416">
        <v>-10</v>
      </c>
      <c r="AH416" t="s">
        <v>117</v>
      </c>
      <c r="AI416" t="s">
        <v>74</v>
      </c>
      <c r="AJ416" t="s">
        <v>75</v>
      </c>
      <c r="AK416" t="s">
        <v>76</v>
      </c>
      <c r="AL416" t="s">
        <v>118</v>
      </c>
      <c r="AM416" t="s">
        <v>78</v>
      </c>
      <c r="AN416" t="s">
        <v>979</v>
      </c>
      <c r="AO416" t="s">
        <v>119</v>
      </c>
      <c r="AP416" t="s">
        <v>46</v>
      </c>
      <c r="AQ416" t="s">
        <v>81</v>
      </c>
      <c r="AR416" t="str">
        <f t="shared" si="12"/>
        <v>60602298.STATAM</v>
      </c>
      <c r="AS416">
        <f t="shared" si="13"/>
        <v>8158303.190000006</v>
      </c>
      <c r="AT416" t="s">
        <v>82</v>
      </c>
    </row>
    <row r="417" spans="1:46" x14ac:dyDescent="0.35">
      <c r="A417" t="s">
        <v>52</v>
      </c>
      <c r="B417" t="s">
        <v>53</v>
      </c>
      <c r="C417" t="s">
        <v>54</v>
      </c>
      <c r="D417" t="s">
        <v>55</v>
      </c>
      <c r="E417" t="s">
        <v>56</v>
      </c>
      <c r="F417" t="s">
        <v>1462</v>
      </c>
      <c r="G417" t="s">
        <v>1493</v>
      </c>
      <c r="H417" t="s">
        <v>56</v>
      </c>
      <c r="I417" t="s">
        <v>1494</v>
      </c>
      <c r="J417" t="s">
        <v>476</v>
      </c>
      <c r="K417" t="s">
        <v>640</v>
      </c>
      <c r="L417" t="s">
        <v>56</v>
      </c>
      <c r="M417" t="s">
        <v>56</v>
      </c>
      <c r="N417" t="s">
        <v>254</v>
      </c>
      <c r="O417" t="s">
        <v>1466</v>
      </c>
      <c r="P417" t="s">
        <v>1467</v>
      </c>
      <c r="Q417" t="s">
        <v>1486</v>
      </c>
      <c r="R417" t="s">
        <v>248</v>
      </c>
      <c r="S417">
        <v>8000000</v>
      </c>
      <c r="T417">
        <v>-2236328.4900000002</v>
      </c>
      <c r="U417" t="s">
        <v>68</v>
      </c>
      <c r="V417" t="s">
        <v>1418</v>
      </c>
      <c r="W417" s="9">
        <v>60602298</v>
      </c>
      <c r="X417" t="s">
        <v>1495</v>
      </c>
      <c r="Y417" s="1">
        <v>46028</v>
      </c>
      <c r="Z417" s="1">
        <v>46088</v>
      </c>
      <c r="AA417" s="2">
        <v>336412.1</v>
      </c>
      <c r="AB417" s="2">
        <v>285095</v>
      </c>
      <c r="AC417" s="2">
        <v>51317.1</v>
      </c>
      <c r="AD417" s="2">
        <v>336412.1</v>
      </c>
      <c r="AE417" t="s">
        <v>1497</v>
      </c>
      <c r="AF417" t="s">
        <v>72</v>
      </c>
      <c r="AG417">
        <v>-10</v>
      </c>
      <c r="AH417" t="s">
        <v>117</v>
      </c>
      <c r="AI417" t="s">
        <v>74</v>
      </c>
      <c r="AJ417" t="s">
        <v>75</v>
      </c>
      <c r="AK417" t="s">
        <v>76</v>
      </c>
      <c r="AL417" t="s">
        <v>118</v>
      </c>
      <c r="AM417" t="s">
        <v>78</v>
      </c>
      <c r="AN417" t="s">
        <v>979</v>
      </c>
      <c r="AO417" t="s">
        <v>119</v>
      </c>
      <c r="AP417" t="s">
        <v>46</v>
      </c>
      <c r="AQ417" t="s">
        <v>81</v>
      </c>
      <c r="AR417" t="str">
        <f t="shared" si="12"/>
        <v>60602298.STATAM</v>
      </c>
      <c r="AS417">
        <f t="shared" si="13"/>
        <v>8158303.190000006</v>
      </c>
      <c r="AT417" t="s">
        <v>82</v>
      </c>
    </row>
    <row r="418" spans="1:46" x14ac:dyDescent="0.35">
      <c r="A418" t="s">
        <v>52</v>
      </c>
      <c r="B418" t="s">
        <v>53</v>
      </c>
      <c r="C418" t="s">
        <v>54</v>
      </c>
      <c r="D418" t="s">
        <v>55</v>
      </c>
      <c r="E418" t="s">
        <v>56</v>
      </c>
      <c r="F418" t="s">
        <v>1462</v>
      </c>
      <c r="G418" t="s">
        <v>1498</v>
      </c>
      <c r="H418" t="s">
        <v>56</v>
      </c>
      <c r="I418" t="s">
        <v>1499</v>
      </c>
      <c r="J418" t="s">
        <v>61</v>
      </c>
      <c r="K418" t="s">
        <v>640</v>
      </c>
      <c r="L418" t="s">
        <v>1465</v>
      </c>
      <c r="M418" t="s">
        <v>56</v>
      </c>
      <c r="N418" t="s">
        <v>252</v>
      </c>
      <c r="O418" t="s">
        <v>1466</v>
      </c>
      <c r="P418" t="s">
        <v>1467</v>
      </c>
      <c r="Q418" t="s">
        <v>87</v>
      </c>
      <c r="R418" t="s">
        <v>248</v>
      </c>
      <c r="S418">
        <v>8000000</v>
      </c>
      <c r="T418">
        <v>-2236328.4900000002</v>
      </c>
      <c r="U418" t="s">
        <v>68</v>
      </c>
      <c r="V418" t="s">
        <v>1418</v>
      </c>
      <c r="W418" s="9">
        <v>60602298</v>
      </c>
      <c r="X418" t="s">
        <v>1500</v>
      </c>
      <c r="Y418" s="1">
        <v>46029</v>
      </c>
      <c r="Z418" s="1">
        <v>46089</v>
      </c>
      <c r="AA418" s="2">
        <v>102.16</v>
      </c>
      <c r="AB418" s="2">
        <v>86.58</v>
      </c>
      <c r="AC418" s="2">
        <v>15.58</v>
      </c>
      <c r="AD418" s="2">
        <v>102.16</v>
      </c>
      <c r="AE418" t="s">
        <v>1501</v>
      </c>
      <c r="AF418" t="s">
        <v>72</v>
      </c>
      <c r="AG418">
        <v>-11</v>
      </c>
      <c r="AH418" t="s">
        <v>117</v>
      </c>
      <c r="AI418" t="s">
        <v>74</v>
      </c>
      <c r="AJ418" t="s">
        <v>75</v>
      </c>
      <c r="AK418" t="s">
        <v>76</v>
      </c>
      <c r="AL418" t="s">
        <v>118</v>
      </c>
      <c r="AM418" t="s">
        <v>78</v>
      </c>
      <c r="AN418" t="s">
        <v>979</v>
      </c>
      <c r="AO418" t="s">
        <v>119</v>
      </c>
      <c r="AP418" t="s">
        <v>46</v>
      </c>
      <c r="AQ418" t="s">
        <v>81</v>
      </c>
      <c r="AR418" t="str">
        <f t="shared" si="12"/>
        <v>60602298.STATAM</v>
      </c>
      <c r="AS418">
        <f t="shared" si="13"/>
        <v>8158303.190000006</v>
      </c>
      <c r="AT418" t="s">
        <v>82</v>
      </c>
    </row>
    <row r="419" spans="1:46" x14ac:dyDescent="0.35">
      <c r="A419" t="s">
        <v>52</v>
      </c>
      <c r="B419" t="s">
        <v>53</v>
      </c>
      <c r="C419" t="s">
        <v>54</v>
      </c>
      <c r="D419" t="s">
        <v>55</v>
      </c>
      <c r="E419" t="s">
        <v>56</v>
      </c>
      <c r="F419" t="s">
        <v>1462</v>
      </c>
      <c r="G419" t="s">
        <v>1471</v>
      </c>
      <c r="H419" t="s">
        <v>56</v>
      </c>
      <c r="I419" t="s">
        <v>1502</v>
      </c>
      <c r="J419" t="s">
        <v>61</v>
      </c>
      <c r="K419" t="s">
        <v>640</v>
      </c>
      <c r="L419" t="s">
        <v>1465</v>
      </c>
      <c r="M419" t="s">
        <v>56</v>
      </c>
      <c r="N419" t="s">
        <v>261</v>
      </c>
      <c r="O419" t="s">
        <v>1466</v>
      </c>
      <c r="P419" t="s">
        <v>1467</v>
      </c>
      <c r="Q419" t="s">
        <v>87</v>
      </c>
      <c r="R419" t="s">
        <v>248</v>
      </c>
      <c r="S419">
        <v>8000000</v>
      </c>
      <c r="T419">
        <v>-2236328.4900000002</v>
      </c>
      <c r="U419" t="s">
        <v>68</v>
      </c>
      <c r="V419" t="s">
        <v>1418</v>
      </c>
      <c r="W419" s="9">
        <v>60602298</v>
      </c>
      <c r="X419" t="s">
        <v>1503</v>
      </c>
      <c r="Y419" s="1">
        <v>46029</v>
      </c>
      <c r="Z419" s="1">
        <v>46089</v>
      </c>
      <c r="AA419" s="2">
        <v>236428.67</v>
      </c>
      <c r="AB419" s="2">
        <v>200363.28</v>
      </c>
      <c r="AC419" s="2">
        <v>36065.39</v>
      </c>
      <c r="AD419" s="2">
        <v>236428.67</v>
      </c>
      <c r="AE419" t="s">
        <v>1504</v>
      </c>
      <c r="AF419" t="s">
        <v>72</v>
      </c>
      <c r="AG419">
        <v>-11</v>
      </c>
      <c r="AH419" t="s">
        <v>117</v>
      </c>
      <c r="AI419" t="s">
        <v>74</v>
      </c>
      <c r="AJ419" t="s">
        <v>75</v>
      </c>
      <c r="AK419" t="s">
        <v>76</v>
      </c>
      <c r="AL419" t="s">
        <v>118</v>
      </c>
      <c r="AM419" t="s">
        <v>78</v>
      </c>
      <c r="AN419" t="s">
        <v>979</v>
      </c>
      <c r="AO419" t="s">
        <v>119</v>
      </c>
      <c r="AP419" t="s">
        <v>46</v>
      </c>
      <c r="AQ419" t="s">
        <v>81</v>
      </c>
      <c r="AR419" t="str">
        <f t="shared" si="12"/>
        <v>60602298.STATAM</v>
      </c>
      <c r="AS419">
        <f t="shared" si="13"/>
        <v>8158303.190000006</v>
      </c>
      <c r="AT419" t="s">
        <v>82</v>
      </c>
    </row>
    <row r="420" spans="1:46" x14ac:dyDescent="0.35">
      <c r="A420" t="s">
        <v>52</v>
      </c>
      <c r="B420" t="s">
        <v>53</v>
      </c>
      <c r="C420" t="s">
        <v>54</v>
      </c>
      <c r="D420" t="s">
        <v>55</v>
      </c>
      <c r="E420" t="s">
        <v>56</v>
      </c>
      <c r="F420" t="s">
        <v>1462</v>
      </c>
      <c r="G420" t="s">
        <v>1493</v>
      </c>
      <c r="H420" t="s">
        <v>56</v>
      </c>
      <c r="I420" t="s">
        <v>1505</v>
      </c>
      <c r="J420" t="s">
        <v>476</v>
      </c>
      <c r="K420" t="s">
        <v>640</v>
      </c>
      <c r="L420" t="s">
        <v>56</v>
      </c>
      <c r="M420" t="s">
        <v>56</v>
      </c>
      <c r="N420" t="s">
        <v>244</v>
      </c>
      <c r="O420" t="s">
        <v>1466</v>
      </c>
      <c r="P420" t="s">
        <v>1467</v>
      </c>
      <c r="Q420" t="s">
        <v>1486</v>
      </c>
      <c r="R420" t="s">
        <v>248</v>
      </c>
      <c r="S420">
        <v>8000000</v>
      </c>
      <c r="T420">
        <v>-2236328.4900000002</v>
      </c>
      <c r="U420" t="s">
        <v>68</v>
      </c>
      <c r="V420" t="s">
        <v>1418</v>
      </c>
      <c r="W420" s="9">
        <v>60602298</v>
      </c>
      <c r="X420" t="s">
        <v>1506</v>
      </c>
      <c r="Y420" s="1">
        <v>46029</v>
      </c>
      <c r="Z420" s="1">
        <v>46089</v>
      </c>
      <c r="AA420" s="2">
        <v>374296</v>
      </c>
      <c r="AB420" s="2">
        <v>317200</v>
      </c>
      <c r="AC420" s="2">
        <v>57096</v>
      </c>
      <c r="AD420" s="2">
        <v>374296</v>
      </c>
      <c r="AE420" t="s">
        <v>1507</v>
      </c>
      <c r="AF420" t="s">
        <v>72</v>
      </c>
      <c r="AG420">
        <v>-11</v>
      </c>
      <c r="AH420" t="s">
        <v>117</v>
      </c>
      <c r="AI420" t="s">
        <v>74</v>
      </c>
      <c r="AJ420" t="s">
        <v>75</v>
      </c>
      <c r="AK420" t="s">
        <v>76</v>
      </c>
      <c r="AL420" t="s">
        <v>118</v>
      </c>
      <c r="AM420" t="s">
        <v>78</v>
      </c>
      <c r="AN420" t="s">
        <v>979</v>
      </c>
      <c r="AO420" t="s">
        <v>119</v>
      </c>
      <c r="AP420" t="s">
        <v>46</v>
      </c>
      <c r="AQ420" t="s">
        <v>81</v>
      </c>
      <c r="AR420" t="str">
        <f t="shared" si="12"/>
        <v>60602298.STATAM</v>
      </c>
      <c r="AS420">
        <f t="shared" si="13"/>
        <v>8158303.190000006</v>
      </c>
      <c r="AT420" t="s">
        <v>82</v>
      </c>
    </row>
    <row r="421" spans="1:46" x14ac:dyDescent="0.35">
      <c r="A421" t="s">
        <v>52</v>
      </c>
      <c r="B421" t="s">
        <v>53</v>
      </c>
      <c r="C421" t="s">
        <v>54</v>
      </c>
      <c r="D421" t="s">
        <v>55</v>
      </c>
      <c r="E421" t="s">
        <v>56</v>
      </c>
      <c r="F421" t="s">
        <v>1462</v>
      </c>
      <c r="G421" t="s">
        <v>1508</v>
      </c>
      <c r="H421" t="s">
        <v>780</v>
      </c>
      <c r="I421" t="s">
        <v>1509</v>
      </c>
      <c r="J421" t="s">
        <v>61</v>
      </c>
      <c r="K421" t="s">
        <v>640</v>
      </c>
      <c r="L421" t="s">
        <v>56</v>
      </c>
      <c r="M421" t="s">
        <v>56</v>
      </c>
      <c r="N421" t="s">
        <v>782</v>
      </c>
      <c r="O421" t="s">
        <v>1466</v>
      </c>
      <c r="P421" t="s">
        <v>1467</v>
      </c>
      <c r="Q421" t="s">
        <v>87</v>
      </c>
      <c r="R421" t="s">
        <v>248</v>
      </c>
      <c r="S421">
        <v>8000000</v>
      </c>
      <c r="T421">
        <v>-2236328.4900000002</v>
      </c>
      <c r="U421" t="s">
        <v>68</v>
      </c>
      <c r="V421" t="s">
        <v>1418</v>
      </c>
      <c r="W421" s="9">
        <v>60602298</v>
      </c>
      <c r="X421" t="s">
        <v>1510</v>
      </c>
      <c r="Y421" s="1">
        <v>46031</v>
      </c>
      <c r="Z421" s="1">
        <v>46091</v>
      </c>
      <c r="AA421" s="2">
        <v>259600</v>
      </c>
      <c r="AB421" s="2">
        <v>220000</v>
      </c>
      <c r="AC421" s="2">
        <v>39600</v>
      </c>
      <c r="AD421" s="2">
        <v>259600</v>
      </c>
      <c r="AE421" t="s">
        <v>1511</v>
      </c>
      <c r="AF421" t="s">
        <v>72</v>
      </c>
      <c r="AG421">
        <v>-13</v>
      </c>
      <c r="AH421" t="s">
        <v>117</v>
      </c>
      <c r="AI421" t="s">
        <v>74</v>
      </c>
      <c r="AJ421" t="s">
        <v>75</v>
      </c>
      <c r="AK421" t="s">
        <v>76</v>
      </c>
      <c r="AL421" t="s">
        <v>118</v>
      </c>
      <c r="AM421" t="s">
        <v>78</v>
      </c>
      <c r="AN421" t="s">
        <v>979</v>
      </c>
      <c r="AO421" t="s">
        <v>119</v>
      </c>
      <c r="AP421" t="s">
        <v>46</v>
      </c>
      <c r="AQ421" t="s">
        <v>81</v>
      </c>
      <c r="AR421" t="str">
        <f t="shared" si="12"/>
        <v>60602298.STATAM</v>
      </c>
      <c r="AS421">
        <f t="shared" si="13"/>
        <v>8158303.190000006</v>
      </c>
      <c r="AT421" t="s">
        <v>82</v>
      </c>
    </row>
    <row r="422" spans="1:46" x14ac:dyDescent="0.35">
      <c r="A422" t="s">
        <v>52</v>
      </c>
      <c r="B422" t="s">
        <v>53</v>
      </c>
      <c r="C422" t="s">
        <v>54</v>
      </c>
      <c r="D422" t="s">
        <v>55</v>
      </c>
      <c r="E422" t="s">
        <v>56</v>
      </c>
      <c r="F422" t="s">
        <v>1462</v>
      </c>
      <c r="G422" t="s">
        <v>1512</v>
      </c>
      <c r="H422" t="s">
        <v>56</v>
      </c>
      <c r="I422" t="s">
        <v>1513</v>
      </c>
      <c r="J422" t="s">
        <v>61</v>
      </c>
      <c r="K422" t="s">
        <v>640</v>
      </c>
      <c r="L422" t="s">
        <v>56</v>
      </c>
      <c r="M422" t="s">
        <v>56</v>
      </c>
      <c r="N422" t="s">
        <v>244</v>
      </c>
      <c r="O422" t="s">
        <v>1466</v>
      </c>
      <c r="P422" t="s">
        <v>1467</v>
      </c>
      <c r="Q422" t="s">
        <v>984</v>
      </c>
      <c r="R422" t="s">
        <v>248</v>
      </c>
      <c r="S422">
        <v>8000000</v>
      </c>
      <c r="T422">
        <v>-2236328.4900000002</v>
      </c>
      <c r="U422" t="s">
        <v>68</v>
      </c>
      <c r="V422" t="s">
        <v>1418</v>
      </c>
      <c r="W422" s="9">
        <v>60602298</v>
      </c>
      <c r="X422" t="s">
        <v>1514</v>
      </c>
      <c r="Y422" s="1">
        <v>46034</v>
      </c>
      <c r="Z422" s="1">
        <v>46094</v>
      </c>
      <c r="AA422" s="2">
        <v>288486.40000000002</v>
      </c>
      <c r="AB422" s="2">
        <v>244480</v>
      </c>
      <c r="AC422" s="2">
        <v>44006.400000000001</v>
      </c>
      <c r="AD422" s="2">
        <v>288486.40000000002</v>
      </c>
      <c r="AE422" t="s">
        <v>1515</v>
      </c>
      <c r="AF422" t="s">
        <v>72</v>
      </c>
      <c r="AG422">
        <v>-16</v>
      </c>
      <c r="AH422" t="s">
        <v>117</v>
      </c>
      <c r="AI422" t="s">
        <v>74</v>
      </c>
      <c r="AJ422" t="s">
        <v>75</v>
      </c>
      <c r="AK422" t="s">
        <v>76</v>
      </c>
      <c r="AL422" t="s">
        <v>118</v>
      </c>
      <c r="AM422" t="s">
        <v>78</v>
      </c>
      <c r="AN422" t="s">
        <v>979</v>
      </c>
      <c r="AO422" t="s">
        <v>119</v>
      </c>
      <c r="AP422" t="s">
        <v>46</v>
      </c>
      <c r="AQ422" t="s">
        <v>81</v>
      </c>
      <c r="AR422" t="str">
        <f t="shared" si="12"/>
        <v>60602298.STATAM</v>
      </c>
      <c r="AS422">
        <f t="shared" si="13"/>
        <v>8158303.190000006</v>
      </c>
      <c r="AT422" t="s">
        <v>82</v>
      </c>
    </row>
    <row r="423" spans="1:46" x14ac:dyDescent="0.35">
      <c r="A423" t="s">
        <v>52</v>
      </c>
      <c r="B423" t="s">
        <v>53</v>
      </c>
      <c r="C423" t="s">
        <v>54</v>
      </c>
      <c r="D423" t="s">
        <v>55</v>
      </c>
      <c r="E423" t="s">
        <v>56</v>
      </c>
      <c r="F423" t="s">
        <v>1462</v>
      </c>
      <c r="G423" t="s">
        <v>1480</v>
      </c>
      <c r="H423" t="s">
        <v>56</v>
      </c>
      <c r="I423" t="s">
        <v>1516</v>
      </c>
      <c r="J423" t="s">
        <v>61</v>
      </c>
      <c r="K423" t="s">
        <v>640</v>
      </c>
      <c r="L423" t="s">
        <v>1465</v>
      </c>
      <c r="M423" t="s">
        <v>56</v>
      </c>
      <c r="N423" t="s">
        <v>252</v>
      </c>
      <c r="O423" t="s">
        <v>1466</v>
      </c>
      <c r="P423" t="s">
        <v>1467</v>
      </c>
      <c r="Q423" t="s">
        <v>87</v>
      </c>
      <c r="R423" t="s">
        <v>248</v>
      </c>
      <c r="S423">
        <v>8000000</v>
      </c>
      <c r="T423">
        <v>-2236328.4900000002</v>
      </c>
      <c r="U423" t="s">
        <v>68</v>
      </c>
      <c r="V423" t="s">
        <v>1418</v>
      </c>
      <c r="W423" s="9">
        <v>60602298</v>
      </c>
      <c r="X423" t="s">
        <v>1517</v>
      </c>
      <c r="Y423" s="1">
        <v>46041</v>
      </c>
      <c r="Z423" s="1">
        <v>46101</v>
      </c>
      <c r="AA423" s="2">
        <v>15604.46</v>
      </c>
      <c r="AB423" s="2">
        <v>13224.12</v>
      </c>
      <c r="AC423" s="2">
        <v>2380.34</v>
      </c>
      <c r="AD423" s="2">
        <v>15604.46</v>
      </c>
      <c r="AE423" t="s">
        <v>1518</v>
      </c>
      <c r="AF423" t="s">
        <v>72</v>
      </c>
      <c r="AG423">
        <v>-23</v>
      </c>
      <c r="AH423" t="s">
        <v>117</v>
      </c>
      <c r="AI423" t="s">
        <v>74</v>
      </c>
      <c r="AJ423" t="s">
        <v>75</v>
      </c>
      <c r="AK423" t="s">
        <v>76</v>
      </c>
      <c r="AL423" t="s">
        <v>118</v>
      </c>
      <c r="AM423" t="s">
        <v>78</v>
      </c>
      <c r="AN423" t="s">
        <v>979</v>
      </c>
      <c r="AO423" t="s">
        <v>119</v>
      </c>
      <c r="AP423" t="s">
        <v>46</v>
      </c>
      <c r="AQ423" t="s">
        <v>81</v>
      </c>
      <c r="AR423" t="str">
        <f t="shared" si="12"/>
        <v>60602298.STATAM</v>
      </c>
      <c r="AS423">
        <f t="shared" si="13"/>
        <v>8158303.190000006</v>
      </c>
      <c r="AT423" t="s">
        <v>82</v>
      </c>
    </row>
    <row r="424" spans="1:46" x14ac:dyDescent="0.35">
      <c r="A424" t="s">
        <v>52</v>
      </c>
      <c r="B424" t="s">
        <v>53</v>
      </c>
      <c r="C424" t="s">
        <v>54</v>
      </c>
      <c r="D424" t="s">
        <v>55</v>
      </c>
      <c r="E424" t="s">
        <v>56</v>
      </c>
      <c r="F424" t="s">
        <v>1462</v>
      </c>
      <c r="G424" t="s">
        <v>1519</v>
      </c>
      <c r="H424" t="s">
        <v>56</v>
      </c>
      <c r="I424" t="s">
        <v>1520</v>
      </c>
      <c r="J424" t="s">
        <v>61</v>
      </c>
      <c r="K424" t="s">
        <v>640</v>
      </c>
      <c r="L424" t="s">
        <v>1465</v>
      </c>
      <c r="M424" t="s">
        <v>56</v>
      </c>
      <c r="N424" t="s">
        <v>1135</v>
      </c>
      <c r="O424" t="s">
        <v>1466</v>
      </c>
      <c r="P424" t="s">
        <v>1467</v>
      </c>
      <c r="Q424" t="s">
        <v>87</v>
      </c>
      <c r="R424" t="s">
        <v>248</v>
      </c>
      <c r="S424">
        <v>8000000</v>
      </c>
      <c r="T424">
        <v>-2236328.4900000002</v>
      </c>
      <c r="U424" t="s">
        <v>68</v>
      </c>
      <c r="V424" t="s">
        <v>1418</v>
      </c>
      <c r="W424" s="9">
        <v>60602298</v>
      </c>
      <c r="X424" t="s">
        <v>1521</v>
      </c>
      <c r="Y424" s="1">
        <v>46041</v>
      </c>
      <c r="Z424" s="1">
        <v>46101</v>
      </c>
      <c r="AA424" s="2">
        <v>84055.74</v>
      </c>
      <c r="AB424" s="2">
        <v>71233.679999999993</v>
      </c>
      <c r="AC424" s="2">
        <v>12822.06</v>
      </c>
      <c r="AD424" s="2">
        <v>84055.74</v>
      </c>
      <c r="AE424" t="s">
        <v>1522</v>
      </c>
      <c r="AF424" t="s">
        <v>72</v>
      </c>
      <c r="AG424">
        <v>-23</v>
      </c>
      <c r="AH424" t="s">
        <v>117</v>
      </c>
      <c r="AI424" t="s">
        <v>74</v>
      </c>
      <c r="AJ424" t="s">
        <v>127</v>
      </c>
      <c r="AK424" t="s">
        <v>334</v>
      </c>
      <c r="AL424" t="s">
        <v>118</v>
      </c>
      <c r="AM424" t="s">
        <v>78</v>
      </c>
      <c r="AN424" t="s">
        <v>979</v>
      </c>
      <c r="AO424" t="s">
        <v>119</v>
      </c>
      <c r="AP424" t="s">
        <v>46</v>
      </c>
      <c r="AQ424" t="s">
        <v>335</v>
      </c>
      <c r="AR424" t="str">
        <f t="shared" si="12"/>
        <v>60602298.SPMINAM</v>
      </c>
      <c r="AS424">
        <f t="shared" si="13"/>
        <v>1341270.1200000001</v>
      </c>
      <c r="AT424" t="s">
        <v>82</v>
      </c>
    </row>
    <row r="425" spans="1:46" x14ac:dyDescent="0.35">
      <c r="A425" t="s">
        <v>52</v>
      </c>
      <c r="B425" t="s">
        <v>53</v>
      </c>
      <c r="C425" t="s">
        <v>54</v>
      </c>
      <c r="D425" t="s">
        <v>55</v>
      </c>
      <c r="E425" t="s">
        <v>56</v>
      </c>
      <c r="F425" t="s">
        <v>1462</v>
      </c>
      <c r="G425" t="s">
        <v>1475</v>
      </c>
      <c r="H425" t="s">
        <v>56</v>
      </c>
      <c r="I425" t="s">
        <v>1523</v>
      </c>
      <c r="J425" t="s">
        <v>61</v>
      </c>
      <c r="K425" t="s">
        <v>640</v>
      </c>
      <c r="L425" t="s">
        <v>1465</v>
      </c>
      <c r="M425" t="s">
        <v>56</v>
      </c>
      <c r="N425" t="s">
        <v>295</v>
      </c>
      <c r="O425" t="s">
        <v>1466</v>
      </c>
      <c r="P425" t="s">
        <v>1467</v>
      </c>
      <c r="Q425" t="s">
        <v>87</v>
      </c>
      <c r="R425" t="s">
        <v>248</v>
      </c>
      <c r="S425">
        <v>8000000</v>
      </c>
      <c r="T425">
        <v>-2236328.4900000002</v>
      </c>
      <c r="U425" t="s">
        <v>68</v>
      </c>
      <c r="V425" t="s">
        <v>1418</v>
      </c>
      <c r="W425" s="9">
        <v>60602298</v>
      </c>
      <c r="X425" t="s">
        <v>1524</v>
      </c>
      <c r="Y425" s="1">
        <v>46041</v>
      </c>
      <c r="Z425" s="1">
        <v>46101</v>
      </c>
      <c r="AA425" s="2">
        <v>1330.9</v>
      </c>
      <c r="AB425" s="2">
        <v>1127.8800000000001</v>
      </c>
      <c r="AC425" s="2">
        <v>203.02</v>
      </c>
      <c r="AD425" s="2">
        <v>1330.9</v>
      </c>
      <c r="AE425" t="s">
        <v>1525</v>
      </c>
      <c r="AF425" t="s">
        <v>72</v>
      </c>
      <c r="AG425">
        <v>-23</v>
      </c>
      <c r="AH425" t="s">
        <v>117</v>
      </c>
      <c r="AI425" t="s">
        <v>74</v>
      </c>
      <c r="AJ425" t="s">
        <v>75</v>
      </c>
      <c r="AK425" t="s">
        <v>76</v>
      </c>
      <c r="AL425" t="s">
        <v>118</v>
      </c>
      <c r="AM425" t="s">
        <v>78</v>
      </c>
      <c r="AN425" t="s">
        <v>979</v>
      </c>
      <c r="AO425" t="s">
        <v>119</v>
      </c>
      <c r="AP425" t="s">
        <v>46</v>
      </c>
      <c r="AQ425" t="s">
        <v>81</v>
      </c>
      <c r="AR425" t="str">
        <f t="shared" si="12"/>
        <v>60602298.STATAM</v>
      </c>
      <c r="AS425">
        <f t="shared" si="13"/>
        <v>8158303.190000006</v>
      </c>
      <c r="AT425" t="s">
        <v>82</v>
      </c>
    </row>
    <row r="426" spans="1:46" x14ac:dyDescent="0.35">
      <c r="A426" t="s">
        <v>52</v>
      </c>
      <c r="B426" t="s">
        <v>53</v>
      </c>
      <c r="C426" t="s">
        <v>54</v>
      </c>
      <c r="D426" t="s">
        <v>55</v>
      </c>
      <c r="E426" t="s">
        <v>56</v>
      </c>
      <c r="F426" t="s">
        <v>1462</v>
      </c>
      <c r="G426" t="s">
        <v>1526</v>
      </c>
      <c r="H426" t="s">
        <v>56</v>
      </c>
      <c r="I426" t="s">
        <v>1527</v>
      </c>
      <c r="J426" t="s">
        <v>61</v>
      </c>
      <c r="K426" t="s">
        <v>640</v>
      </c>
      <c r="L426" t="s">
        <v>1465</v>
      </c>
      <c r="M426" t="s">
        <v>56</v>
      </c>
      <c r="N426" t="s">
        <v>682</v>
      </c>
      <c r="O426" t="s">
        <v>1466</v>
      </c>
      <c r="P426" t="s">
        <v>1467</v>
      </c>
      <c r="Q426" t="s">
        <v>87</v>
      </c>
      <c r="R426" t="s">
        <v>248</v>
      </c>
      <c r="S426">
        <v>8000000</v>
      </c>
      <c r="T426">
        <v>-2236328.4900000002</v>
      </c>
      <c r="U426" t="s">
        <v>68</v>
      </c>
      <c r="V426" t="s">
        <v>1418</v>
      </c>
      <c r="W426" s="9">
        <v>60602298</v>
      </c>
      <c r="X426" t="s">
        <v>1528</v>
      </c>
      <c r="Y426" s="1">
        <v>46041</v>
      </c>
      <c r="Z426" s="1">
        <v>46101</v>
      </c>
      <c r="AA426" s="2">
        <v>248.51</v>
      </c>
      <c r="AB426" s="2">
        <v>210.6</v>
      </c>
      <c r="AC426" s="2">
        <v>37.909999999999997</v>
      </c>
      <c r="AD426" s="2">
        <v>248.51</v>
      </c>
      <c r="AE426" t="s">
        <v>1529</v>
      </c>
      <c r="AF426" t="s">
        <v>72</v>
      </c>
      <c r="AG426">
        <v>-23</v>
      </c>
      <c r="AH426" t="s">
        <v>117</v>
      </c>
      <c r="AI426" t="s">
        <v>74</v>
      </c>
      <c r="AJ426" t="s">
        <v>127</v>
      </c>
      <c r="AK426" t="s">
        <v>334</v>
      </c>
      <c r="AL426" t="s">
        <v>118</v>
      </c>
      <c r="AM426" t="s">
        <v>78</v>
      </c>
      <c r="AN426" t="s">
        <v>979</v>
      </c>
      <c r="AO426" t="s">
        <v>119</v>
      </c>
      <c r="AP426" t="s">
        <v>46</v>
      </c>
      <c r="AQ426" t="s">
        <v>335</v>
      </c>
      <c r="AR426" t="str">
        <f t="shared" si="12"/>
        <v>60602298.SPMINAM</v>
      </c>
      <c r="AS426">
        <f t="shared" si="13"/>
        <v>1341270.1200000001</v>
      </c>
      <c r="AT426" t="s">
        <v>82</v>
      </c>
    </row>
    <row r="427" spans="1:46" x14ac:dyDescent="0.35">
      <c r="A427" t="s">
        <v>52</v>
      </c>
      <c r="B427" t="s">
        <v>53</v>
      </c>
      <c r="C427" t="s">
        <v>54</v>
      </c>
      <c r="D427" t="s">
        <v>55</v>
      </c>
      <c r="E427" t="s">
        <v>56</v>
      </c>
      <c r="F427" t="s">
        <v>1462</v>
      </c>
      <c r="G427" t="s">
        <v>1530</v>
      </c>
      <c r="H427" t="s">
        <v>56</v>
      </c>
      <c r="I427" t="s">
        <v>1531</v>
      </c>
      <c r="J427" t="s">
        <v>61</v>
      </c>
      <c r="K427" t="s">
        <v>640</v>
      </c>
      <c r="L427" t="s">
        <v>1465</v>
      </c>
      <c r="M427" t="s">
        <v>56</v>
      </c>
      <c r="N427" t="s">
        <v>682</v>
      </c>
      <c r="O427" t="s">
        <v>1466</v>
      </c>
      <c r="P427" t="s">
        <v>1467</v>
      </c>
      <c r="Q427" t="s">
        <v>87</v>
      </c>
      <c r="R427" t="s">
        <v>248</v>
      </c>
      <c r="S427">
        <v>8000000</v>
      </c>
      <c r="T427">
        <v>-2236328.4900000002</v>
      </c>
      <c r="U427" t="s">
        <v>68</v>
      </c>
      <c r="V427" t="s">
        <v>1418</v>
      </c>
      <c r="W427" s="9">
        <v>60602298</v>
      </c>
      <c r="X427" t="s">
        <v>1532</v>
      </c>
      <c r="Y427" s="1">
        <v>46041</v>
      </c>
      <c r="Z427" s="1">
        <v>46101</v>
      </c>
      <c r="AA427" s="2">
        <v>34154.21</v>
      </c>
      <c r="AB427" s="2">
        <v>28944.240000000002</v>
      </c>
      <c r="AC427" s="2">
        <v>5209.97</v>
      </c>
      <c r="AD427" s="2">
        <v>34154.21</v>
      </c>
      <c r="AE427" t="s">
        <v>1533</v>
      </c>
      <c r="AF427" t="s">
        <v>72</v>
      </c>
      <c r="AG427">
        <v>-23</v>
      </c>
      <c r="AH427" t="s">
        <v>117</v>
      </c>
      <c r="AI427" t="s">
        <v>74</v>
      </c>
      <c r="AJ427" t="s">
        <v>127</v>
      </c>
      <c r="AK427" t="s">
        <v>334</v>
      </c>
      <c r="AL427" t="s">
        <v>118</v>
      </c>
      <c r="AM427" t="s">
        <v>78</v>
      </c>
      <c r="AN427" t="s">
        <v>979</v>
      </c>
      <c r="AO427" t="s">
        <v>119</v>
      </c>
      <c r="AP427" t="s">
        <v>46</v>
      </c>
      <c r="AQ427" t="s">
        <v>335</v>
      </c>
      <c r="AR427" t="str">
        <f t="shared" si="12"/>
        <v>60602298.SPMINAM</v>
      </c>
      <c r="AS427">
        <f t="shared" si="13"/>
        <v>1341270.1200000001</v>
      </c>
      <c r="AT427" t="s">
        <v>82</v>
      </c>
    </row>
    <row r="428" spans="1:46" x14ac:dyDescent="0.35">
      <c r="A428" t="s">
        <v>52</v>
      </c>
      <c r="B428" t="s">
        <v>53</v>
      </c>
      <c r="C428" t="s">
        <v>54</v>
      </c>
      <c r="D428" t="s">
        <v>55</v>
      </c>
      <c r="E428" t="s">
        <v>56</v>
      </c>
      <c r="F428" t="s">
        <v>1462</v>
      </c>
      <c r="G428" t="s">
        <v>1534</v>
      </c>
      <c r="H428" t="s">
        <v>56</v>
      </c>
      <c r="I428" t="s">
        <v>1535</v>
      </c>
      <c r="J428" t="s">
        <v>61</v>
      </c>
      <c r="K428" t="s">
        <v>640</v>
      </c>
      <c r="L428" t="s">
        <v>1465</v>
      </c>
      <c r="M428" t="s">
        <v>56</v>
      </c>
      <c r="N428" t="s">
        <v>252</v>
      </c>
      <c r="O428" t="s">
        <v>1466</v>
      </c>
      <c r="P428" t="s">
        <v>1467</v>
      </c>
      <c r="Q428" t="s">
        <v>87</v>
      </c>
      <c r="R428" t="s">
        <v>248</v>
      </c>
      <c r="S428">
        <v>8000000</v>
      </c>
      <c r="T428">
        <v>-2236328.4900000002</v>
      </c>
      <c r="U428" t="s">
        <v>68</v>
      </c>
      <c r="V428" t="s">
        <v>1418</v>
      </c>
      <c r="W428" s="9">
        <v>60602298</v>
      </c>
      <c r="X428" t="s">
        <v>1536</v>
      </c>
      <c r="Y428" s="1">
        <v>46041</v>
      </c>
      <c r="Z428" s="1">
        <v>46101</v>
      </c>
      <c r="AA428" s="2">
        <v>13907.24</v>
      </c>
      <c r="AB428" s="2">
        <v>11785.8</v>
      </c>
      <c r="AC428" s="2">
        <v>2121.44</v>
      </c>
      <c r="AD428" s="2">
        <v>13907.24</v>
      </c>
      <c r="AE428" t="s">
        <v>1537</v>
      </c>
      <c r="AF428" t="s">
        <v>72</v>
      </c>
      <c r="AG428">
        <v>-23</v>
      </c>
      <c r="AH428" t="s">
        <v>117</v>
      </c>
      <c r="AI428" t="s">
        <v>74</v>
      </c>
      <c r="AJ428" t="s">
        <v>75</v>
      </c>
      <c r="AK428" t="s">
        <v>76</v>
      </c>
      <c r="AL428" t="s">
        <v>118</v>
      </c>
      <c r="AM428" t="s">
        <v>78</v>
      </c>
      <c r="AN428" t="s">
        <v>979</v>
      </c>
      <c r="AO428" t="s">
        <v>119</v>
      </c>
      <c r="AP428" t="s">
        <v>46</v>
      </c>
      <c r="AQ428" t="s">
        <v>81</v>
      </c>
      <c r="AR428" t="str">
        <f t="shared" si="12"/>
        <v>60602298.STATAM</v>
      </c>
      <c r="AS428">
        <f t="shared" si="13"/>
        <v>8158303.190000006</v>
      </c>
      <c r="AT428" t="s">
        <v>82</v>
      </c>
    </row>
    <row r="429" spans="1:46" x14ac:dyDescent="0.35">
      <c r="A429" t="s">
        <v>52</v>
      </c>
      <c r="B429" t="s">
        <v>53</v>
      </c>
      <c r="C429" t="s">
        <v>54</v>
      </c>
      <c r="D429" t="s">
        <v>55</v>
      </c>
      <c r="E429" t="s">
        <v>56</v>
      </c>
      <c r="F429" t="s">
        <v>1462</v>
      </c>
      <c r="G429" t="s">
        <v>1534</v>
      </c>
      <c r="H429" t="s">
        <v>56</v>
      </c>
      <c r="I429" t="s">
        <v>1535</v>
      </c>
      <c r="J429" t="s">
        <v>61</v>
      </c>
      <c r="K429" t="s">
        <v>640</v>
      </c>
      <c r="L429" t="s">
        <v>1465</v>
      </c>
      <c r="M429" t="s">
        <v>56</v>
      </c>
      <c r="N429" t="s">
        <v>261</v>
      </c>
      <c r="O429" t="s">
        <v>1466</v>
      </c>
      <c r="P429" t="s">
        <v>1467</v>
      </c>
      <c r="Q429" t="s">
        <v>87</v>
      </c>
      <c r="R429" t="s">
        <v>248</v>
      </c>
      <c r="S429">
        <v>8000000</v>
      </c>
      <c r="T429">
        <v>-2236328.4900000002</v>
      </c>
      <c r="U429" t="s">
        <v>68</v>
      </c>
      <c r="V429" t="s">
        <v>1418</v>
      </c>
      <c r="W429" s="9">
        <v>60602298</v>
      </c>
      <c r="X429" t="s">
        <v>1536</v>
      </c>
      <c r="Y429" s="1">
        <v>46041</v>
      </c>
      <c r="Z429" s="1">
        <v>46101</v>
      </c>
      <c r="AA429" s="2">
        <v>6009.29</v>
      </c>
      <c r="AB429" s="2">
        <v>5092.62</v>
      </c>
      <c r="AC429" s="2">
        <v>916.67</v>
      </c>
      <c r="AD429" s="2">
        <v>6009.29</v>
      </c>
      <c r="AE429" t="s">
        <v>1538</v>
      </c>
      <c r="AF429" t="s">
        <v>72</v>
      </c>
      <c r="AG429">
        <v>-23</v>
      </c>
      <c r="AH429" t="s">
        <v>117</v>
      </c>
      <c r="AI429" t="s">
        <v>74</v>
      </c>
      <c r="AJ429" t="s">
        <v>75</v>
      </c>
      <c r="AK429" t="s">
        <v>76</v>
      </c>
      <c r="AL429" t="s">
        <v>118</v>
      </c>
      <c r="AM429" t="s">
        <v>78</v>
      </c>
      <c r="AN429" t="s">
        <v>979</v>
      </c>
      <c r="AO429" t="s">
        <v>119</v>
      </c>
      <c r="AP429" t="s">
        <v>46</v>
      </c>
      <c r="AQ429" t="s">
        <v>81</v>
      </c>
      <c r="AR429" t="str">
        <f t="shared" si="12"/>
        <v>60602298.STATAM</v>
      </c>
      <c r="AS429">
        <f t="shared" si="13"/>
        <v>8158303.190000006</v>
      </c>
      <c r="AT429" t="s">
        <v>82</v>
      </c>
    </row>
    <row r="430" spans="1:46" x14ac:dyDescent="0.35">
      <c r="A430" t="s">
        <v>52</v>
      </c>
      <c r="B430" t="s">
        <v>53</v>
      </c>
      <c r="C430" t="s">
        <v>54</v>
      </c>
      <c r="D430" t="s">
        <v>55</v>
      </c>
      <c r="E430" t="s">
        <v>56</v>
      </c>
      <c r="F430" t="s">
        <v>1462</v>
      </c>
      <c r="G430" t="s">
        <v>1539</v>
      </c>
      <c r="H430" t="s">
        <v>56</v>
      </c>
      <c r="I430" t="s">
        <v>1540</v>
      </c>
      <c r="J430" t="s">
        <v>61</v>
      </c>
      <c r="K430" t="s">
        <v>640</v>
      </c>
      <c r="L430" t="s">
        <v>1465</v>
      </c>
      <c r="M430" t="s">
        <v>56</v>
      </c>
      <c r="N430" t="s">
        <v>1135</v>
      </c>
      <c r="O430" t="s">
        <v>1466</v>
      </c>
      <c r="P430" t="s">
        <v>1467</v>
      </c>
      <c r="Q430" t="s">
        <v>87</v>
      </c>
      <c r="R430" t="s">
        <v>248</v>
      </c>
      <c r="S430">
        <v>8000000</v>
      </c>
      <c r="T430">
        <v>-2236328.4900000002</v>
      </c>
      <c r="U430" t="s">
        <v>68</v>
      </c>
      <c r="V430" t="s">
        <v>1418</v>
      </c>
      <c r="W430" s="9">
        <v>60602298</v>
      </c>
      <c r="X430" t="s">
        <v>1541</v>
      </c>
      <c r="Y430" s="1">
        <v>46041</v>
      </c>
      <c r="Z430" s="1">
        <v>46101</v>
      </c>
      <c r="AA430" s="2">
        <v>84055.74</v>
      </c>
      <c r="AB430" s="2">
        <v>71233.679999999993</v>
      </c>
      <c r="AC430" s="2">
        <v>12822.06</v>
      </c>
      <c r="AD430" s="2">
        <v>84055.74</v>
      </c>
      <c r="AE430" t="s">
        <v>1542</v>
      </c>
      <c r="AF430" t="s">
        <v>72</v>
      </c>
      <c r="AG430">
        <v>-23</v>
      </c>
      <c r="AH430" t="s">
        <v>117</v>
      </c>
      <c r="AI430" t="s">
        <v>74</v>
      </c>
      <c r="AJ430" t="s">
        <v>127</v>
      </c>
      <c r="AK430" t="s">
        <v>334</v>
      </c>
      <c r="AL430" t="s">
        <v>118</v>
      </c>
      <c r="AM430" t="s">
        <v>78</v>
      </c>
      <c r="AN430" t="s">
        <v>979</v>
      </c>
      <c r="AO430" t="s">
        <v>119</v>
      </c>
      <c r="AP430" t="s">
        <v>46</v>
      </c>
      <c r="AQ430" t="s">
        <v>335</v>
      </c>
      <c r="AR430" t="str">
        <f t="shared" si="12"/>
        <v>60602298.SPMINAM</v>
      </c>
      <c r="AS430">
        <f t="shared" si="13"/>
        <v>1341270.1200000001</v>
      </c>
      <c r="AT430" t="s">
        <v>82</v>
      </c>
    </row>
    <row r="431" spans="1:46" x14ac:dyDescent="0.35">
      <c r="A431" t="s">
        <v>52</v>
      </c>
      <c r="B431" t="s">
        <v>53</v>
      </c>
      <c r="C431" t="s">
        <v>54</v>
      </c>
      <c r="D431" t="s">
        <v>55</v>
      </c>
      <c r="E431" t="s">
        <v>56</v>
      </c>
      <c r="F431" t="s">
        <v>1462</v>
      </c>
      <c r="G431" t="s">
        <v>1543</v>
      </c>
      <c r="H431" t="s">
        <v>56</v>
      </c>
      <c r="I431" t="s">
        <v>1544</v>
      </c>
      <c r="J431" t="s">
        <v>61</v>
      </c>
      <c r="K431" t="s">
        <v>640</v>
      </c>
      <c r="L431" t="s">
        <v>1465</v>
      </c>
      <c r="M431" t="s">
        <v>56</v>
      </c>
      <c r="N431" t="s">
        <v>1384</v>
      </c>
      <c r="O431" t="s">
        <v>1466</v>
      </c>
      <c r="P431" t="s">
        <v>1467</v>
      </c>
      <c r="Q431" t="s">
        <v>87</v>
      </c>
      <c r="R431" t="s">
        <v>248</v>
      </c>
      <c r="S431">
        <v>8000000</v>
      </c>
      <c r="T431">
        <v>-2236328.4900000002</v>
      </c>
      <c r="U431" t="s">
        <v>68</v>
      </c>
      <c r="V431" t="s">
        <v>1418</v>
      </c>
      <c r="W431" s="9">
        <v>60602298</v>
      </c>
      <c r="X431" t="s">
        <v>1545</v>
      </c>
      <c r="Y431" s="1">
        <v>46041</v>
      </c>
      <c r="Z431" s="1">
        <v>46101</v>
      </c>
      <c r="AA431" s="2">
        <v>54583.4</v>
      </c>
      <c r="AB431" s="2">
        <v>46257.120000000003</v>
      </c>
      <c r="AC431" s="2">
        <v>8326.2800000000007</v>
      </c>
      <c r="AD431" s="2">
        <v>54583.4</v>
      </c>
      <c r="AE431" t="s">
        <v>1546</v>
      </c>
      <c r="AF431" t="s">
        <v>72</v>
      </c>
      <c r="AG431">
        <v>-23</v>
      </c>
      <c r="AH431" t="s">
        <v>117</v>
      </c>
      <c r="AI431" t="s">
        <v>74</v>
      </c>
      <c r="AJ431" t="s">
        <v>75</v>
      </c>
      <c r="AK431" t="s">
        <v>76</v>
      </c>
      <c r="AL431" t="s">
        <v>118</v>
      </c>
      <c r="AM431" t="s">
        <v>78</v>
      </c>
      <c r="AN431" t="s">
        <v>979</v>
      </c>
      <c r="AO431" t="s">
        <v>119</v>
      </c>
      <c r="AP431" t="s">
        <v>46</v>
      </c>
      <c r="AQ431" t="s">
        <v>81</v>
      </c>
      <c r="AR431" t="str">
        <f t="shared" si="12"/>
        <v>60602298.STATAM</v>
      </c>
      <c r="AS431">
        <f t="shared" si="13"/>
        <v>8158303.190000006</v>
      </c>
      <c r="AT431" t="s">
        <v>82</v>
      </c>
    </row>
    <row r="432" spans="1:46" x14ac:dyDescent="0.35">
      <c r="A432" t="s">
        <v>52</v>
      </c>
      <c r="B432" t="s">
        <v>53</v>
      </c>
      <c r="C432" t="s">
        <v>54</v>
      </c>
      <c r="D432" t="s">
        <v>55</v>
      </c>
      <c r="E432" t="s">
        <v>56</v>
      </c>
      <c r="F432" t="s">
        <v>1462</v>
      </c>
      <c r="G432" t="s">
        <v>1547</v>
      </c>
      <c r="H432" t="s">
        <v>56</v>
      </c>
      <c r="I432" t="s">
        <v>1548</v>
      </c>
      <c r="J432" t="s">
        <v>61</v>
      </c>
      <c r="K432" t="s">
        <v>640</v>
      </c>
      <c r="L432" t="s">
        <v>1465</v>
      </c>
      <c r="M432" t="s">
        <v>56</v>
      </c>
      <c r="N432" t="s">
        <v>682</v>
      </c>
      <c r="O432" t="s">
        <v>1466</v>
      </c>
      <c r="P432" t="s">
        <v>1467</v>
      </c>
      <c r="Q432" t="s">
        <v>87</v>
      </c>
      <c r="R432" t="s">
        <v>248</v>
      </c>
      <c r="S432">
        <v>8000000</v>
      </c>
      <c r="T432">
        <v>-2236328.4900000002</v>
      </c>
      <c r="U432" t="s">
        <v>68</v>
      </c>
      <c r="V432" t="s">
        <v>1418</v>
      </c>
      <c r="W432" s="9">
        <v>60602298</v>
      </c>
      <c r="X432" t="s">
        <v>1549</v>
      </c>
      <c r="Y432" s="1">
        <v>46041</v>
      </c>
      <c r="Z432" s="1">
        <v>46101</v>
      </c>
      <c r="AA432" s="2">
        <v>43781.59</v>
      </c>
      <c r="AB432" s="2">
        <v>37103.040000000001</v>
      </c>
      <c r="AC432" s="2">
        <v>6678.55</v>
      </c>
      <c r="AD432" s="2">
        <v>43781.59</v>
      </c>
      <c r="AE432" t="s">
        <v>1550</v>
      </c>
      <c r="AF432" t="s">
        <v>72</v>
      </c>
      <c r="AG432">
        <v>-23</v>
      </c>
      <c r="AH432" t="s">
        <v>117</v>
      </c>
      <c r="AI432" t="s">
        <v>74</v>
      </c>
      <c r="AJ432" t="s">
        <v>127</v>
      </c>
      <c r="AK432" t="s">
        <v>334</v>
      </c>
      <c r="AL432" t="s">
        <v>118</v>
      </c>
      <c r="AM432" t="s">
        <v>78</v>
      </c>
      <c r="AN432" t="s">
        <v>979</v>
      </c>
      <c r="AO432" t="s">
        <v>119</v>
      </c>
      <c r="AP432" t="s">
        <v>46</v>
      </c>
      <c r="AQ432" t="s">
        <v>335</v>
      </c>
      <c r="AR432" t="str">
        <f t="shared" si="12"/>
        <v>60602298.SPMINAM</v>
      </c>
      <c r="AS432">
        <f t="shared" si="13"/>
        <v>1341270.1200000001</v>
      </c>
      <c r="AT432" t="s">
        <v>82</v>
      </c>
    </row>
    <row r="433" spans="1:46" x14ac:dyDescent="0.35">
      <c r="A433" t="s">
        <v>52</v>
      </c>
      <c r="B433" t="s">
        <v>53</v>
      </c>
      <c r="C433" t="s">
        <v>54</v>
      </c>
      <c r="D433" t="s">
        <v>55</v>
      </c>
      <c r="E433" t="s">
        <v>56</v>
      </c>
      <c r="F433" t="s">
        <v>1462</v>
      </c>
      <c r="G433" t="s">
        <v>1551</v>
      </c>
      <c r="H433" t="s">
        <v>56</v>
      </c>
      <c r="I433" t="s">
        <v>1552</v>
      </c>
      <c r="J433" t="s">
        <v>61</v>
      </c>
      <c r="K433" t="s">
        <v>640</v>
      </c>
      <c r="L433" t="s">
        <v>1465</v>
      </c>
      <c r="M433" t="s">
        <v>56</v>
      </c>
      <c r="N433" t="s">
        <v>1384</v>
      </c>
      <c r="O433" t="s">
        <v>1466</v>
      </c>
      <c r="P433" t="s">
        <v>1467</v>
      </c>
      <c r="Q433" t="s">
        <v>87</v>
      </c>
      <c r="R433" t="s">
        <v>248</v>
      </c>
      <c r="S433">
        <v>8000000</v>
      </c>
      <c r="T433">
        <v>-2236328.4900000002</v>
      </c>
      <c r="U433" t="s">
        <v>68</v>
      </c>
      <c r="V433" t="s">
        <v>1418</v>
      </c>
      <c r="W433" s="9">
        <v>60602298</v>
      </c>
      <c r="X433" t="s">
        <v>1553</v>
      </c>
      <c r="Y433" s="1">
        <v>46041</v>
      </c>
      <c r="Z433" s="1">
        <v>46101</v>
      </c>
      <c r="AA433" s="2">
        <v>82127.289999999994</v>
      </c>
      <c r="AB433" s="2">
        <v>69599.399999999994</v>
      </c>
      <c r="AC433" s="2">
        <v>12527.89</v>
      </c>
      <c r="AD433" s="2">
        <v>82127.289999999994</v>
      </c>
      <c r="AE433" t="s">
        <v>1554</v>
      </c>
      <c r="AF433" t="s">
        <v>72</v>
      </c>
      <c r="AG433">
        <v>-23</v>
      </c>
      <c r="AH433" t="s">
        <v>117</v>
      </c>
      <c r="AI433" t="s">
        <v>74</v>
      </c>
      <c r="AJ433" t="s">
        <v>75</v>
      </c>
      <c r="AK433" t="s">
        <v>76</v>
      </c>
      <c r="AL433" t="s">
        <v>118</v>
      </c>
      <c r="AM433" t="s">
        <v>78</v>
      </c>
      <c r="AN433" t="s">
        <v>979</v>
      </c>
      <c r="AO433" t="s">
        <v>119</v>
      </c>
      <c r="AP433" t="s">
        <v>46</v>
      </c>
      <c r="AQ433" t="s">
        <v>81</v>
      </c>
      <c r="AR433" t="str">
        <f t="shared" si="12"/>
        <v>60602298.STATAM</v>
      </c>
      <c r="AS433">
        <f t="shared" si="13"/>
        <v>8158303.190000006</v>
      </c>
      <c r="AT433" t="s">
        <v>82</v>
      </c>
    </row>
    <row r="434" spans="1:46" x14ac:dyDescent="0.35">
      <c r="A434" t="s">
        <v>52</v>
      </c>
      <c r="B434" t="s">
        <v>53</v>
      </c>
      <c r="C434" t="s">
        <v>54</v>
      </c>
      <c r="D434" t="s">
        <v>55</v>
      </c>
      <c r="E434" t="s">
        <v>56</v>
      </c>
      <c r="F434" t="s">
        <v>1462</v>
      </c>
      <c r="G434" t="s">
        <v>1555</v>
      </c>
      <c r="H434" t="s">
        <v>56</v>
      </c>
      <c r="I434" t="s">
        <v>1556</v>
      </c>
      <c r="J434" t="s">
        <v>61</v>
      </c>
      <c r="K434" t="s">
        <v>640</v>
      </c>
      <c r="L434" t="s">
        <v>1465</v>
      </c>
      <c r="M434" t="s">
        <v>56</v>
      </c>
      <c r="N434" t="s">
        <v>1183</v>
      </c>
      <c r="O434" t="s">
        <v>1466</v>
      </c>
      <c r="P434" t="s">
        <v>1467</v>
      </c>
      <c r="Q434" t="s">
        <v>87</v>
      </c>
      <c r="R434" t="s">
        <v>248</v>
      </c>
      <c r="S434">
        <v>8000000</v>
      </c>
      <c r="T434">
        <v>-2236328.4900000002</v>
      </c>
      <c r="U434" t="s">
        <v>68</v>
      </c>
      <c r="V434" t="s">
        <v>1418</v>
      </c>
      <c r="W434" s="9">
        <v>60602298</v>
      </c>
      <c r="X434" t="s">
        <v>1557</v>
      </c>
      <c r="Y434" s="1">
        <v>46041</v>
      </c>
      <c r="Z434" s="1">
        <v>46101</v>
      </c>
      <c r="AA434" s="2">
        <v>147340.70000000001</v>
      </c>
      <c r="AB434" s="2">
        <v>124865</v>
      </c>
      <c r="AC434" s="2">
        <v>22475.7</v>
      </c>
      <c r="AD434" s="2">
        <v>147340.70000000001</v>
      </c>
      <c r="AE434" t="s">
        <v>1558</v>
      </c>
      <c r="AF434" t="s">
        <v>72</v>
      </c>
      <c r="AG434">
        <v>-23</v>
      </c>
      <c r="AH434" t="s">
        <v>117</v>
      </c>
      <c r="AI434" t="s">
        <v>74</v>
      </c>
      <c r="AJ434" t="s">
        <v>75</v>
      </c>
      <c r="AK434" t="s">
        <v>76</v>
      </c>
      <c r="AL434" t="s">
        <v>118</v>
      </c>
      <c r="AM434" t="s">
        <v>78</v>
      </c>
      <c r="AN434" t="s">
        <v>979</v>
      </c>
      <c r="AO434" t="s">
        <v>119</v>
      </c>
      <c r="AP434" t="s">
        <v>46</v>
      </c>
      <c r="AQ434" t="s">
        <v>81</v>
      </c>
      <c r="AR434" t="str">
        <f t="shared" si="12"/>
        <v>60602298.STATAM</v>
      </c>
      <c r="AS434">
        <f t="shared" si="13"/>
        <v>8158303.190000006</v>
      </c>
      <c r="AT434" t="s">
        <v>82</v>
      </c>
    </row>
    <row r="435" spans="1:46" x14ac:dyDescent="0.35">
      <c r="A435" t="s">
        <v>52</v>
      </c>
      <c r="B435" t="s">
        <v>53</v>
      </c>
      <c r="C435" t="s">
        <v>54</v>
      </c>
      <c r="D435" t="s">
        <v>55</v>
      </c>
      <c r="E435" t="s">
        <v>56</v>
      </c>
      <c r="F435" t="s">
        <v>1462</v>
      </c>
      <c r="G435" t="s">
        <v>1559</v>
      </c>
      <c r="H435" t="s">
        <v>56</v>
      </c>
      <c r="I435" t="s">
        <v>1560</v>
      </c>
      <c r="J435" t="s">
        <v>61</v>
      </c>
      <c r="K435" t="s">
        <v>640</v>
      </c>
      <c r="L435" t="s">
        <v>1465</v>
      </c>
      <c r="M435" t="s">
        <v>56</v>
      </c>
      <c r="N435" t="s">
        <v>682</v>
      </c>
      <c r="O435" t="s">
        <v>1466</v>
      </c>
      <c r="P435" t="s">
        <v>1467</v>
      </c>
      <c r="Q435" t="s">
        <v>87</v>
      </c>
      <c r="R435" t="s">
        <v>248</v>
      </c>
      <c r="S435">
        <v>8000000</v>
      </c>
      <c r="T435">
        <v>-2236328.4900000002</v>
      </c>
      <c r="U435" t="s">
        <v>68</v>
      </c>
      <c r="V435" t="s">
        <v>1418</v>
      </c>
      <c r="W435" s="9">
        <v>60602298</v>
      </c>
      <c r="X435" t="s">
        <v>1561</v>
      </c>
      <c r="Y435" s="1">
        <v>46041</v>
      </c>
      <c r="Z435" s="1">
        <v>46101</v>
      </c>
      <c r="AA435" s="2">
        <v>58432.51</v>
      </c>
      <c r="AB435" s="2">
        <v>49519.08</v>
      </c>
      <c r="AC435" s="2">
        <v>8913.43</v>
      </c>
      <c r="AD435" s="2">
        <v>58432.51</v>
      </c>
      <c r="AE435" t="s">
        <v>1562</v>
      </c>
      <c r="AF435" t="s">
        <v>72</v>
      </c>
      <c r="AG435">
        <v>-23</v>
      </c>
      <c r="AH435" t="s">
        <v>117</v>
      </c>
      <c r="AI435" t="s">
        <v>74</v>
      </c>
      <c r="AJ435" t="s">
        <v>127</v>
      </c>
      <c r="AK435" t="s">
        <v>334</v>
      </c>
      <c r="AL435" t="s">
        <v>118</v>
      </c>
      <c r="AM435" t="s">
        <v>78</v>
      </c>
      <c r="AN435" t="s">
        <v>979</v>
      </c>
      <c r="AO435" t="s">
        <v>119</v>
      </c>
      <c r="AP435" t="s">
        <v>46</v>
      </c>
      <c r="AQ435" t="s">
        <v>335</v>
      </c>
      <c r="AR435" t="str">
        <f t="shared" si="12"/>
        <v>60602298.SPMINAM</v>
      </c>
      <c r="AS435">
        <f t="shared" si="13"/>
        <v>1341270.1200000001</v>
      </c>
      <c r="AT435" t="s">
        <v>82</v>
      </c>
    </row>
    <row r="436" spans="1:46" x14ac:dyDescent="0.35">
      <c r="A436" t="s">
        <v>52</v>
      </c>
      <c r="B436" t="s">
        <v>53</v>
      </c>
      <c r="C436" t="s">
        <v>54</v>
      </c>
      <c r="D436" t="s">
        <v>55</v>
      </c>
      <c r="E436" t="s">
        <v>56</v>
      </c>
      <c r="F436" t="s">
        <v>1462</v>
      </c>
      <c r="G436" t="s">
        <v>1563</v>
      </c>
      <c r="H436" t="s">
        <v>56</v>
      </c>
      <c r="I436" t="s">
        <v>1564</v>
      </c>
      <c r="J436" t="s">
        <v>476</v>
      </c>
      <c r="K436" t="s">
        <v>640</v>
      </c>
      <c r="L436" t="s">
        <v>1465</v>
      </c>
      <c r="M436" t="s">
        <v>56</v>
      </c>
      <c r="N436" t="s">
        <v>263</v>
      </c>
      <c r="O436" t="s">
        <v>1466</v>
      </c>
      <c r="P436" t="s">
        <v>1467</v>
      </c>
      <c r="Q436" t="s">
        <v>1486</v>
      </c>
      <c r="R436" t="s">
        <v>248</v>
      </c>
      <c r="S436">
        <v>8000000</v>
      </c>
      <c r="T436">
        <v>-2236328.4900000002</v>
      </c>
      <c r="U436" t="s">
        <v>68</v>
      </c>
      <c r="V436" t="s">
        <v>1418</v>
      </c>
      <c r="W436" s="9">
        <v>60602298</v>
      </c>
      <c r="X436" t="s">
        <v>1565</v>
      </c>
      <c r="Y436" s="1">
        <v>46041</v>
      </c>
      <c r="Z436" s="1">
        <v>46101</v>
      </c>
      <c r="AA436" s="2">
        <v>126252.92</v>
      </c>
      <c r="AB436" s="2">
        <v>106994</v>
      </c>
      <c r="AC436" s="2">
        <v>19258.919999999998</v>
      </c>
      <c r="AD436" s="2">
        <v>126252.92</v>
      </c>
      <c r="AE436" t="s">
        <v>1566</v>
      </c>
      <c r="AF436" t="s">
        <v>72</v>
      </c>
      <c r="AG436">
        <v>-23</v>
      </c>
      <c r="AH436" t="s">
        <v>117</v>
      </c>
      <c r="AI436" t="s">
        <v>74</v>
      </c>
      <c r="AJ436" t="s">
        <v>75</v>
      </c>
      <c r="AK436" t="s">
        <v>76</v>
      </c>
      <c r="AL436" t="s">
        <v>118</v>
      </c>
      <c r="AM436" t="s">
        <v>78</v>
      </c>
      <c r="AN436" t="s">
        <v>979</v>
      </c>
      <c r="AO436" t="s">
        <v>119</v>
      </c>
      <c r="AP436" t="s">
        <v>46</v>
      </c>
      <c r="AQ436" t="s">
        <v>81</v>
      </c>
      <c r="AR436" t="str">
        <f t="shared" si="12"/>
        <v>60602298.STATAM</v>
      </c>
      <c r="AS436">
        <f t="shared" si="13"/>
        <v>8158303.190000006</v>
      </c>
      <c r="AT436" t="s">
        <v>82</v>
      </c>
    </row>
    <row r="437" spans="1:46" x14ac:dyDescent="0.35">
      <c r="A437" t="s">
        <v>52</v>
      </c>
      <c r="B437" t="s">
        <v>53</v>
      </c>
      <c r="C437" t="s">
        <v>54</v>
      </c>
      <c r="D437" t="s">
        <v>55</v>
      </c>
      <c r="E437" t="s">
        <v>56</v>
      </c>
      <c r="F437" t="s">
        <v>1462</v>
      </c>
      <c r="G437" t="s">
        <v>1567</v>
      </c>
      <c r="H437" t="s">
        <v>56</v>
      </c>
      <c r="I437" t="s">
        <v>1568</v>
      </c>
      <c r="J437" t="s">
        <v>61</v>
      </c>
      <c r="K437" t="s">
        <v>640</v>
      </c>
      <c r="L437" t="s">
        <v>1465</v>
      </c>
      <c r="M437" t="s">
        <v>56</v>
      </c>
      <c r="N437" t="s">
        <v>295</v>
      </c>
      <c r="O437" t="s">
        <v>1466</v>
      </c>
      <c r="P437" t="s">
        <v>1467</v>
      </c>
      <c r="Q437" t="s">
        <v>87</v>
      </c>
      <c r="R437" t="s">
        <v>248</v>
      </c>
      <c r="S437">
        <v>8000000</v>
      </c>
      <c r="T437">
        <v>-2236328.4900000002</v>
      </c>
      <c r="U437" t="s">
        <v>68</v>
      </c>
      <c r="V437" t="s">
        <v>1418</v>
      </c>
      <c r="W437" s="9">
        <v>60602298</v>
      </c>
      <c r="X437" t="s">
        <v>1569</v>
      </c>
      <c r="Y437" s="1">
        <v>46041</v>
      </c>
      <c r="Z437" s="1">
        <v>46101</v>
      </c>
      <c r="AA437" s="2">
        <v>24954.81</v>
      </c>
      <c r="AB437" s="2">
        <v>21148.14</v>
      </c>
      <c r="AC437" s="2">
        <v>3806.67</v>
      </c>
      <c r="AD437" s="2">
        <v>24954.81</v>
      </c>
      <c r="AE437" t="s">
        <v>1570</v>
      </c>
      <c r="AF437" t="s">
        <v>72</v>
      </c>
      <c r="AG437">
        <v>-23</v>
      </c>
      <c r="AH437" t="s">
        <v>117</v>
      </c>
      <c r="AI437" t="s">
        <v>74</v>
      </c>
      <c r="AJ437" t="s">
        <v>75</v>
      </c>
      <c r="AK437" t="s">
        <v>76</v>
      </c>
      <c r="AL437" t="s">
        <v>118</v>
      </c>
      <c r="AM437" t="s">
        <v>78</v>
      </c>
      <c r="AN437" t="s">
        <v>979</v>
      </c>
      <c r="AO437" t="s">
        <v>119</v>
      </c>
      <c r="AP437" t="s">
        <v>46</v>
      </c>
      <c r="AQ437" t="s">
        <v>81</v>
      </c>
      <c r="AR437" t="str">
        <f t="shared" si="12"/>
        <v>60602298.STATAM</v>
      </c>
      <c r="AS437">
        <f t="shared" si="13"/>
        <v>8158303.190000006</v>
      </c>
      <c r="AT437" t="s">
        <v>82</v>
      </c>
    </row>
    <row r="438" spans="1:46" x14ac:dyDescent="0.35">
      <c r="A438" t="s">
        <v>52</v>
      </c>
      <c r="B438" t="s">
        <v>53</v>
      </c>
      <c r="C438" t="s">
        <v>54</v>
      </c>
      <c r="D438" t="s">
        <v>55</v>
      </c>
      <c r="E438" t="s">
        <v>56</v>
      </c>
      <c r="F438" t="s">
        <v>1462</v>
      </c>
      <c r="G438" t="s">
        <v>1567</v>
      </c>
      <c r="H438" t="s">
        <v>56</v>
      </c>
      <c r="I438" t="s">
        <v>1568</v>
      </c>
      <c r="J438" t="s">
        <v>61</v>
      </c>
      <c r="K438" t="s">
        <v>640</v>
      </c>
      <c r="L438" t="s">
        <v>1465</v>
      </c>
      <c r="M438" t="s">
        <v>56</v>
      </c>
      <c r="N438" t="s">
        <v>252</v>
      </c>
      <c r="O438" t="s">
        <v>1466</v>
      </c>
      <c r="P438" t="s">
        <v>1467</v>
      </c>
      <c r="Q438" t="s">
        <v>87</v>
      </c>
      <c r="R438" t="s">
        <v>248</v>
      </c>
      <c r="S438">
        <v>8000000</v>
      </c>
      <c r="T438">
        <v>-2236328.4900000002</v>
      </c>
      <c r="U438" t="s">
        <v>68</v>
      </c>
      <c r="V438" t="s">
        <v>1418</v>
      </c>
      <c r="W438" s="9">
        <v>60602298</v>
      </c>
      <c r="X438" t="s">
        <v>1569</v>
      </c>
      <c r="Y438" s="1">
        <v>46041</v>
      </c>
      <c r="Z438" s="1">
        <v>46101</v>
      </c>
      <c r="AA438" s="2">
        <v>2391.1999999999998</v>
      </c>
      <c r="AB438" s="2">
        <v>2026.44</v>
      </c>
      <c r="AC438" s="2">
        <v>364.76</v>
      </c>
      <c r="AD438" s="2">
        <v>2391.1999999999998</v>
      </c>
      <c r="AE438" t="s">
        <v>1571</v>
      </c>
      <c r="AF438" t="s">
        <v>72</v>
      </c>
      <c r="AG438">
        <v>-23</v>
      </c>
      <c r="AH438" t="s">
        <v>117</v>
      </c>
      <c r="AI438" t="s">
        <v>74</v>
      </c>
      <c r="AJ438" t="s">
        <v>75</v>
      </c>
      <c r="AK438" t="s">
        <v>76</v>
      </c>
      <c r="AL438" t="s">
        <v>118</v>
      </c>
      <c r="AM438" t="s">
        <v>78</v>
      </c>
      <c r="AN438" t="s">
        <v>979</v>
      </c>
      <c r="AO438" t="s">
        <v>119</v>
      </c>
      <c r="AP438" t="s">
        <v>46</v>
      </c>
      <c r="AQ438" t="s">
        <v>81</v>
      </c>
      <c r="AR438" t="str">
        <f t="shared" si="12"/>
        <v>60602298.STATAM</v>
      </c>
      <c r="AS438">
        <f t="shared" si="13"/>
        <v>8158303.190000006</v>
      </c>
      <c r="AT438" t="s">
        <v>82</v>
      </c>
    </row>
    <row r="439" spans="1:46" x14ac:dyDescent="0.35">
      <c r="A439" t="s">
        <v>52</v>
      </c>
      <c r="B439" t="s">
        <v>53</v>
      </c>
      <c r="C439" t="s">
        <v>54</v>
      </c>
      <c r="D439" t="s">
        <v>55</v>
      </c>
      <c r="E439" t="s">
        <v>56</v>
      </c>
      <c r="F439" t="s">
        <v>1462</v>
      </c>
      <c r="G439" t="s">
        <v>1567</v>
      </c>
      <c r="H439" t="s">
        <v>56</v>
      </c>
      <c r="I439" t="s">
        <v>1568</v>
      </c>
      <c r="J439" t="s">
        <v>61</v>
      </c>
      <c r="K439" t="s">
        <v>640</v>
      </c>
      <c r="L439" t="s">
        <v>1465</v>
      </c>
      <c r="M439" t="s">
        <v>56</v>
      </c>
      <c r="N439" t="s">
        <v>682</v>
      </c>
      <c r="O439" t="s">
        <v>1466</v>
      </c>
      <c r="P439" t="s">
        <v>1467</v>
      </c>
      <c r="Q439" t="s">
        <v>87</v>
      </c>
      <c r="R439" t="s">
        <v>248</v>
      </c>
      <c r="S439">
        <v>8000000</v>
      </c>
      <c r="T439">
        <v>-2236328.4900000002</v>
      </c>
      <c r="U439" t="s">
        <v>68</v>
      </c>
      <c r="V439" t="s">
        <v>1418</v>
      </c>
      <c r="W439" s="9">
        <v>60602298</v>
      </c>
      <c r="X439" t="s">
        <v>1569</v>
      </c>
      <c r="Y439" s="1">
        <v>46041</v>
      </c>
      <c r="Z439" s="1">
        <v>46101</v>
      </c>
      <c r="AA439" s="2">
        <v>10971.17</v>
      </c>
      <c r="AB439" s="2">
        <v>9297.6</v>
      </c>
      <c r="AC439" s="2">
        <v>1673.57</v>
      </c>
      <c r="AD439" s="2">
        <v>10971.17</v>
      </c>
      <c r="AE439" t="s">
        <v>1572</v>
      </c>
      <c r="AF439" t="s">
        <v>72</v>
      </c>
      <c r="AG439">
        <v>-23</v>
      </c>
      <c r="AH439" t="s">
        <v>117</v>
      </c>
      <c r="AI439" t="s">
        <v>74</v>
      </c>
      <c r="AJ439" t="s">
        <v>127</v>
      </c>
      <c r="AK439" t="s">
        <v>334</v>
      </c>
      <c r="AL439" t="s">
        <v>118</v>
      </c>
      <c r="AM439" t="s">
        <v>78</v>
      </c>
      <c r="AN439" t="s">
        <v>979</v>
      </c>
      <c r="AO439" t="s">
        <v>119</v>
      </c>
      <c r="AP439" t="s">
        <v>46</v>
      </c>
      <c r="AQ439" t="s">
        <v>335</v>
      </c>
      <c r="AR439" t="str">
        <f t="shared" si="12"/>
        <v>60602298.SPMINAM</v>
      </c>
      <c r="AS439">
        <f t="shared" si="13"/>
        <v>1341270.1200000001</v>
      </c>
      <c r="AT439" t="s">
        <v>82</v>
      </c>
    </row>
    <row r="440" spans="1:46" x14ac:dyDescent="0.35">
      <c r="A440" t="s">
        <v>52</v>
      </c>
      <c r="B440" t="s">
        <v>53</v>
      </c>
      <c r="C440" t="s">
        <v>54</v>
      </c>
      <c r="D440" t="s">
        <v>55</v>
      </c>
      <c r="E440" t="s">
        <v>56</v>
      </c>
      <c r="F440" t="s">
        <v>1462</v>
      </c>
      <c r="G440" t="s">
        <v>1567</v>
      </c>
      <c r="H440" t="s">
        <v>56</v>
      </c>
      <c r="I440" t="s">
        <v>1568</v>
      </c>
      <c r="J440" t="s">
        <v>61</v>
      </c>
      <c r="K440" t="s">
        <v>640</v>
      </c>
      <c r="L440" t="s">
        <v>1465</v>
      </c>
      <c r="M440" t="s">
        <v>56</v>
      </c>
      <c r="N440" t="s">
        <v>261</v>
      </c>
      <c r="O440" t="s">
        <v>1466</v>
      </c>
      <c r="P440" t="s">
        <v>1467</v>
      </c>
      <c r="Q440" t="s">
        <v>87</v>
      </c>
      <c r="R440" t="s">
        <v>248</v>
      </c>
      <c r="S440">
        <v>8000000</v>
      </c>
      <c r="T440">
        <v>-2236328.4900000002</v>
      </c>
      <c r="U440" t="s">
        <v>68</v>
      </c>
      <c r="V440" t="s">
        <v>1418</v>
      </c>
      <c r="W440" s="9">
        <v>60602298</v>
      </c>
      <c r="X440" t="s">
        <v>1569</v>
      </c>
      <c r="Y440" s="1">
        <v>46041</v>
      </c>
      <c r="Z440" s="1">
        <v>46101</v>
      </c>
      <c r="AA440" s="2">
        <v>9965.17</v>
      </c>
      <c r="AB440" s="2">
        <v>8445.06</v>
      </c>
      <c r="AC440" s="2">
        <v>1520.11</v>
      </c>
      <c r="AD440" s="2">
        <v>9965.17</v>
      </c>
      <c r="AE440" t="s">
        <v>1573</v>
      </c>
      <c r="AF440" t="s">
        <v>72</v>
      </c>
      <c r="AG440">
        <v>-23</v>
      </c>
      <c r="AH440" t="s">
        <v>117</v>
      </c>
      <c r="AI440" t="s">
        <v>74</v>
      </c>
      <c r="AJ440" t="s">
        <v>75</v>
      </c>
      <c r="AK440" t="s">
        <v>76</v>
      </c>
      <c r="AL440" t="s">
        <v>118</v>
      </c>
      <c r="AM440" t="s">
        <v>78</v>
      </c>
      <c r="AN440" t="s">
        <v>979</v>
      </c>
      <c r="AO440" t="s">
        <v>119</v>
      </c>
      <c r="AP440" t="s">
        <v>46</v>
      </c>
      <c r="AQ440" t="s">
        <v>81</v>
      </c>
      <c r="AR440" t="str">
        <f t="shared" si="12"/>
        <v>60602298.STATAM</v>
      </c>
      <c r="AS440">
        <f t="shared" si="13"/>
        <v>8158303.190000006</v>
      </c>
      <c r="AT440" t="s">
        <v>82</v>
      </c>
    </row>
    <row r="441" spans="1:46" x14ac:dyDescent="0.35">
      <c r="A441" t="s">
        <v>52</v>
      </c>
      <c r="B441" t="s">
        <v>53</v>
      </c>
      <c r="C441" t="s">
        <v>54</v>
      </c>
      <c r="D441" t="s">
        <v>55</v>
      </c>
      <c r="E441" t="s">
        <v>56</v>
      </c>
      <c r="F441" t="s">
        <v>1462</v>
      </c>
      <c r="G441" t="s">
        <v>1574</v>
      </c>
      <c r="H441" t="s">
        <v>56</v>
      </c>
      <c r="I441" t="s">
        <v>1575</v>
      </c>
      <c r="J441" t="s">
        <v>61</v>
      </c>
      <c r="K441" t="s">
        <v>640</v>
      </c>
      <c r="L441" t="s">
        <v>1465</v>
      </c>
      <c r="M441" t="s">
        <v>56</v>
      </c>
      <c r="N441" t="s">
        <v>295</v>
      </c>
      <c r="O441" t="s">
        <v>1466</v>
      </c>
      <c r="P441" t="s">
        <v>1467</v>
      </c>
      <c r="Q441" t="s">
        <v>87</v>
      </c>
      <c r="R441" t="s">
        <v>248</v>
      </c>
      <c r="S441">
        <v>8000000</v>
      </c>
      <c r="T441">
        <v>-2236328.4900000002</v>
      </c>
      <c r="U441" t="s">
        <v>68</v>
      </c>
      <c r="V441" t="s">
        <v>1418</v>
      </c>
      <c r="W441" s="9">
        <v>60602298</v>
      </c>
      <c r="X441" t="s">
        <v>1576</v>
      </c>
      <c r="Y441" s="1">
        <v>46041</v>
      </c>
      <c r="Z441" s="1">
        <v>46101</v>
      </c>
      <c r="AA441" s="2">
        <v>24954.81</v>
      </c>
      <c r="AB441" s="2">
        <v>21148.14</v>
      </c>
      <c r="AC441" s="2">
        <v>3806.67</v>
      </c>
      <c r="AD441" s="2">
        <v>24954.81</v>
      </c>
      <c r="AE441" t="s">
        <v>1577</v>
      </c>
      <c r="AF441" t="s">
        <v>72</v>
      </c>
      <c r="AG441">
        <v>-23</v>
      </c>
      <c r="AH441" t="s">
        <v>117</v>
      </c>
      <c r="AI441" t="s">
        <v>74</v>
      </c>
      <c r="AJ441" t="s">
        <v>75</v>
      </c>
      <c r="AK441" t="s">
        <v>76</v>
      </c>
      <c r="AL441" t="s">
        <v>118</v>
      </c>
      <c r="AM441" t="s">
        <v>78</v>
      </c>
      <c r="AN441" t="s">
        <v>979</v>
      </c>
      <c r="AO441" t="s">
        <v>119</v>
      </c>
      <c r="AP441" t="s">
        <v>46</v>
      </c>
      <c r="AQ441" t="s">
        <v>81</v>
      </c>
      <c r="AR441" t="str">
        <f t="shared" si="12"/>
        <v>60602298.STATAM</v>
      </c>
      <c r="AS441">
        <f t="shared" si="13"/>
        <v>8158303.190000006</v>
      </c>
      <c r="AT441" t="s">
        <v>82</v>
      </c>
    </row>
    <row r="442" spans="1:46" x14ac:dyDescent="0.35">
      <c r="A442" t="s">
        <v>52</v>
      </c>
      <c r="B442" t="s">
        <v>53</v>
      </c>
      <c r="C442" t="s">
        <v>54</v>
      </c>
      <c r="D442" t="s">
        <v>55</v>
      </c>
      <c r="E442" t="s">
        <v>56</v>
      </c>
      <c r="F442" t="s">
        <v>1462</v>
      </c>
      <c r="G442" t="s">
        <v>1574</v>
      </c>
      <c r="H442" t="s">
        <v>56</v>
      </c>
      <c r="I442" t="s">
        <v>1575</v>
      </c>
      <c r="J442" t="s">
        <v>61</v>
      </c>
      <c r="K442" t="s">
        <v>640</v>
      </c>
      <c r="L442" t="s">
        <v>1465</v>
      </c>
      <c r="M442" t="s">
        <v>56</v>
      </c>
      <c r="N442" t="s">
        <v>252</v>
      </c>
      <c r="O442" t="s">
        <v>1466</v>
      </c>
      <c r="P442" t="s">
        <v>1467</v>
      </c>
      <c r="Q442" t="s">
        <v>87</v>
      </c>
      <c r="R442" t="s">
        <v>248</v>
      </c>
      <c r="S442">
        <v>8000000</v>
      </c>
      <c r="T442">
        <v>-2236328.4900000002</v>
      </c>
      <c r="U442" t="s">
        <v>68</v>
      </c>
      <c r="V442" t="s">
        <v>1418</v>
      </c>
      <c r="W442" s="9">
        <v>60602298</v>
      </c>
      <c r="X442" t="s">
        <v>1576</v>
      </c>
      <c r="Y442" s="1">
        <v>46041</v>
      </c>
      <c r="Z442" s="1">
        <v>46101</v>
      </c>
      <c r="AA442" s="2">
        <v>30024.37</v>
      </c>
      <c r="AB442" s="2">
        <v>25444.38</v>
      </c>
      <c r="AC442" s="2">
        <v>4579.99</v>
      </c>
      <c r="AD442" s="2">
        <v>30024.37</v>
      </c>
      <c r="AE442" t="s">
        <v>1578</v>
      </c>
      <c r="AF442" t="s">
        <v>72</v>
      </c>
      <c r="AG442">
        <v>-23</v>
      </c>
      <c r="AH442" t="s">
        <v>117</v>
      </c>
      <c r="AI442" t="s">
        <v>74</v>
      </c>
      <c r="AJ442" t="s">
        <v>75</v>
      </c>
      <c r="AK442" t="s">
        <v>76</v>
      </c>
      <c r="AL442" t="s">
        <v>118</v>
      </c>
      <c r="AM442" t="s">
        <v>78</v>
      </c>
      <c r="AN442" t="s">
        <v>979</v>
      </c>
      <c r="AO442" t="s">
        <v>119</v>
      </c>
      <c r="AP442" t="s">
        <v>46</v>
      </c>
      <c r="AQ442" t="s">
        <v>81</v>
      </c>
      <c r="AR442" t="str">
        <f t="shared" si="12"/>
        <v>60602298.STATAM</v>
      </c>
      <c r="AS442">
        <f t="shared" si="13"/>
        <v>8158303.190000006</v>
      </c>
      <c r="AT442" t="s">
        <v>82</v>
      </c>
    </row>
    <row r="443" spans="1:46" x14ac:dyDescent="0.35">
      <c r="A443" t="s">
        <v>52</v>
      </c>
      <c r="B443" t="s">
        <v>53</v>
      </c>
      <c r="C443" t="s">
        <v>54</v>
      </c>
      <c r="D443" t="s">
        <v>55</v>
      </c>
      <c r="E443" t="s">
        <v>56</v>
      </c>
      <c r="F443" t="s">
        <v>1462</v>
      </c>
      <c r="G443" t="s">
        <v>1579</v>
      </c>
      <c r="H443" t="s">
        <v>56</v>
      </c>
      <c r="I443" t="s">
        <v>1580</v>
      </c>
      <c r="J443" t="s">
        <v>61</v>
      </c>
      <c r="K443" t="s">
        <v>640</v>
      </c>
      <c r="L443" t="s">
        <v>1465</v>
      </c>
      <c r="M443" t="s">
        <v>56</v>
      </c>
      <c r="N443" t="s">
        <v>295</v>
      </c>
      <c r="O443" t="s">
        <v>1466</v>
      </c>
      <c r="P443" t="s">
        <v>1467</v>
      </c>
      <c r="Q443" t="s">
        <v>87</v>
      </c>
      <c r="R443" t="s">
        <v>248</v>
      </c>
      <c r="S443">
        <v>8000000</v>
      </c>
      <c r="T443">
        <v>-2236328.4900000002</v>
      </c>
      <c r="U443" t="s">
        <v>68</v>
      </c>
      <c r="V443" t="s">
        <v>1418</v>
      </c>
      <c r="W443" s="9">
        <v>60602298</v>
      </c>
      <c r="X443" t="s">
        <v>1581</v>
      </c>
      <c r="Y443" s="1">
        <v>46049</v>
      </c>
      <c r="Z443" s="1">
        <v>46109</v>
      </c>
      <c r="AA443" s="2">
        <v>24954.81</v>
      </c>
      <c r="AB443" s="2">
        <v>21148.14</v>
      </c>
      <c r="AC443" s="2">
        <v>3806.67</v>
      </c>
      <c r="AD443" s="2">
        <v>24954.81</v>
      </c>
      <c r="AE443" t="s">
        <v>1582</v>
      </c>
      <c r="AF443" t="s">
        <v>72</v>
      </c>
      <c r="AG443">
        <v>-31</v>
      </c>
      <c r="AH443" t="s">
        <v>117</v>
      </c>
      <c r="AI443" t="s">
        <v>74</v>
      </c>
      <c r="AJ443" t="s">
        <v>75</v>
      </c>
      <c r="AK443" t="s">
        <v>76</v>
      </c>
      <c r="AL443" t="s">
        <v>118</v>
      </c>
      <c r="AM443" t="s">
        <v>78</v>
      </c>
      <c r="AN443" t="s">
        <v>979</v>
      </c>
      <c r="AO443" t="s">
        <v>119</v>
      </c>
      <c r="AP443" t="s">
        <v>46</v>
      </c>
      <c r="AQ443" t="s">
        <v>81</v>
      </c>
      <c r="AR443" t="str">
        <f t="shared" si="12"/>
        <v>60602298.STATAM</v>
      </c>
      <c r="AS443">
        <f t="shared" si="13"/>
        <v>8158303.190000006</v>
      </c>
      <c r="AT443" t="s">
        <v>82</v>
      </c>
    </row>
    <row r="444" spans="1:46" x14ac:dyDescent="0.35">
      <c r="A444" t="s">
        <v>52</v>
      </c>
      <c r="B444" t="s">
        <v>53</v>
      </c>
      <c r="C444" t="s">
        <v>54</v>
      </c>
      <c r="D444" t="s">
        <v>55</v>
      </c>
      <c r="E444" t="s">
        <v>56</v>
      </c>
      <c r="F444" t="s">
        <v>1462</v>
      </c>
      <c r="G444" t="s">
        <v>1579</v>
      </c>
      <c r="H444" t="s">
        <v>56</v>
      </c>
      <c r="I444" t="s">
        <v>1580</v>
      </c>
      <c r="J444" t="s">
        <v>61</v>
      </c>
      <c r="K444" t="s">
        <v>640</v>
      </c>
      <c r="L444" t="s">
        <v>1465</v>
      </c>
      <c r="M444" t="s">
        <v>56</v>
      </c>
      <c r="N444" t="s">
        <v>261</v>
      </c>
      <c r="O444" t="s">
        <v>1466</v>
      </c>
      <c r="P444" t="s">
        <v>1467</v>
      </c>
      <c r="Q444" t="s">
        <v>87</v>
      </c>
      <c r="R444" t="s">
        <v>248</v>
      </c>
      <c r="S444">
        <v>8000000</v>
      </c>
      <c r="T444">
        <v>-2236328.4900000002</v>
      </c>
      <c r="U444" t="s">
        <v>68</v>
      </c>
      <c r="V444" t="s">
        <v>1418</v>
      </c>
      <c r="W444" s="9">
        <v>60602298</v>
      </c>
      <c r="X444" t="s">
        <v>1581</v>
      </c>
      <c r="Y444" s="1">
        <v>46049</v>
      </c>
      <c r="Z444" s="1">
        <v>46109</v>
      </c>
      <c r="AA444" s="2">
        <v>10908.58</v>
      </c>
      <c r="AB444" s="2">
        <v>9244.56</v>
      </c>
      <c r="AC444" s="2">
        <v>1664.02</v>
      </c>
      <c r="AD444" s="2">
        <v>10908.58</v>
      </c>
      <c r="AE444" t="s">
        <v>1583</v>
      </c>
      <c r="AF444" t="s">
        <v>72</v>
      </c>
      <c r="AG444">
        <v>-31</v>
      </c>
      <c r="AH444" t="s">
        <v>117</v>
      </c>
      <c r="AI444" t="s">
        <v>74</v>
      </c>
      <c r="AJ444" t="s">
        <v>75</v>
      </c>
      <c r="AK444" t="s">
        <v>76</v>
      </c>
      <c r="AL444" t="s">
        <v>118</v>
      </c>
      <c r="AM444" t="s">
        <v>78</v>
      </c>
      <c r="AN444" t="s">
        <v>979</v>
      </c>
      <c r="AO444" t="s">
        <v>119</v>
      </c>
      <c r="AP444" t="s">
        <v>46</v>
      </c>
      <c r="AQ444" t="s">
        <v>81</v>
      </c>
      <c r="AR444" t="str">
        <f t="shared" si="12"/>
        <v>60602298.STATAM</v>
      </c>
      <c r="AS444">
        <f t="shared" si="13"/>
        <v>8158303.190000006</v>
      </c>
      <c r="AT444" t="s">
        <v>82</v>
      </c>
    </row>
    <row r="445" spans="1:46" x14ac:dyDescent="0.35">
      <c r="A445" t="s">
        <v>52</v>
      </c>
      <c r="B445" t="s">
        <v>53</v>
      </c>
      <c r="C445" t="s">
        <v>54</v>
      </c>
      <c r="D445" t="s">
        <v>55</v>
      </c>
      <c r="E445" t="s">
        <v>56</v>
      </c>
      <c r="F445" t="s">
        <v>1462</v>
      </c>
      <c r="G445" t="s">
        <v>1579</v>
      </c>
      <c r="H445" t="s">
        <v>56</v>
      </c>
      <c r="I445" t="s">
        <v>1580</v>
      </c>
      <c r="J445" t="s">
        <v>61</v>
      </c>
      <c r="K445" t="s">
        <v>640</v>
      </c>
      <c r="L445" t="s">
        <v>1465</v>
      </c>
      <c r="M445" t="s">
        <v>56</v>
      </c>
      <c r="N445" t="s">
        <v>252</v>
      </c>
      <c r="O445" t="s">
        <v>1466</v>
      </c>
      <c r="P445" t="s">
        <v>1467</v>
      </c>
      <c r="Q445" t="s">
        <v>87</v>
      </c>
      <c r="R445" t="s">
        <v>248</v>
      </c>
      <c r="S445">
        <v>8000000</v>
      </c>
      <c r="T445">
        <v>-2236328.4900000002</v>
      </c>
      <c r="U445" t="s">
        <v>68</v>
      </c>
      <c r="V445" t="s">
        <v>1418</v>
      </c>
      <c r="W445" s="9">
        <v>60602298</v>
      </c>
      <c r="X445" t="s">
        <v>1581</v>
      </c>
      <c r="Y445" s="1">
        <v>46049</v>
      </c>
      <c r="Z445" s="1">
        <v>46109</v>
      </c>
      <c r="AA445" s="2">
        <v>23761.05</v>
      </c>
      <c r="AB445" s="2">
        <v>20136.48</v>
      </c>
      <c r="AC445" s="2">
        <v>3624.57</v>
      </c>
      <c r="AD445" s="2">
        <v>23761.05</v>
      </c>
      <c r="AE445" t="s">
        <v>1584</v>
      </c>
      <c r="AF445" t="s">
        <v>72</v>
      </c>
      <c r="AG445">
        <v>-31</v>
      </c>
      <c r="AH445" t="s">
        <v>117</v>
      </c>
      <c r="AI445" t="s">
        <v>74</v>
      </c>
      <c r="AJ445" t="s">
        <v>75</v>
      </c>
      <c r="AK445" t="s">
        <v>76</v>
      </c>
      <c r="AL445" t="s">
        <v>118</v>
      </c>
      <c r="AM445" t="s">
        <v>78</v>
      </c>
      <c r="AN445" t="s">
        <v>979</v>
      </c>
      <c r="AO445" t="s">
        <v>119</v>
      </c>
      <c r="AP445" t="s">
        <v>46</v>
      </c>
      <c r="AQ445" t="s">
        <v>81</v>
      </c>
      <c r="AR445" t="str">
        <f t="shared" si="12"/>
        <v>60602298.STATAM</v>
      </c>
      <c r="AS445">
        <f t="shared" si="13"/>
        <v>8158303.190000006</v>
      </c>
      <c r="AT445" t="s">
        <v>82</v>
      </c>
    </row>
    <row r="446" spans="1:46" x14ac:dyDescent="0.35">
      <c r="A446" t="s">
        <v>52</v>
      </c>
      <c r="B446" t="s">
        <v>53</v>
      </c>
      <c r="C446" t="s">
        <v>54</v>
      </c>
      <c r="D446" t="s">
        <v>55</v>
      </c>
      <c r="E446" t="s">
        <v>56</v>
      </c>
      <c r="F446" t="s">
        <v>1462</v>
      </c>
      <c r="G446" t="s">
        <v>1585</v>
      </c>
      <c r="H446" t="s">
        <v>56</v>
      </c>
      <c r="I446" t="s">
        <v>1586</v>
      </c>
      <c r="J446" t="s">
        <v>476</v>
      </c>
      <c r="K446" t="s">
        <v>640</v>
      </c>
      <c r="L446" t="s">
        <v>1465</v>
      </c>
      <c r="M446" t="s">
        <v>56</v>
      </c>
      <c r="N446" t="s">
        <v>244</v>
      </c>
      <c r="O446" t="s">
        <v>1466</v>
      </c>
      <c r="P446" t="s">
        <v>1467</v>
      </c>
      <c r="Q446" t="s">
        <v>1486</v>
      </c>
      <c r="R446" t="s">
        <v>248</v>
      </c>
      <c r="S446">
        <v>8000000</v>
      </c>
      <c r="T446">
        <v>-2236328.4900000002</v>
      </c>
      <c r="U446" t="s">
        <v>68</v>
      </c>
      <c r="V446" t="s">
        <v>1418</v>
      </c>
      <c r="W446" s="9">
        <v>60602298</v>
      </c>
      <c r="X446" t="s">
        <v>1587</v>
      </c>
      <c r="Y446" s="1">
        <v>46049</v>
      </c>
      <c r="Z446" s="1">
        <v>46109</v>
      </c>
      <c r="AA446" s="2">
        <v>46376.36</v>
      </c>
      <c r="AB446" s="2">
        <v>39302</v>
      </c>
      <c r="AC446" s="2">
        <v>7074.36</v>
      </c>
      <c r="AD446" s="2">
        <v>46376.36</v>
      </c>
      <c r="AE446" t="s">
        <v>1588</v>
      </c>
      <c r="AF446" t="s">
        <v>72</v>
      </c>
      <c r="AG446">
        <v>-31</v>
      </c>
      <c r="AH446" t="s">
        <v>117</v>
      </c>
      <c r="AI446" t="s">
        <v>74</v>
      </c>
      <c r="AJ446" t="s">
        <v>75</v>
      </c>
      <c r="AK446" t="s">
        <v>76</v>
      </c>
      <c r="AL446" t="s">
        <v>118</v>
      </c>
      <c r="AM446" t="s">
        <v>78</v>
      </c>
      <c r="AN446" t="s">
        <v>979</v>
      </c>
      <c r="AO446" t="s">
        <v>119</v>
      </c>
      <c r="AP446" t="s">
        <v>46</v>
      </c>
      <c r="AQ446" t="s">
        <v>81</v>
      </c>
      <c r="AR446" t="str">
        <f t="shared" si="12"/>
        <v>60602298.STATAM</v>
      </c>
      <c r="AS446">
        <f t="shared" si="13"/>
        <v>8158303.190000006</v>
      </c>
      <c r="AT446" t="s">
        <v>82</v>
      </c>
    </row>
    <row r="447" spans="1:46" x14ac:dyDescent="0.35">
      <c r="A447" t="s">
        <v>52</v>
      </c>
      <c r="B447" t="s">
        <v>53</v>
      </c>
      <c r="C447" t="s">
        <v>54</v>
      </c>
      <c r="D447" t="s">
        <v>55</v>
      </c>
      <c r="E447" t="s">
        <v>56</v>
      </c>
      <c r="F447" t="s">
        <v>1462</v>
      </c>
      <c r="G447" t="s">
        <v>1526</v>
      </c>
      <c r="H447" t="s">
        <v>56</v>
      </c>
      <c r="I447" t="s">
        <v>1589</v>
      </c>
      <c r="J447" t="s">
        <v>61</v>
      </c>
      <c r="K447" t="s">
        <v>640</v>
      </c>
      <c r="L447" t="s">
        <v>1465</v>
      </c>
      <c r="M447" t="s">
        <v>56</v>
      </c>
      <c r="N447" t="s">
        <v>252</v>
      </c>
      <c r="O447" t="s">
        <v>1466</v>
      </c>
      <c r="P447" t="s">
        <v>1467</v>
      </c>
      <c r="Q447" t="s">
        <v>87</v>
      </c>
      <c r="R447" t="s">
        <v>248</v>
      </c>
      <c r="S447">
        <v>8000000</v>
      </c>
      <c r="T447">
        <v>-2236328.4900000002</v>
      </c>
      <c r="U447" t="s">
        <v>68</v>
      </c>
      <c r="V447" t="s">
        <v>1418</v>
      </c>
      <c r="W447" s="9">
        <v>60602298</v>
      </c>
      <c r="X447" t="s">
        <v>1590</v>
      </c>
      <c r="Y447" s="1">
        <v>46049</v>
      </c>
      <c r="Z447" s="1">
        <v>46109</v>
      </c>
      <c r="AA447" s="2">
        <v>456.52</v>
      </c>
      <c r="AB447" s="2">
        <v>386.88</v>
      </c>
      <c r="AC447" s="2">
        <v>69.64</v>
      </c>
      <c r="AD447" s="2">
        <v>456.52</v>
      </c>
      <c r="AE447" t="s">
        <v>1591</v>
      </c>
      <c r="AF447" t="s">
        <v>72</v>
      </c>
      <c r="AG447">
        <v>-31</v>
      </c>
      <c r="AH447" t="s">
        <v>117</v>
      </c>
      <c r="AI447" t="s">
        <v>74</v>
      </c>
      <c r="AJ447" t="s">
        <v>75</v>
      </c>
      <c r="AK447" t="s">
        <v>76</v>
      </c>
      <c r="AL447" t="s">
        <v>118</v>
      </c>
      <c r="AM447" t="s">
        <v>78</v>
      </c>
      <c r="AN447" t="s">
        <v>979</v>
      </c>
      <c r="AO447" t="s">
        <v>119</v>
      </c>
      <c r="AP447" t="s">
        <v>46</v>
      </c>
      <c r="AQ447" t="s">
        <v>81</v>
      </c>
      <c r="AR447" t="str">
        <f t="shared" si="12"/>
        <v>60602298.STATAM</v>
      </c>
      <c r="AS447">
        <f t="shared" si="13"/>
        <v>8158303.190000006</v>
      </c>
      <c r="AT447" t="s">
        <v>82</v>
      </c>
    </row>
    <row r="448" spans="1:46" x14ac:dyDescent="0.35">
      <c r="A448" t="s">
        <v>52</v>
      </c>
      <c r="B448" t="s">
        <v>53</v>
      </c>
      <c r="C448" t="s">
        <v>54</v>
      </c>
      <c r="D448" t="s">
        <v>55</v>
      </c>
      <c r="E448" t="s">
        <v>56</v>
      </c>
      <c r="F448" t="s">
        <v>1462</v>
      </c>
      <c r="G448" t="s">
        <v>1526</v>
      </c>
      <c r="H448" t="s">
        <v>56</v>
      </c>
      <c r="I448" t="s">
        <v>1589</v>
      </c>
      <c r="J448" t="s">
        <v>61</v>
      </c>
      <c r="K448" t="s">
        <v>640</v>
      </c>
      <c r="L448" t="s">
        <v>1465</v>
      </c>
      <c r="M448" t="s">
        <v>56</v>
      </c>
      <c r="N448" t="s">
        <v>261</v>
      </c>
      <c r="O448" t="s">
        <v>1466</v>
      </c>
      <c r="P448" t="s">
        <v>1467</v>
      </c>
      <c r="Q448" t="s">
        <v>87</v>
      </c>
      <c r="R448" t="s">
        <v>248</v>
      </c>
      <c r="S448">
        <v>8000000</v>
      </c>
      <c r="T448">
        <v>-2236328.4900000002</v>
      </c>
      <c r="U448" t="s">
        <v>68</v>
      </c>
      <c r="V448" t="s">
        <v>1418</v>
      </c>
      <c r="W448" s="9">
        <v>60602298</v>
      </c>
      <c r="X448" t="s">
        <v>1590</v>
      </c>
      <c r="Y448" s="1">
        <v>46049</v>
      </c>
      <c r="Z448" s="1">
        <v>46109</v>
      </c>
      <c r="AA448" s="2">
        <v>1561</v>
      </c>
      <c r="AB448" s="2">
        <v>1322.88</v>
      </c>
      <c r="AC448" s="2">
        <v>238.12</v>
      </c>
      <c r="AD448" s="2">
        <v>1561</v>
      </c>
      <c r="AE448" t="s">
        <v>1592</v>
      </c>
      <c r="AF448" t="s">
        <v>72</v>
      </c>
      <c r="AG448">
        <v>-31</v>
      </c>
      <c r="AH448" t="s">
        <v>117</v>
      </c>
      <c r="AI448" t="s">
        <v>74</v>
      </c>
      <c r="AJ448" t="s">
        <v>75</v>
      </c>
      <c r="AK448" t="s">
        <v>76</v>
      </c>
      <c r="AL448" t="s">
        <v>118</v>
      </c>
      <c r="AM448" t="s">
        <v>78</v>
      </c>
      <c r="AN448" t="s">
        <v>979</v>
      </c>
      <c r="AO448" t="s">
        <v>119</v>
      </c>
      <c r="AP448" t="s">
        <v>46</v>
      </c>
      <c r="AQ448" t="s">
        <v>81</v>
      </c>
      <c r="AR448" t="str">
        <f t="shared" si="12"/>
        <v>60602298.STATAM</v>
      </c>
      <c r="AS448">
        <f t="shared" si="13"/>
        <v>8158303.190000006</v>
      </c>
      <c r="AT448" t="s">
        <v>82</v>
      </c>
    </row>
    <row r="449" spans="1:46" x14ac:dyDescent="0.35">
      <c r="A449" t="s">
        <v>52</v>
      </c>
      <c r="B449" t="s">
        <v>53</v>
      </c>
      <c r="C449" t="s">
        <v>54</v>
      </c>
      <c r="D449" t="s">
        <v>55</v>
      </c>
      <c r="E449" t="s">
        <v>56</v>
      </c>
      <c r="F449" t="s">
        <v>1462</v>
      </c>
      <c r="G449" t="s">
        <v>1543</v>
      </c>
      <c r="H449" t="s">
        <v>56</v>
      </c>
      <c r="I449" t="s">
        <v>1593</v>
      </c>
      <c r="J449" t="s">
        <v>61</v>
      </c>
      <c r="K449" t="s">
        <v>640</v>
      </c>
      <c r="L449" t="s">
        <v>1465</v>
      </c>
      <c r="M449" t="s">
        <v>56</v>
      </c>
      <c r="N449" t="s">
        <v>295</v>
      </c>
      <c r="O449" t="s">
        <v>1466</v>
      </c>
      <c r="P449" t="s">
        <v>1467</v>
      </c>
      <c r="Q449" t="s">
        <v>87</v>
      </c>
      <c r="R449" t="s">
        <v>248</v>
      </c>
      <c r="S449">
        <v>8000000</v>
      </c>
      <c r="T449">
        <v>-2236328.4900000002</v>
      </c>
      <c r="U449" t="s">
        <v>68</v>
      </c>
      <c r="V449" t="s">
        <v>1418</v>
      </c>
      <c r="W449" s="9">
        <v>60602298</v>
      </c>
      <c r="X449" t="s">
        <v>1594</v>
      </c>
      <c r="Y449" s="1">
        <v>46049</v>
      </c>
      <c r="Z449" s="1">
        <v>46109</v>
      </c>
      <c r="AA449" s="2">
        <v>22686.94</v>
      </c>
      <c r="AB449" s="2">
        <v>19226.22</v>
      </c>
      <c r="AC449" s="2">
        <v>3460.72</v>
      </c>
      <c r="AD449" s="2">
        <v>22686.94</v>
      </c>
      <c r="AE449" t="s">
        <v>1595</v>
      </c>
      <c r="AF449" t="s">
        <v>72</v>
      </c>
      <c r="AG449">
        <v>-31</v>
      </c>
      <c r="AH449" t="s">
        <v>117</v>
      </c>
      <c r="AI449" t="s">
        <v>74</v>
      </c>
      <c r="AJ449" t="s">
        <v>75</v>
      </c>
      <c r="AK449" t="s">
        <v>76</v>
      </c>
      <c r="AL449" t="s">
        <v>118</v>
      </c>
      <c r="AM449" t="s">
        <v>78</v>
      </c>
      <c r="AN449" t="s">
        <v>979</v>
      </c>
      <c r="AO449" t="s">
        <v>119</v>
      </c>
      <c r="AP449" t="s">
        <v>46</v>
      </c>
      <c r="AQ449" t="s">
        <v>81</v>
      </c>
      <c r="AR449" t="str">
        <f t="shared" si="12"/>
        <v>60602298.STATAM</v>
      </c>
      <c r="AS449">
        <f t="shared" si="13"/>
        <v>8158303.190000006</v>
      </c>
      <c r="AT449" t="s">
        <v>82</v>
      </c>
    </row>
    <row r="450" spans="1:46" x14ac:dyDescent="0.35">
      <c r="A450" t="s">
        <v>52</v>
      </c>
      <c r="B450" t="s">
        <v>53</v>
      </c>
      <c r="C450" t="s">
        <v>54</v>
      </c>
      <c r="D450" t="s">
        <v>55</v>
      </c>
      <c r="E450" t="s">
        <v>56</v>
      </c>
      <c r="F450" t="s">
        <v>1462</v>
      </c>
      <c r="G450" t="s">
        <v>1574</v>
      </c>
      <c r="H450" t="s">
        <v>56</v>
      </c>
      <c r="I450" t="s">
        <v>1596</v>
      </c>
      <c r="J450" t="s">
        <v>61</v>
      </c>
      <c r="K450" t="s">
        <v>640</v>
      </c>
      <c r="L450" t="s">
        <v>1465</v>
      </c>
      <c r="M450" t="s">
        <v>56</v>
      </c>
      <c r="N450" t="s">
        <v>252</v>
      </c>
      <c r="O450" t="s">
        <v>1466</v>
      </c>
      <c r="P450" t="s">
        <v>1467</v>
      </c>
      <c r="Q450" t="s">
        <v>87</v>
      </c>
      <c r="R450" t="s">
        <v>248</v>
      </c>
      <c r="S450">
        <v>8000000</v>
      </c>
      <c r="T450">
        <v>-2236328.4900000002</v>
      </c>
      <c r="U450" t="s">
        <v>68</v>
      </c>
      <c r="V450" t="s">
        <v>1418</v>
      </c>
      <c r="W450" s="9">
        <v>60602298</v>
      </c>
      <c r="X450" t="s">
        <v>1597</v>
      </c>
      <c r="Y450" s="1">
        <v>46049</v>
      </c>
      <c r="Z450" s="1">
        <v>46109</v>
      </c>
      <c r="AA450" s="2">
        <v>1689.85</v>
      </c>
      <c r="AB450" s="2">
        <v>1432.08</v>
      </c>
      <c r="AC450" s="2">
        <v>257.77</v>
      </c>
      <c r="AD450" s="2">
        <v>1689.85</v>
      </c>
      <c r="AE450" t="s">
        <v>1598</v>
      </c>
      <c r="AF450" t="s">
        <v>72</v>
      </c>
      <c r="AG450">
        <v>-31</v>
      </c>
      <c r="AH450" t="s">
        <v>117</v>
      </c>
      <c r="AI450" t="s">
        <v>74</v>
      </c>
      <c r="AJ450" t="s">
        <v>75</v>
      </c>
      <c r="AK450" t="s">
        <v>76</v>
      </c>
      <c r="AL450" t="s">
        <v>118</v>
      </c>
      <c r="AM450" t="s">
        <v>78</v>
      </c>
      <c r="AN450" t="s">
        <v>979</v>
      </c>
      <c r="AO450" t="s">
        <v>119</v>
      </c>
      <c r="AP450" t="s">
        <v>46</v>
      </c>
      <c r="AQ450" t="s">
        <v>81</v>
      </c>
      <c r="AR450" t="str">
        <f t="shared" si="12"/>
        <v>60602298.STATAM</v>
      </c>
      <c r="AS450">
        <f t="shared" si="13"/>
        <v>8158303.190000006</v>
      </c>
      <c r="AT450" t="s">
        <v>82</v>
      </c>
    </row>
    <row r="451" spans="1:46" x14ac:dyDescent="0.35">
      <c r="A451" t="s">
        <v>52</v>
      </c>
      <c r="B451" t="s">
        <v>53</v>
      </c>
      <c r="C451" t="s">
        <v>54</v>
      </c>
      <c r="D451" t="s">
        <v>55</v>
      </c>
      <c r="E451" t="s">
        <v>56</v>
      </c>
      <c r="F451" t="s">
        <v>1462</v>
      </c>
      <c r="G451" t="s">
        <v>1534</v>
      </c>
      <c r="H451" t="s">
        <v>56</v>
      </c>
      <c r="I451" t="s">
        <v>1599</v>
      </c>
      <c r="J451" t="s">
        <v>61</v>
      </c>
      <c r="K451" t="s">
        <v>640</v>
      </c>
      <c r="L451" t="s">
        <v>1465</v>
      </c>
      <c r="M451" t="s">
        <v>56</v>
      </c>
      <c r="N451" t="s">
        <v>252</v>
      </c>
      <c r="O451" t="s">
        <v>1466</v>
      </c>
      <c r="P451" t="s">
        <v>1467</v>
      </c>
      <c r="Q451" t="s">
        <v>87</v>
      </c>
      <c r="R451" t="s">
        <v>248</v>
      </c>
      <c r="S451">
        <v>8000000</v>
      </c>
      <c r="T451">
        <v>-2236328.4900000002</v>
      </c>
      <c r="U451" t="s">
        <v>68</v>
      </c>
      <c r="V451" t="s">
        <v>1418</v>
      </c>
      <c r="W451" s="9">
        <v>60602298</v>
      </c>
      <c r="X451" t="s">
        <v>1600</v>
      </c>
      <c r="Y451" s="1">
        <v>46049</v>
      </c>
      <c r="Z451" s="1">
        <v>46109</v>
      </c>
      <c r="AA451" s="2">
        <v>7651.28</v>
      </c>
      <c r="AB451" s="2">
        <v>6484.14</v>
      </c>
      <c r="AC451" s="2">
        <v>1167.1400000000001</v>
      </c>
      <c r="AD451" s="2">
        <v>7651.28</v>
      </c>
      <c r="AE451" t="s">
        <v>1601</v>
      </c>
      <c r="AF451" t="s">
        <v>72</v>
      </c>
      <c r="AG451">
        <v>-31</v>
      </c>
      <c r="AH451" t="s">
        <v>117</v>
      </c>
      <c r="AI451" t="s">
        <v>74</v>
      </c>
      <c r="AJ451" t="s">
        <v>75</v>
      </c>
      <c r="AK451" t="s">
        <v>76</v>
      </c>
      <c r="AL451" t="s">
        <v>118</v>
      </c>
      <c r="AM451" t="s">
        <v>78</v>
      </c>
      <c r="AN451" t="s">
        <v>979</v>
      </c>
      <c r="AO451" t="s">
        <v>119</v>
      </c>
      <c r="AP451" t="s">
        <v>46</v>
      </c>
      <c r="AQ451" t="s">
        <v>81</v>
      </c>
      <c r="AR451" t="str">
        <f t="shared" si="12"/>
        <v>60602298.STATAM</v>
      </c>
      <c r="AS451">
        <f t="shared" si="13"/>
        <v>8158303.190000006</v>
      </c>
      <c r="AT451" t="s">
        <v>82</v>
      </c>
    </row>
    <row r="452" spans="1:46" x14ac:dyDescent="0.35">
      <c r="A452" t="s">
        <v>52</v>
      </c>
      <c r="B452" t="s">
        <v>53</v>
      </c>
      <c r="C452" t="s">
        <v>54</v>
      </c>
      <c r="D452" t="s">
        <v>55</v>
      </c>
      <c r="E452" t="s">
        <v>56</v>
      </c>
      <c r="F452" t="s">
        <v>1462</v>
      </c>
      <c r="G452" t="s">
        <v>1602</v>
      </c>
      <c r="H452" t="s">
        <v>56</v>
      </c>
      <c r="I452" t="s">
        <v>1603</v>
      </c>
      <c r="J452" t="s">
        <v>61</v>
      </c>
      <c r="K452" t="s">
        <v>640</v>
      </c>
      <c r="L452" t="s">
        <v>1604</v>
      </c>
      <c r="M452" t="s">
        <v>56</v>
      </c>
      <c r="N452" t="s">
        <v>252</v>
      </c>
      <c r="O452" t="s">
        <v>1466</v>
      </c>
      <c r="P452" t="s">
        <v>1467</v>
      </c>
      <c r="Q452" t="s">
        <v>87</v>
      </c>
      <c r="R452" t="s">
        <v>248</v>
      </c>
      <c r="S452">
        <v>8000000</v>
      </c>
      <c r="T452">
        <v>-2236328.4900000002</v>
      </c>
      <c r="U452" t="s">
        <v>68</v>
      </c>
      <c r="V452" t="s">
        <v>1418</v>
      </c>
      <c r="W452" s="9">
        <v>60602298</v>
      </c>
      <c r="X452" t="s">
        <v>1605</v>
      </c>
      <c r="Y452" s="1">
        <v>46049</v>
      </c>
      <c r="Z452" s="1">
        <v>46109</v>
      </c>
      <c r="AA452" s="2">
        <v>22352.83</v>
      </c>
      <c r="AB452" s="2">
        <v>18943.080000000002</v>
      </c>
      <c r="AC452" s="2">
        <v>3409.75</v>
      </c>
      <c r="AD452" s="2">
        <v>22352.83</v>
      </c>
      <c r="AE452" t="s">
        <v>1606</v>
      </c>
      <c r="AF452" t="s">
        <v>72</v>
      </c>
      <c r="AG452">
        <v>-31</v>
      </c>
      <c r="AH452" t="s">
        <v>117</v>
      </c>
      <c r="AI452" t="s">
        <v>74</v>
      </c>
      <c r="AJ452" t="s">
        <v>75</v>
      </c>
      <c r="AK452" t="s">
        <v>76</v>
      </c>
      <c r="AL452" t="s">
        <v>118</v>
      </c>
      <c r="AM452" t="s">
        <v>78</v>
      </c>
      <c r="AN452" t="s">
        <v>979</v>
      </c>
      <c r="AO452" t="s">
        <v>119</v>
      </c>
      <c r="AP452" t="s">
        <v>46</v>
      </c>
      <c r="AQ452" t="s">
        <v>81</v>
      </c>
      <c r="AR452" t="str">
        <f t="shared" si="12"/>
        <v>60602298.STATAM</v>
      </c>
      <c r="AS452">
        <f t="shared" si="13"/>
        <v>8158303.190000006</v>
      </c>
      <c r="AT452" t="s">
        <v>82</v>
      </c>
    </row>
    <row r="453" spans="1:46" x14ac:dyDescent="0.35">
      <c r="A453" t="s">
        <v>52</v>
      </c>
      <c r="B453" t="s">
        <v>53</v>
      </c>
      <c r="C453" t="s">
        <v>54</v>
      </c>
      <c r="D453" t="s">
        <v>55</v>
      </c>
      <c r="E453" t="s">
        <v>56</v>
      </c>
      <c r="F453" t="s">
        <v>1462</v>
      </c>
      <c r="G453" t="s">
        <v>1607</v>
      </c>
      <c r="H453" t="s">
        <v>56</v>
      </c>
      <c r="I453" t="s">
        <v>1608</v>
      </c>
      <c r="J453" t="s">
        <v>61</v>
      </c>
      <c r="K453" t="s">
        <v>640</v>
      </c>
      <c r="L453" t="s">
        <v>1465</v>
      </c>
      <c r="M453" t="s">
        <v>56</v>
      </c>
      <c r="N453" t="s">
        <v>295</v>
      </c>
      <c r="O453" t="s">
        <v>1466</v>
      </c>
      <c r="P453" t="s">
        <v>1467</v>
      </c>
      <c r="Q453" t="s">
        <v>87</v>
      </c>
      <c r="R453" t="s">
        <v>248</v>
      </c>
      <c r="S453">
        <v>8000000</v>
      </c>
      <c r="T453">
        <v>-2236328.4900000002</v>
      </c>
      <c r="U453" t="s">
        <v>68</v>
      </c>
      <c r="V453" t="s">
        <v>1418</v>
      </c>
      <c r="W453" s="9">
        <v>60602298</v>
      </c>
      <c r="X453" t="s">
        <v>1609</v>
      </c>
      <c r="Y453" s="1">
        <v>46049</v>
      </c>
      <c r="Z453" s="1">
        <v>46109</v>
      </c>
      <c r="AA453" s="2">
        <v>49909.61</v>
      </c>
      <c r="AB453" s="2">
        <v>42296.28</v>
      </c>
      <c r="AC453" s="2">
        <v>7613.33</v>
      </c>
      <c r="AD453" s="2">
        <v>49909.61</v>
      </c>
      <c r="AE453" t="s">
        <v>1610</v>
      </c>
      <c r="AF453" t="s">
        <v>72</v>
      </c>
      <c r="AG453">
        <v>-31</v>
      </c>
      <c r="AH453" t="s">
        <v>117</v>
      </c>
      <c r="AI453" t="s">
        <v>74</v>
      </c>
      <c r="AJ453" t="s">
        <v>75</v>
      </c>
      <c r="AK453" t="s">
        <v>76</v>
      </c>
      <c r="AL453" t="s">
        <v>118</v>
      </c>
      <c r="AM453" t="s">
        <v>78</v>
      </c>
      <c r="AN453" t="s">
        <v>979</v>
      </c>
      <c r="AO453" t="s">
        <v>119</v>
      </c>
      <c r="AP453" t="s">
        <v>46</v>
      </c>
      <c r="AQ453" t="s">
        <v>81</v>
      </c>
      <c r="AR453" t="str">
        <f t="shared" si="12"/>
        <v>60602298.STATAM</v>
      </c>
      <c r="AS453">
        <f t="shared" si="13"/>
        <v>8158303.190000006</v>
      </c>
      <c r="AT453" t="s">
        <v>82</v>
      </c>
    </row>
    <row r="454" spans="1:46" x14ac:dyDescent="0.35">
      <c r="A454" t="s">
        <v>52</v>
      </c>
      <c r="B454" t="s">
        <v>53</v>
      </c>
      <c r="C454" t="s">
        <v>54</v>
      </c>
      <c r="D454" t="s">
        <v>55</v>
      </c>
      <c r="E454" t="s">
        <v>56</v>
      </c>
      <c r="F454" t="s">
        <v>1462</v>
      </c>
      <c r="G454" t="s">
        <v>1607</v>
      </c>
      <c r="H454" t="s">
        <v>56</v>
      </c>
      <c r="I454" t="s">
        <v>1608</v>
      </c>
      <c r="J454" t="s">
        <v>61</v>
      </c>
      <c r="K454" t="s">
        <v>640</v>
      </c>
      <c r="L454" t="s">
        <v>1465</v>
      </c>
      <c r="M454" t="s">
        <v>56</v>
      </c>
      <c r="N454" t="s">
        <v>252</v>
      </c>
      <c r="O454" t="s">
        <v>1466</v>
      </c>
      <c r="P454" t="s">
        <v>1467</v>
      </c>
      <c r="Q454" t="s">
        <v>87</v>
      </c>
      <c r="R454" t="s">
        <v>248</v>
      </c>
      <c r="S454">
        <v>8000000</v>
      </c>
      <c r="T454">
        <v>-2236328.4900000002</v>
      </c>
      <c r="U454" t="s">
        <v>68</v>
      </c>
      <c r="V454" t="s">
        <v>1418</v>
      </c>
      <c r="W454" s="9">
        <v>60602298</v>
      </c>
      <c r="X454" t="s">
        <v>1609</v>
      </c>
      <c r="Y454" s="1">
        <v>46049</v>
      </c>
      <c r="Z454" s="1">
        <v>46109</v>
      </c>
      <c r="AA454" s="2">
        <v>19758.23</v>
      </c>
      <c r="AB454" s="2">
        <v>16744.259999999998</v>
      </c>
      <c r="AC454" s="2">
        <v>3013.97</v>
      </c>
      <c r="AD454" s="2">
        <v>19758.23</v>
      </c>
      <c r="AE454" t="s">
        <v>1611</v>
      </c>
      <c r="AF454" t="s">
        <v>72</v>
      </c>
      <c r="AG454">
        <v>-31</v>
      </c>
      <c r="AH454" t="s">
        <v>117</v>
      </c>
      <c r="AI454" t="s">
        <v>74</v>
      </c>
      <c r="AJ454" t="s">
        <v>75</v>
      </c>
      <c r="AK454" t="s">
        <v>76</v>
      </c>
      <c r="AL454" t="s">
        <v>118</v>
      </c>
      <c r="AM454" t="s">
        <v>78</v>
      </c>
      <c r="AN454" t="s">
        <v>979</v>
      </c>
      <c r="AO454" t="s">
        <v>119</v>
      </c>
      <c r="AP454" t="s">
        <v>46</v>
      </c>
      <c r="AQ454" t="s">
        <v>81</v>
      </c>
      <c r="AR454" t="str">
        <f t="shared" si="12"/>
        <v>60602298.STATAM</v>
      </c>
      <c r="AS454">
        <f t="shared" si="13"/>
        <v>8158303.190000006</v>
      </c>
      <c r="AT454" t="s">
        <v>82</v>
      </c>
    </row>
    <row r="455" spans="1:46" x14ac:dyDescent="0.35">
      <c r="A455" t="s">
        <v>52</v>
      </c>
      <c r="B455" t="s">
        <v>53</v>
      </c>
      <c r="C455" t="s">
        <v>54</v>
      </c>
      <c r="D455" t="s">
        <v>55</v>
      </c>
      <c r="E455" t="s">
        <v>56</v>
      </c>
      <c r="F455" t="s">
        <v>1462</v>
      </c>
      <c r="G455" t="s">
        <v>1612</v>
      </c>
      <c r="H455" t="s">
        <v>56</v>
      </c>
      <c r="I455" t="s">
        <v>1613</v>
      </c>
      <c r="J455" t="s">
        <v>61</v>
      </c>
      <c r="K455" t="s">
        <v>640</v>
      </c>
      <c r="L455" t="s">
        <v>1465</v>
      </c>
      <c r="M455" t="s">
        <v>56</v>
      </c>
      <c r="N455" t="s">
        <v>252</v>
      </c>
      <c r="O455" t="s">
        <v>1466</v>
      </c>
      <c r="P455" t="s">
        <v>1467</v>
      </c>
      <c r="Q455" t="s">
        <v>87</v>
      </c>
      <c r="R455" t="s">
        <v>248</v>
      </c>
      <c r="S455">
        <v>8000000</v>
      </c>
      <c r="T455">
        <v>-2236328.4900000002</v>
      </c>
      <c r="U455" t="s">
        <v>68</v>
      </c>
      <c r="V455" t="s">
        <v>1418</v>
      </c>
      <c r="W455" s="9">
        <v>60602298</v>
      </c>
      <c r="X455" t="s">
        <v>1614</v>
      </c>
      <c r="Y455" s="1">
        <v>46050</v>
      </c>
      <c r="Z455" s="1">
        <v>46110</v>
      </c>
      <c r="AA455" s="2">
        <v>22352.83</v>
      </c>
      <c r="AB455" s="2">
        <v>18943.080000000002</v>
      </c>
      <c r="AC455" s="2">
        <v>3409.75</v>
      </c>
      <c r="AD455" s="2">
        <v>22352.83</v>
      </c>
      <c r="AE455" t="s">
        <v>1615</v>
      </c>
      <c r="AF455" t="s">
        <v>72</v>
      </c>
      <c r="AG455">
        <v>-32</v>
      </c>
      <c r="AH455" t="s">
        <v>117</v>
      </c>
      <c r="AI455" t="s">
        <v>74</v>
      </c>
      <c r="AJ455" t="s">
        <v>75</v>
      </c>
      <c r="AK455" t="s">
        <v>76</v>
      </c>
      <c r="AL455" t="s">
        <v>118</v>
      </c>
      <c r="AM455" t="s">
        <v>78</v>
      </c>
      <c r="AN455" t="s">
        <v>979</v>
      </c>
      <c r="AO455" t="s">
        <v>119</v>
      </c>
      <c r="AP455" t="s">
        <v>46</v>
      </c>
      <c r="AQ455" t="s">
        <v>81</v>
      </c>
      <c r="AR455" t="str">
        <f t="shared" si="12"/>
        <v>60602298.STATAM</v>
      </c>
      <c r="AS455">
        <f t="shared" si="13"/>
        <v>8158303.190000006</v>
      </c>
      <c r="AT455" t="s">
        <v>82</v>
      </c>
    </row>
    <row r="456" spans="1:46" x14ac:dyDescent="0.35">
      <c r="A456" t="s">
        <v>52</v>
      </c>
      <c r="B456" t="s">
        <v>53</v>
      </c>
      <c r="C456" t="s">
        <v>54</v>
      </c>
      <c r="D456" t="s">
        <v>55</v>
      </c>
      <c r="E456" t="s">
        <v>56</v>
      </c>
      <c r="F456" t="s">
        <v>1462</v>
      </c>
      <c r="G456" t="s">
        <v>1612</v>
      </c>
      <c r="H456" t="s">
        <v>56</v>
      </c>
      <c r="I456" t="s">
        <v>1613</v>
      </c>
      <c r="J456" t="s">
        <v>61</v>
      </c>
      <c r="K456" t="s">
        <v>640</v>
      </c>
      <c r="L456" t="s">
        <v>1465</v>
      </c>
      <c r="M456" t="s">
        <v>56</v>
      </c>
      <c r="N456" t="s">
        <v>1384</v>
      </c>
      <c r="O456" t="s">
        <v>1466</v>
      </c>
      <c r="P456" t="s">
        <v>1467</v>
      </c>
      <c r="Q456" t="s">
        <v>87</v>
      </c>
      <c r="R456" t="s">
        <v>248</v>
      </c>
      <c r="S456">
        <v>8000000</v>
      </c>
      <c r="T456">
        <v>-2236328.4900000002</v>
      </c>
      <c r="U456" t="s">
        <v>68</v>
      </c>
      <c r="V456" t="s">
        <v>1418</v>
      </c>
      <c r="W456" s="9">
        <v>60602298</v>
      </c>
      <c r="X456" t="s">
        <v>1614</v>
      </c>
      <c r="Y456" s="1">
        <v>46050</v>
      </c>
      <c r="Z456" s="1">
        <v>46110</v>
      </c>
      <c r="AA456" s="2">
        <v>37117.89</v>
      </c>
      <c r="AB456" s="2">
        <v>31455.84</v>
      </c>
      <c r="AC456" s="2">
        <v>5662.05</v>
      </c>
      <c r="AD456" s="2">
        <v>37117.89</v>
      </c>
      <c r="AE456" t="s">
        <v>1616</v>
      </c>
      <c r="AF456" t="s">
        <v>72</v>
      </c>
      <c r="AG456">
        <v>-32</v>
      </c>
      <c r="AH456" t="s">
        <v>117</v>
      </c>
      <c r="AI456" t="s">
        <v>74</v>
      </c>
      <c r="AJ456" t="s">
        <v>75</v>
      </c>
      <c r="AK456" t="s">
        <v>76</v>
      </c>
      <c r="AL456" t="s">
        <v>118</v>
      </c>
      <c r="AM456" t="s">
        <v>78</v>
      </c>
      <c r="AN456" t="s">
        <v>979</v>
      </c>
      <c r="AO456" t="s">
        <v>119</v>
      </c>
      <c r="AP456" t="s">
        <v>46</v>
      </c>
      <c r="AQ456" t="s">
        <v>81</v>
      </c>
      <c r="AR456" t="str">
        <f t="shared" ref="AR456:AR519" si="14">W456&amp;"."&amp;AQ456</f>
        <v>60602298.STATAM</v>
      </c>
      <c r="AS456">
        <f t="shared" ref="AS456:AS519" si="15">SUMIFS(AD:AD,AQ:AQ,AQ456,W:W,W456)</f>
        <v>8158303.190000006</v>
      </c>
      <c r="AT456" t="s">
        <v>82</v>
      </c>
    </row>
    <row r="457" spans="1:46" x14ac:dyDescent="0.35">
      <c r="A457" t="s">
        <v>52</v>
      </c>
      <c r="B457" t="s">
        <v>53</v>
      </c>
      <c r="C457" t="s">
        <v>54</v>
      </c>
      <c r="D457" t="s">
        <v>55</v>
      </c>
      <c r="E457" t="s">
        <v>56</v>
      </c>
      <c r="F457" t="s">
        <v>1462</v>
      </c>
      <c r="G457" t="s">
        <v>1617</v>
      </c>
      <c r="H457" t="s">
        <v>56</v>
      </c>
      <c r="I457" t="s">
        <v>1618</v>
      </c>
      <c r="J457" t="s">
        <v>476</v>
      </c>
      <c r="K457" t="s">
        <v>640</v>
      </c>
      <c r="L457" t="s">
        <v>1465</v>
      </c>
      <c r="M457" t="s">
        <v>56</v>
      </c>
      <c r="N457" t="s">
        <v>263</v>
      </c>
      <c r="O457" t="s">
        <v>1466</v>
      </c>
      <c r="P457" t="s">
        <v>1467</v>
      </c>
      <c r="Q457" t="s">
        <v>1486</v>
      </c>
      <c r="R457" t="s">
        <v>248</v>
      </c>
      <c r="S457">
        <v>8000000</v>
      </c>
      <c r="T457">
        <v>-2236328.4900000002</v>
      </c>
      <c r="U457" t="s">
        <v>68</v>
      </c>
      <c r="V457" t="s">
        <v>1418</v>
      </c>
      <c r="W457" s="9">
        <v>60602298</v>
      </c>
      <c r="X457" t="s">
        <v>1619</v>
      </c>
      <c r="Y457" s="1">
        <v>46050</v>
      </c>
      <c r="Z457" s="1">
        <v>46110</v>
      </c>
      <c r="AA457" s="2">
        <v>72120.42</v>
      </c>
      <c r="AB457" s="2">
        <v>61119</v>
      </c>
      <c r="AC457" s="2">
        <v>11001.42</v>
      </c>
      <c r="AD457" s="2">
        <v>72120.42</v>
      </c>
      <c r="AE457" t="s">
        <v>1620</v>
      </c>
      <c r="AF457" t="s">
        <v>72</v>
      </c>
      <c r="AG457">
        <v>-32</v>
      </c>
      <c r="AH457" t="s">
        <v>117</v>
      </c>
      <c r="AI457" t="s">
        <v>74</v>
      </c>
      <c r="AJ457" t="s">
        <v>75</v>
      </c>
      <c r="AK457" t="s">
        <v>76</v>
      </c>
      <c r="AL457" t="s">
        <v>118</v>
      </c>
      <c r="AM457" t="s">
        <v>78</v>
      </c>
      <c r="AN457" t="s">
        <v>979</v>
      </c>
      <c r="AO457" t="s">
        <v>119</v>
      </c>
      <c r="AP457" t="s">
        <v>46</v>
      </c>
      <c r="AQ457" t="s">
        <v>81</v>
      </c>
      <c r="AR457" t="str">
        <f t="shared" si="14"/>
        <v>60602298.STATAM</v>
      </c>
      <c r="AS457">
        <f t="shared" si="15"/>
        <v>8158303.190000006</v>
      </c>
      <c r="AT457" t="s">
        <v>82</v>
      </c>
    </row>
    <row r="458" spans="1:46" x14ac:dyDescent="0.35">
      <c r="A458" t="s">
        <v>52</v>
      </c>
      <c r="B458" t="s">
        <v>53</v>
      </c>
      <c r="C458" t="s">
        <v>54</v>
      </c>
      <c r="D458" t="s">
        <v>55</v>
      </c>
      <c r="E458" t="s">
        <v>56</v>
      </c>
      <c r="F458" t="s">
        <v>1462</v>
      </c>
      <c r="G458" t="s">
        <v>1621</v>
      </c>
      <c r="H458" t="s">
        <v>56</v>
      </c>
      <c r="I458" t="s">
        <v>1622</v>
      </c>
      <c r="J458" t="s">
        <v>61</v>
      </c>
      <c r="K458" t="s">
        <v>640</v>
      </c>
      <c r="L458" t="s">
        <v>1604</v>
      </c>
      <c r="M458" t="s">
        <v>56</v>
      </c>
      <c r="N458" t="s">
        <v>1384</v>
      </c>
      <c r="O458" t="s">
        <v>1466</v>
      </c>
      <c r="P458" t="s">
        <v>1467</v>
      </c>
      <c r="Q458" t="s">
        <v>87</v>
      </c>
      <c r="R458" t="s">
        <v>248</v>
      </c>
      <c r="S458">
        <v>8000000</v>
      </c>
      <c r="T458">
        <v>-2236328.4900000002</v>
      </c>
      <c r="U458" t="s">
        <v>68</v>
      </c>
      <c r="V458" t="s">
        <v>1418</v>
      </c>
      <c r="W458" s="9">
        <v>60602298</v>
      </c>
      <c r="X458" t="s">
        <v>1623</v>
      </c>
      <c r="Y458" s="1">
        <v>46050</v>
      </c>
      <c r="Z458" s="1">
        <v>46110</v>
      </c>
      <c r="AA458" s="2">
        <v>97899.79</v>
      </c>
      <c r="AB458" s="2">
        <v>82965.919999999998</v>
      </c>
      <c r="AC458" s="2">
        <v>14933.87</v>
      </c>
      <c r="AD458" s="2">
        <v>97899.79</v>
      </c>
      <c r="AE458" t="s">
        <v>1624</v>
      </c>
      <c r="AF458" t="s">
        <v>72</v>
      </c>
      <c r="AG458">
        <v>-32</v>
      </c>
      <c r="AH458" t="s">
        <v>117</v>
      </c>
      <c r="AI458" t="s">
        <v>74</v>
      </c>
      <c r="AJ458" t="s">
        <v>75</v>
      </c>
      <c r="AK458" t="s">
        <v>76</v>
      </c>
      <c r="AL458" t="s">
        <v>118</v>
      </c>
      <c r="AM458" t="s">
        <v>78</v>
      </c>
      <c r="AN458" t="s">
        <v>979</v>
      </c>
      <c r="AO458" t="s">
        <v>119</v>
      </c>
      <c r="AP458" t="s">
        <v>46</v>
      </c>
      <c r="AQ458" t="s">
        <v>81</v>
      </c>
      <c r="AR458" t="str">
        <f t="shared" si="14"/>
        <v>60602298.STATAM</v>
      </c>
      <c r="AS458">
        <f t="shared" si="15"/>
        <v>8158303.190000006</v>
      </c>
      <c r="AT458" t="s">
        <v>82</v>
      </c>
    </row>
    <row r="459" spans="1:46" x14ac:dyDescent="0.35">
      <c r="A459" t="s">
        <v>52</v>
      </c>
      <c r="B459" t="s">
        <v>53</v>
      </c>
      <c r="C459" t="s">
        <v>54</v>
      </c>
      <c r="D459" t="s">
        <v>55</v>
      </c>
      <c r="E459" t="s">
        <v>56</v>
      </c>
      <c r="F459" t="s">
        <v>1462</v>
      </c>
      <c r="G459" t="s">
        <v>1612</v>
      </c>
      <c r="H459" t="s">
        <v>56</v>
      </c>
      <c r="I459" t="s">
        <v>1625</v>
      </c>
      <c r="J459" t="s">
        <v>61</v>
      </c>
      <c r="K459" t="s">
        <v>640</v>
      </c>
      <c r="L459" t="s">
        <v>1465</v>
      </c>
      <c r="M459" t="s">
        <v>56</v>
      </c>
      <c r="N459" t="s">
        <v>1384</v>
      </c>
      <c r="O459" t="s">
        <v>1466</v>
      </c>
      <c r="P459" t="s">
        <v>1467</v>
      </c>
      <c r="Q459" t="s">
        <v>87</v>
      </c>
      <c r="R459" t="s">
        <v>248</v>
      </c>
      <c r="S459">
        <v>8000000</v>
      </c>
      <c r="T459">
        <v>-2236328.4900000002</v>
      </c>
      <c r="U459" t="s">
        <v>68</v>
      </c>
      <c r="V459" t="s">
        <v>1418</v>
      </c>
      <c r="W459" s="9">
        <v>60602298</v>
      </c>
      <c r="X459" t="s">
        <v>1626</v>
      </c>
      <c r="Y459" s="1">
        <v>46050</v>
      </c>
      <c r="Z459" s="1">
        <v>46110</v>
      </c>
      <c r="AA459" s="2">
        <v>47061.89</v>
      </c>
      <c r="AB459" s="2">
        <v>39882.959999999999</v>
      </c>
      <c r="AC459" s="2">
        <v>7178.93</v>
      </c>
      <c r="AD459" s="2">
        <v>47061.89</v>
      </c>
      <c r="AE459" t="s">
        <v>1627</v>
      </c>
      <c r="AF459" t="s">
        <v>72</v>
      </c>
      <c r="AG459">
        <v>-32</v>
      </c>
      <c r="AH459" t="s">
        <v>117</v>
      </c>
      <c r="AI459" t="s">
        <v>74</v>
      </c>
      <c r="AJ459" t="s">
        <v>75</v>
      </c>
      <c r="AK459" t="s">
        <v>76</v>
      </c>
      <c r="AL459" t="s">
        <v>118</v>
      </c>
      <c r="AM459" t="s">
        <v>78</v>
      </c>
      <c r="AN459" t="s">
        <v>979</v>
      </c>
      <c r="AO459" t="s">
        <v>119</v>
      </c>
      <c r="AP459" t="s">
        <v>46</v>
      </c>
      <c r="AQ459" t="s">
        <v>81</v>
      </c>
      <c r="AR459" t="str">
        <f t="shared" si="14"/>
        <v>60602298.STATAM</v>
      </c>
      <c r="AS459">
        <f t="shared" si="15"/>
        <v>8158303.190000006</v>
      </c>
      <c r="AT459" t="s">
        <v>82</v>
      </c>
    </row>
    <row r="460" spans="1:46" x14ac:dyDescent="0.35">
      <c r="A460" t="s">
        <v>52</v>
      </c>
      <c r="B460" t="s">
        <v>53</v>
      </c>
      <c r="C460" t="s">
        <v>54</v>
      </c>
      <c r="D460" t="s">
        <v>55</v>
      </c>
      <c r="E460" t="s">
        <v>56</v>
      </c>
      <c r="F460" t="s">
        <v>1462</v>
      </c>
      <c r="G460" t="s">
        <v>1567</v>
      </c>
      <c r="H460" t="s">
        <v>56</v>
      </c>
      <c r="I460" t="s">
        <v>1628</v>
      </c>
      <c r="J460" t="s">
        <v>61</v>
      </c>
      <c r="K460" t="s">
        <v>640</v>
      </c>
      <c r="L460" t="s">
        <v>1465</v>
      </c>
      <c r="M460" t="s">
        <v>56</v>
      </c>
      <c r="N460" t="s">
        <v>252</v>
      </c>
      <c r="O460" t="s">
        <v>1466</v>
      </c>
      <c r="P460" t="s">
        <v>1467</v>
      </c>
      <c r="Q460" t="s">
        <v>87</v>
      </c>
      <c r="R460" t="s">
        <v>248</v>
      </c>
      <c r="S460">
        <v>8000000</v>
      </c>
      <c r="T460">
        <v>-2236328.4900000002</v>
      </c>
      <c r="U460" t="s">
        <v>68</v>
      </c>
      <c r="V460" t="s">
        <v>1418</v>
      </c>
      <c r="W460" s="9">
        <v>60602298</v>
      </c>
      <c r="X460" t="s">
        <v>1629</v>
      </c>
      <c r="Y460" s="1">
        <v>46053</v>
      </c>
      <c r="Z460" s="1">
        <v>46113</v>
      </c>
      <c r="AA460" s="2">
        <v>1625.43</v>
      </c>
      <c r="AB460" s="2">
        <v>1377.48</v>
      </c>
      <c r="AC460" s="2">
        <v>247.95</v>
      </c>
      <c r="AD460" s="2">
        <v>1625.43</v>
      </c>
      <c r="AE460" t="s">
        <v>1630</v>
      </c>
      <c r="AF460" t="s">
        <v>72</v>
      </c>
      <c r="AG460">
        <v>-35</v>
      </c>
      <c r="AH460" t="s">
        <v>117</v>
      </c>
      <c r="AI460" t="s">
        <v>74</v>
      </c>
      <c r="AJ460" t="s">
        <v>75</v>
      </c>
      <c r="AK460" t="s">
        <v>76</v>
      </c>
      <c r="AL460" t="s">
        <v>118</v>
      </c>
      <c r="AM460" t="s">
        <v>78</v>
      </c>
      <c r="AN460" t="s">
        <v>979</v>
      </c>
      <c r="AO460" t="s">
        <v>119</v>
      </c>
      <c r="AP460" t="s">
        <v>46</v>
      </c>
      <c r="AQ460" t="s">
        <v>81</v>
      </c>
      <c r="AR460" t="str">
        <f t="shared" si="14"/>
        <v>60602298.STATAM</v>
      </c>
      <c r="AS460">
        <f t="shared" si="15"/>
        <v>8158303.190000006</v>
      </c>
      <c r="AT460" t="s">
        <v>82</v>
      </c>
    </row>
    <row r="461" spans="1:46" x14ac:dyDescent="0.35">
      <c r="A461" t="s">
        <v>52</v>
      </c>
      <c r="B461" t="s">
        <v>53</v>
      </c>
      <c r="C461" t="s">
        <v>54</v>
      </c>
      <c r="D461" t="s">
        <v>55</v>
      </c>
      <c r="E461" t="s">
        <v>56</v>
      </c>
      <c r="F461" t="s">
        <v>1462</v>
      </c>
      <c r="G461" t="s">
        <v>1555</v>
      </c>
      <c r="H461" t="s">
        <v>56</v>
      </c>
      <c r="I461" t="s">
        <v>1631</v>
      </c>
      <c r="J461" t="s">
        <v>61</v>
      </c>
      <c r="K461" t="s">
        <v>640</v>
      </c>
      <c r="L461" t="s">
        <v>1465</v>
      </c>
      <c r="M461" t="s">
        <v>56</v>
      </c>
      <c r="N461" t="s">
        <v>1183</v>
      </c>
      <c r="O461" t="s">
        <v>1466</v>
      </c>
      <c r="P461" t="s">
        <v>1467</v>
      </c>
      <c r="Q461" t="s">
        <v>87</v>
      </c>
      <c r="R461" t="s">
        <v>248</v>
      </c>
      <c r="S461">
        <v>8000000</v>
      </c>
      <c r="T461">
        <v>-2236328.4900000002</v>
      </c>
      <c r="U461" t="s">
        <v>68</v>
      </c>
      <c r="V461" t="s">
        <v>1418</v>
      </c>
      <c r="W461" s="9">
        <v>60602298</v>
      </c>
      <c r="X461" t="s">
        <v>1632</v>
      </c>
      <c r="Y461" s="1">
        <v>46053</v>
      </c>
      <c r="Z461" s="1">
        <v>46113</v>
      </c>
      <c r="AA461" s="2">
        <v>74045</v>
      </c>
      <c r="AB461" s="2">
        <v>62750</v>
      </c>
      <c r="AC461" s="2">
        <v>11295</v>
      </c>
      <c r="AD461" s="2">
        <v>74045</v>
      </c>
      <c r="AE461" t="s">
        <v>1633</v>
      </c>
      <c r="AF461" t="s">
        <v>72</v>
      </c>
      <c r="AG461">
        <v>-35</v>
      </c>
      <c r="AH461" t="s">
        <v>117</v>
      </c>
      <c r="AI461" t="s">
        <v>74</v>
      </c>
      <c r="AJ461" t="s">
        <v>75</v>
      </c>
      <c r="AK461" t="s">
        <v>76</v>
      </c>
      <c r="AL461" t="s">
        <v>118</v>
      </c>
      <c r="AM461" t="s">
        <v>78</v>
      </c>
      <c r="AN461" t="s">
        <v>979</v>
      </c>
      <c r="AO461" t="s">
        <v>119</v>
      </c>
      <c r="AP461" t="s">
        <v>46</v>
      </c>
      <c r="AQ461" t="s">
        <v>81</v>
      </c>
      <c r="AR461" t="str">
        <f t="shared" si="14"/>
        <v>60602298.STATAM</v>
      </c>
      <c r="AS461">
        <f t="shared" si="15"/>
        <v>8158303.190000006</v>
      </c>
      <c r="AT461" t="s">
        <v>82</v>
      </c>
    </row>
    <row r="462" spans="1:46" x14ac:dyDescent="0.35">
      <c r="A462" t="s">
        <v>52</v>
      </c>
      <c r="B462" t="s">
        <v>53</v>
      </c>
      <c r="C462" t="s">
        <v>54</v>
      </c>
      <c r="D462" t="s">
        <v>55</v>
      </c>
      <c r="E462" t="s">
        <v>56</v>
      </c>
      <c r="F462" t="s">
        <v>1462</v>
      </c>
      <c r="G462" t="s">
        <v>1634</v>
      </c>
      <c r="H462" t="s">
        <v>56</v>
      </c>
      <c r="I462" t="s">
        <v>1635</v>
      </c>
      <c r="J462" t="s">
        <v>476</v>
      </c>
      <c r="K462" t="s">
        <v>640</v>
      </c>
      <c r="L462" t="s">
        <v>1636</v>
      </c>
      <c r="M462" t="s">
        <v>56</v>
      </c>
      <c r="N462" t="s">
        <v>254</v>
      </c>
      <c r="O462" t="s">
        <v>1466</v>
      </c>
      <c r="P462" t="s">
        <v>1467</v>
      </c>
      <c r="Q462" t="s">
        <v>1486</v>
      </c>
      <c r="R462" t="s">
        <v>248</v>
      </c>
      <c r="S462">
        <v>8000000</v>
      </c>
      <c r="T462">
        <v>-2236328.4900000002</v>
      </c>
      <c r="U462" t="s">
        <v>68</v>
      </c>
      <c r="V462" t="s">
        <v>1418</v>
      </c>
      <c r="W462" s="9">
        <v>60602298</v>
      </c>
      <c r="X462" t="s">
        <v>1637</v>
      </c>
      <c r="Y462" s="1">
        <v>46058</v>
      </c>
      <c r="Z462" s="1">
        <v>46118</v>
      </c>
      <c r="AA462" s="2">
        <v>372979.12</v>
      </c>
      <c r="AB462" s="2">
        <v>316084</v>
      </c>
      <c r="AC462" s="2">
        <v>56895.12</v>
      </c>
      <c r="AD462" s="2">
        <v>372979.12</v>
      </c>
      <c r="AE462" t="s">
        <v>1638</v>
      </c>
      <c r="AF462" t="s">
        <v>72</v>
      </c>
      <c r="AG462">
        <v>-40</v>
      </c>
      <c r="AH462" t="s">
        <v>117</v>
      </c>
      <c r="AI462" t="s">
        <v>74</v>
      </c>
      <c r="AJ462" t="s">
        <v>75</v>
      </c>
      <c r="AK462" t="s">
        <v>76</v>
      </c>
      <c r="AL462" t="s">
        <v>118</v>
      </c>
      <c r="AM462" t="s">
        <v>78</v>
      </c>
      <c r="AN462" t="s">
        <v>979</v>
      </c>
      <c r="AO462" t="s">
        <v>119</v>
      </c>
      <c r="AP462" t="s">
        <v>46</v>
      </c>
      <c r="AQ462" t="s">
        <v>81</v>
      </c>
      <c r="AR462" t="str">
        <f t="shared" si="14"/>
        <v>60602298.STATAM</v>
      </c>
      <c r="AS462">
        <f t="shared" si="15"/>
        <v>8158303.190000006</v>
      </c>
      <c r="AT462" t="s">
        <v>82</v>
      </c>
    </row>
    <row r="463" spans="1:46" x14ac:dyDescent="0.35">
      <c r="A463" t="s">
        <v>52</v>
      </c>
      <c r="B463" t="s">
        <v>53</v>
      </c>
      <c r="C463" t="s">
        <v>54</v>
      </c>
      <c r="D463" t="s">
        <v>55</v>
      </c>
      <c r="E463" t="s">
        <v>56</v>
      </c>
      <c r="F463" t="s">
        <v>1462</v>
      </c>
      <c r="G463" t="s">
        <v>1579</v>
      </c>
      <c r="H463" t="s">
        <v>56</v>
      </c>
      <c r="I463" t="s">
        <v>1639</v>
      </c>
      <c r="J463" t="s">
        <v>61</v>
      </c>
      <c r="K463" t="s">
        <v>640</v>
      </c>
      <c r="L463" t="s">
        <v>1465</v>
      </c>
      <c r="M463" t="s">
        <v>56</v>
      </c>
      <c r="N463" t="s">
        <v>295</v>
      </c>
      <c r="O463" t="s">
        <v>1466</v>
      </c>
      <c r="P463" t="s">
        <v>1467</v>
      </c>
      <c r="Q463" t="s">
        <v>87</v>
      </c>
      <c r="R463" t="s">
        <v>248</v>
      </c>
      <c r="S463">
        <v>8000000</v>
      </c>
      <c r="T463">
        <v>-2236328.4900000002</v>
      </c>
      <c r="U463" t="s">
        <v>68</v>
      </c>
      <c r="V463" t="s">
        <v>1418</v>
      </c>
      <c r="W463" s="9">
        <v>60602298</v>
      </c>
      <c r="X463" t="s">
        <v>1640</v>
      </c>
      <c r="Y463" s="1">
        <v>46058</v>
      </c>
      <c r="Z463" s="1">
        <v>46118</v>
      </c>
      <c r="AA463" s="2">
        <v>69770.92</v>
      </c>
      <c r="AB463" s="2">
        <v>59127.9</v>
      </c>
      <c r="AC463" s="2">
        <v>10643.02</v>
      </c>
      <c r="AD463" s="2">
        <v>69770.92</v>
      </c>
      <c r="AE463" t="s">
        <v>1641</v>
      </c>
      <c r="AF463" t="s">
        <v>72</v>
      </c>
      <c r="AG463">
        <v>-40</v>
      </c>
      <c r="AH463" t="s">
        <v>117</v>
      </c>
      <c r="AI463" t="s">
        <v>74</v>
      </c>
      <c r="AJ463" t="s">
        <v>75</v>
      </c>
      <c r="AK463" t="s">
        <v>76</v>
      </c>
      <c r="AL463" t="s">
        <v>118</v>
      </c>
      <c r="AM463" t="s">
        <v>78</v>
      </c>
      <c r="AN463" t="s">
        <v>979</v>
      </c>
      <c r="AO463" t="s">
        <v>119</v>
      </c>
      <c r="AP463" t="s">
        <v>46</v>
      </c>
      <c r="AQ463" t="s">
        <v>81</v>
      </c>
      <c r="AR463" t="str">
        <f t="shared" si="14"/>
        <v>60602298.STATAM</v>
      </c>
      <c r="AS463">
        <f t="shared" si="15"/>
        <v>8158303.190000006</v>
      </c>
      <c r="AT463" t="s">
        <v>82</v>
      </c>
    </row>
    <row r="464" spans="1:46" x14ac:dyDescent="0.35">
      <c r="A464" t="s">
        <v>52</v>
      </c>
      <c r="B464" t="s">
        <v>53</v>
      </c>
      <c r="C464" t="s">
        <v>54</v>
      </c>
      <c r="D464" t="s">
        <v>55</v>
      </c>
      <c r="E464" t="s">
        <v>56</v>
      </c>
      <c r="F464" t="s">
        <v>1462</v>
      </c>
      <c r="G464" t="s">
        <v>1574</v>
      </c>
      <c r="H464" t="s">
        <v>56</v>
      </c>
      <c r="I464" t="s">
        <v>1642</v>
      </c>
      <c r="J464" t="s">
        <v>61</v>
      </c>
      <c r="K464" t="s">
        <v>640</v>
      </c>
      <c r="L464" t="s">
        <v>1465</v>
      </c>
      <c r="M464" t="s">
        <v>56</v>
      </c>
      <c r="N464" t="s">
        <v>252</v>
      </c>
      <c r="O464" t="s">
        <v>1466</v>
      </c>
      <c r="P464" t="s">
        <v>1467</v>
      </c>
      <c r="Q464" t="s">
        <v>87</v>
      </c>
      <c r="R464" t="s">
        <v>248</v>
      </c>
      <c r="S464">
        <v>8000000</v>
      </c>
      <c r="T464">
        <v>-2236328.4900000002</v>
      </c>
      <c r="U464" t="s">
        <v>68</v>
      </c>
      <c r="V464" t="s">
        <v>1418</v>
      </c>
      <c r="W464" s="9">
        <v>60602298</v>
      </c>
      <c r="X464" t="s">
        <v>1643</v>
      </c>
      <c r="Y464" s="1">
        <v>46058</v>
      </c>
      <c r="Z464" s="1">
        <v>46118</v>
      </c>
      <c r="AA464" s="2">
        <v>9472.76</v>
      </c>
      <c r="AB464" s="2">
        <v>8027.76</v>
      </c>
      <c r="AC464" s="2">
        <v>1445</v>
      </c>
      <c r="AD464" s="2">
        <v>9472.76</v>
      </c>
      <c r="AE464" t="s">
        <v>1644</v>
      </c>
      <c r="AF464" t="s">
        <v>72</v>
      </c>
      <c r="AG464">
        <v>-40</v>
      </c>
      <c r="AH464" t="s">
        <v>117</v>
      </c>
      <c r="AI464" t="s">
        <v>74</v>
      </c>
      <c r="AJ464" t="s">
        <v>75</v>
      </c>
      <c r="AK464" t="s">
        <v>76</v>
      </c>
      <c r="AL464" t="s">
        <v>118</v>
      </c>
      <c r="AM464" t="s">
        <v>78</v>
      </c>
      <c r="AN464" t="s">
        <v>979</v>
      </c>
      <c r="AO464" t="s">
        <v>119</v>
      </c>
      <c r="AP464" t="s">
        <v>46</v>
      </c>
      <c r="AQ464" t="s">
        <v>81</v>
      </c>
      <c r="AR464" t="str">
        <f t="shared" si="14"/>
        <v>60602298.STATAM</v>
      </c>
      <c r="AS464">
        <f t="shared" si="15"/>
        <v>8158303.190000006</v>
      </c>
      <c r="AT464" t="s">
        <v>82</v>
      </c>
    </row>
    <row r="465" spans="1:46" x14ac:dyDescent="0.35">
      <c r="A465" t="s">
        <v>52</v>
      </c>
      <c r="B465" t="s">
        <v>53</v>
      </c>
      <c r="C465" t="s">
        <v>54</v>
      </c>
      <c r="D465" t="s">
        <v>55</v>
      </c>
      <c r="E465" t="s">
        <v>56</v>
      </c>
      <c r="F465" t="s">
        <v>1462</v>
      </c>
      <c r="G465" t="s">
        <v>1645</v>
      </c>
      <c r="H465" t="s">
        <v>56</v>
      </c>
      <c r="I465" t="s">
        <v>1646</v>
      </c>
      <c r="J465" t="s">
        <v>61</v>
      </c>
      <c r="K465" t="s">
        <v>640</v>
      </c>
      <c r="L465" t="s">
        <v>1465</v>
      </c>
      <c r="M465" t="s">
        <v>56</v>
      </c>
      <c r="N465" t="s">
        <v>261</v>
      </c>
      <c r="O465" t="s">
        <v>1466</v>
      </c>
      <c r="P465" t="s">
        <v>1467</v>
      </c>
      <c r="Q465" t="s">
        <v>87</v>
      </c>
      <c r="R465" t="s">
        <v>248</v>
      </c>
      <c r="S465">
        <v>8000000</v>
      </c>
      <c r="T465">
        <v>-2236328.4900000002</v>
      </c>
      <c r="U465" t="s">
        <v>68</v>
      </c>
      <c r="V465" t="s">
        <v>1418</v>
      </c>
      <c r="W465" s="9">
        <v>60602298</v>
      </c>
      <c r="X465" t="s">
        <v>1647</v>
      </c>
      <c r="Y465" s="1">
        <v>46058</v>
      </c>
      <c r="Z465" s="1">
        <v>46118</v>
      </c>
      <c r="AA465" s="2">
        <v>9002.43</v>
      </c>
      <c r="AB465" s="2">
        <v>7629.18</v>
      </c>
      <c r="AC465" s="2">
        <v>1373.25</v>
      </c>
      <c r="AD465" s="2">
        <v>9002.43</v>
      </c>
      <c r="AE465" t="s">
        <v>1648</v>
      </c>
      <c r="AF465" t="s">
        <v>72</v>
      </c>
      <c r="AG465">
        <v>-40</v>
      </c>
      <c r="AH465" t="s">
        <v>117</v>
      </c>
      <c r="AI465" t="s">
        <v>74</v>
      </c>
      <c r="AJ465" t="s">
        <v>75</v>
      </c>
      <c r="AK465" t="s">
        <v>76</v>
      </c>
      <c r="AL465" t="s">
        <v>118</v>
      </c>
      <c r="AM465" t="s">
        <v>78</v>
      </c>
      <c r="AN465" t="s">
        <v>979</v>
      </c>
      <c r="AO465" t="s">
        <v>119</v>
      </c>
      <c r="AP465" t="s">
        <v>46</v>
      </c>
      <c r="AQ465" t="s">
        <v>81</v>
      </c>
      <c r="AR465" t="str">
        <f t="shared" si="14"/>
        <v>60602298.STATAM</v>
      </c>
      <c r="AS465">
        <f t="shared" si="15"/>
        <v>8158303.190000006</v>
      </c>
      <c r="AT465" t="s">
        <v>82</v>
      </c>
    </row>
    <row r="466" spans="1:46" x14ac:dyDescent="0.35">
      <c r="A466" t="s">
        <v>52</v>
      </c>
      <c r="B466" t="s">
        <v>53</v>
      </c>
      <c r="C466" t="s">
        <v>54</v>
      </c>
      <c r="D466" t="s">
        <v>55</v>
      </c>
      <c r="E466" t="s">
        <v>56</v>
      </c>
      <c r="F466" t="s">
        <v>1462</v>
      </c>
      <c r="G466" t="s">
        <v>1645</v>
      </c>
      <c r="H466" t="s">
        <v>56</v>
      </c>
      <c r="I466" t="s">
        <v>1646</v>
      </c>
      <c r="J466" t="s">
        <v>61</v>
      </c>
      <c r="K466" t="s">
        <v>640</v>
      </c>
      <c r="L466" t="s">
        <v>1465</v>
      </c>
      <c r="M466" t="s">
        <v>56</v>
      </c>
      <c r="N466" t="s">
        <v>252</v>
      </c>
      <c r="O466" t="s">
        <v>1466</v>
      </c>
      <c r="P466" t="s">
        <v>1467</v>
      </c>
      <c r="Q466" t="s">
        <v>87</v>
      </c>
      <c r="R466" t="s">
        <v>248</v>
      </c>
      <c r="S466">
        <v>8000000</v>
      </c>
      <c r="T466">
        <v>-2236328.4900000002</v>
      </c>
      <c r="U466" t="s">
        <v>68</v>
      </c>
      <c r="V466" t="s">
        <v>1418</v>
      </c>
      <c r="W466" s="9">
        <v>60602298</v>
      </c>
      <c r="X466" t="s">
        <v>1647</v>
      </c>
      <c r="Y466" s="1">
        <v>46058</v>
      </c>
      <c r="Z466" s="1">
        <v>46118</v>
      </c>
      <c r="AA466" s="2">
        <v>22998.95</v>
      </c>
      <c r="AB466" s="2">
        <v>19490.64</v>
      </c>
      <c r="AC466" s="2">
        <v>3508.31</v>
      </c>
      <c r="AD466" s="2">
        <v>22998.95</v>
      </c>
      <c r="AE466" t="s">
        <v>1649</v>
      </c>
      <c r="AF466" t="s">
        <v>72</v>
      </c>
      <c r="AG466">
        <v>-40</v>
      </c>
      <c r="AH466" t="s">
        <v>117</v>
      </c>
      <c r="AI466" t="s">
        <v>74</v>
      </c>
      <c r="AJ466" t="s">
        <v>75</v>
      </c>
      <c r="AK466" t="s">
        <v>76</v>
      </c>
      <c r="AL466" t="s">
        <v>118</v>
      </c>
      <c r="AM466" t="s">
        <v>78</v>
      </c>
      <c r="AN466" t="s">
        <v>979</v>
      </c>
      <c r="AO466" t="s">
        <v>119</v>
      </c>
      <c r="AP466" t="s">
        <v>46</v>
      </c>
      <c r="AQ466" t="s">
        <v>81</v>
      </c>
      <c r="AR466" t="str">
        <f t="shared" si="14"/>
        <v>60602298.STATAM</v>
      </c>
      <c r="AS466">
        <f t="shared" si="15"/>
        <v>8158303.190000006</v>
      </c>
      <c r="AT466" t="s">
        <v>82</v>
      </c>
    </row>
    <row r="467" spans="1:46" x14ac:dyDescent="0.35">
      <c r="A467" t="s">
        <v>52</v>
      </c>
      <c r="B467" t="s">
        <v>53</v>
      </c>
      <c r="C467" t="s">
        <v>54</v>
      </c>
      <c r="D467" t="s">
        <v>55</v>
      </c>
      <c r="E467" t="s">
        <v>56</v>
      </c>
      <c r="F467" t="s">
        <v>1462</v>
      </c>
      <c r="G467" t="s">
        <v>1650</v>
      </c>
      <c r="H467" t="s">
        <v>56</v>
      </c>
      <c r="I467" t="s">
        <v>1651</v>
      </c>
      <c r="J467" t="s">
        <v>61</v>
      </c>
      <c r="K467" t="s">
        <v>640</v>
      </c>
      <c r="L467" t="s">
        <v>1465</v>
      </c>
      <c r="M467" t="s">
        <v>56</v>
      </c>
      <c r="N467" t="s">
        <v>1183</v>
      </c>
      <c r="O467" t="s">
        <v>1466</v>
      </c>
      <c r="P467" t="s">
        <v>1467</v>
      </c>
      <c r="Q467" t="s">
        <v>87</v>
      </c>
      <c r="R467" t="s">
        <v>248</v>
      </c>
      <c r="S467">
        <v>8000000</v>
      </c>
      <c r="T467">
        <v>-2236328.4900000002</v>
      </c>
      <c r="U467" t="s">
        <v>68</v>
      </c>
      <c r="V467" t="s">
        <v>1418</v>
      </c>
      <c r="W467" s="9">
        <v>60602298</v>
      </c>
      <c r="X467" t="s">
        <v>1652</v>
      </c>
      <c r="Y467" s="1">
        <v>46058</v>
      </c>
      <c r="Z467" s="1">
        <v>46118</v>
      </c>
      <c r="AA467" s="2">
        <v>330908.58</v>
      </c>
      <c r="AB467" s="2">
        <v>280431</v>
      </c>
      <c r="AC467" s="2">
        <v>50477.58</v>
      </c>
      <c r="AD467" s="2">
        <v>330908.58</v>
      </c>
      <c r="AE467" t="s">
        <v>1653</v>
      </c>
      <c r="AF467" t="s">
        <v>72</v>
      </c>
      <c r="AG467">
        <v>-40</v>
      </c>
      <c r="AH467" t="s">
        <v>117</v>
      </c>
      <c r="AI467" t="s">
        <v>74</v>
      </c>
      <c r="AJ467" t="s">
        <v>75</v>
      </c>
      <c r="AK467" t="s">
        <v>76</v>
      </c>
      <c r="AL467" t="s">
        <v>118</v>
      </c>
      <c r="AM467" t="s">
        <v>78</v>
      </c>
      <c r="AN467" t="s">
        <v>979</v>
      </c>
      <c r="AO467" t="s">
        <v>119</v>
      </c>
      <c r="AP467" t="s">
        <v>46</v>
      </c>
      <c r="AQ467" t="s">
        <v>81</v>
      </c>
      <c r="AR467" t="str">
        <f t="shared" si="14"/>
        <v>60602298.STATAM</v>
      </c>
      <c r="AS467">
        <f t="shared" si="15"/>
        <v>8158303.190000006</v>
      </c>
      <c r="AT467" t="s">
        <v>82</v>
      </c>
    </row>
    <row r="468" spans="1:46" x14ac:dyDescent="0.35">
      <c r="A468" t="s">
        <v>52</v>
      </c>
      <c r="B468" t="s">
        <v>53</v>
      </c>
      <c r="C468" t="s">
        <v>54</v>
      </c>
      <c r="D468" t="s">
        <v>55</v>
      </c>
      <c r="E468" t="s">
        <v>56</v>
      </c>
      <c r="F468" t="s">
        <v>1462</v>
      </c>
      <c r="G468" t="s">
        <v>1654</v>
      </c>
      <c r="H468" t="s">
        <v>56</v>
      </c>
      <c r="I468" t="s">
        <v>1655</v>
      </c>
      <c r="J468" t="s">
        <v>476</v>
      </c>
      <c r="K468" t="s">
        <v>640</v>
      </c>
      <c r="L468" t="s">
        <v>1465</v>
      </c>
      <c r="M468" t="s">
        <v>56</v>
      </c>
      <c r="N468" t="s">
        <v>244</v>
      </c>
      <c r="O468" t="s">
        <v>1466</v>
      </c>
      <c r="P468" t="s">
        <v>1467</v>
      </c>
      <c r="Q468" t="s">
        <v>1486</v>
      </c>
      <c r="R468" t="s">
        <v>248</v>
      </c>
      <c r="S468">
        <v>8000000</v>
      </c>
      <c r="T468">
        <v>-2236328.4900000002</v>
      </c>
      <c r="U468" t="s">
        <v>68</v>
      </c>
      <c r="V468" t="s">
        <v>1418</v>
      </c>
      <c r="W468" s="9">
        <v>60602298</v>
      </c>
      <c r="X468" t="s">
        <v>1656</v>
      </c>
      <c r="Y468" s="1">
        <v>46058</v>
      </c>
      <c r="Z468" s="1">
        <v>46118</v>
      </c>
      <c r="AA468" s="2">
        <v>67682.44</v>
      </c>
      <c r="AB468" s="2">
        <v>57358</v>
      </c>
      <c r="AC468" s="2">
        <v>10324.44</v>
      </c>
      <c r="AD468" s="2">
        <v>67682.44</v>
      </c>
      <c r="AE468" t="s">
        <v>1657</v>
      </c>
      <c r="AF468" t="s">
        <v>72</v>
      </c>
      <c r="AG468">
        <v>-40</v>
      </c>
      <c r="AH468" t="s">
        <v>117</v>
      </c>
      <c r="AI468" t="s">
        <v>74</v>
      </c>
      <c r="AJ468" t="s">
        <v>75</v>
      </c>
      <c r="AK468" t="s">
        <v>76</v>
      </c>
      <c r="AL468" t="s">
        <v>118</v>
      </c>
      <c r="AM468" t="s">
        <v>78</v>
      </c>
      <c r="AN468" t="s">
        <v>979</v>
      </c>
      <c r="AO468" t="s">
        <v>119</v>
      </c>
      <c r="AP468" t="s">
        <v>46</v>
      </c>
      <c r="AQ468" t="s">
        <v>81</v>
      </c>
      <c r="AR468" t="str">
        <f t="shared" si="14"/>
        <v>60602298.STATAM</v>
      </c>
      <c r="AS468">
        <f t="shared" si="15"/>
        <v>8158303.190000006</v>
      </c>
      <c r="AT468" t="s">
        <v>82</v>
      </c>
    </row>
    <row r="469" spans="1:46" x14ac:dyDescent="0.35">
      <c r="A469" t="s">
        <v>52</v>
      </c>
      <c r="B469" t="s">
        <v>53</v>
      </c>
      <c r="C469" t="s">
        <v>54</v>
      </c>
      <c r="D469" t="s">
        <v>55</v>
      </c>
      <c r="E469" t="s">
        <v>56</v>
      </c>
      <c r="F469" t="s">
        <v>1462</v>
      </c>
      <c r="G469" t="s">
        <v>1617</v>
      </c>
      <c r="H469" t="s">
        <v>56</v>
      </c>
      <c r="I469" t="s">
        <v>1658</v>
      </c>
      <c r="J469" t="s">
        <v>476</v>
      </c>
      <c r="K469" t="s">
        <v>640</v>
      </c>
      <c r="L469" t="s">
        <v>1465</v>
      </c>
      <c r="M469" t="s">
        <v>56</v>
      </c>
      <c r="N469" t="s">
        <v>263</v>
      </c>
      <c r="O469" t="s">
        <v>1466</v>
      </c>
      <c r="P469" t="s">
        <v>1467</v>
      </c>
      <c r="Q469" t="s">
        <v>1486</v>
      </c>
      <c r="R469" t="s">
        <v>248</v>
      </c>
      <c r="S469">
        <v>8000000</v>
      </c>
      <c r="T469">
        <v>-2236328.4900000002</v>
      </c>
      <c r="U469" t="s">
        <v>68</v>
      </c>
      <c r="V469" t="s">
        <v>1418</v>
      </c>
      <c r="W469" s="9">
        <v>60602298</v>
      </c>
      <c r="X469" t="s">
        <v>1659</v>
      </c>
      <c r="Y469" s="1">
        <v>46058</v>
      </c>
      <c r="Z469" s="1">
        <v>46118</v>
      </c>
      <c r="AA469" s="2">
        <v>24040.14</v>
      </c>
      <c r="AB469" s="2">
        <v>20373</v>
      </c>
      <c r="AC469" s="2">
        <v>3667.14</v>
      </c>
      <c r="AD469" s="2">
        <v>24040.14</v>
      </c>
      <c r="AE469" t="s">
        <v>1660</v>
      </c>
      <c r="AF469" t="s">
        <v>72</v>
      </c>
      <c r="AG469">
        <v>-40</v>
      </c>
      <c r="AH469" t="s">
        <v>117</v>
      </c>
      <c r="AI469" t="s">
        <v>74</v>
      </c>
      <c r="AJ469" t="s">
        <v>75</v>
      </c>
      <c r="AK469" t="s">
        <v>76</v>
      </c>
      <c r="AL469" t="s">
        <v>118</v>
      </c>
      <c r="AM469" t="s">
        <v>78</v>
      </c>
      <c r="AN469" t="s">
        <v>979</v>
      </c>
      <c r="AO469" t="s">
        <v>119</v>
      </c>
      <c r="AP469" t="s">
        <v>46</v>
      </c>
      <c r="AQ469" t="s">
        <v>81</v>
      </c>
      <c r="AR469" t="str">
        <f t="shared" si="14"/>
        <v>60602298.STATAM</v>
      </c>
      <c r="AS469">
        <f t="shared" si="15"/>
        <v>8158303.190000006</v>
      </c>
      <c r="AT469" t="s">
        <v>82</v>
      </c>
    </row>
    <row r="470" spans="1:46" x14ac:dyDescent="0.35">
      <c r="A470" t="s">
        <v>52</v>
      </c>
      <c r="B470" t="s">
        <v>53</v>
      </c>
      <c r="C470" t="s">
        <v>54</v>
      </c>
      <c r="D470" t="s">
        <v>55</v>
      </c>
      <c r="E470" t="s">
        <v>56</v>
      </c>
      <c r="F470" t="s">
        <v>1462</v>
      </c>
      <c r="G470" t="s">
        <v>1661</v>
      </c>
      <c r="H470" t="s">
        <v>56</v>
      </c>
      <c r="I470" t="s">
        <v>1662</v>
      </c>
      <c r="J470" t="s">
        <v>61</v>
      </c>
      <c r="K470" t="s">
        <v>640</v>
      </c>
      <c r="L470" t="s">
        <v>1663</v>
      </c>
      <c r="M470" t="s">
        <v>56</v>
      </c>
      <c r="N470" t="s">
        <v>295</v>
      </c>
      <c r="O470" t="s">
        <v>1466</v>
      </c>
      <c r="P470" t="s">
        <v>1467</v>
      </c>
      <c r="Q470" t="s">
        <v>87</v>
      </c>
      <c r="R470" t="s">
        <v>248</v>
      </c>
      <c r="S470">
        <v>8000000</v>
      </c>
      <c r="T470">
        <v>-2236328.4900000002</v>
      </c>
      <c r="U470" t="s">
        <v>68</v>
      </c>
      <c r="V470" t="s">
        <v>1418</v>
      </c>
      <c r="W470" s="9">
        <v>60602298</v>
      </c>
      <c r="X470" t="s">
        <v>1664</v>
      </c>
      <c r="Y470" s="1">
        <v>46058</v>
      </c>
      <c r="Z470" s="1">
        <v>46118</v>
      </c>
      <c r="AA470" s="2">
        <v>37751.980000000003</v>
      </c>
      <c r="AB470" s="2">
        <v>31993.200000000001</v>
      </c>
      <c r="AC470" s="2">
        <v>5758.78</v>
      </c>
      <c r="AD470" s="2">
        <v>37751.980000000003</v>
      </c>
      <c r="AE470" t="s">
        <v>1665</v>
      </c>
      <c r="AF470" t="s">
        <v>72</v>
      </c>
      <c r="AG470">
        <v>-40</v>
      </c>
      <c r="AH470" t="s">
        <v>117</v>
      </c>
      <c r="AI470" t="s">
        <v>74</v>
      </c>
      <c r="AJ470" t="s">
        <v>75</v>
      </c>
      <c r="AK470" t="s">
        <v>76</v>
      </c>
      <c r="AL470" t="s">
        <v>118</v>
      </c>
      <c r="AM470" t="s">
        <v>78</v>
      </c>
      <c r="AN470" t="s">
        <v>979</v>
      </c>
      <c r="AO470" t="s">
        <v>119</v>
      </c>
      <c r="AP470" t="s">
        <v>46</v>
      </c>
      <c r="AQ470" t="s">
        <v>81</v>
      </c>
      <c r="AR470" t="str">
        <f t="shared" si="14"/>
        <v>60602298.STATAM</v>
      </c>
      <c r="AS470">
        <f t="shared" si="15"/>
        <v>8158303.190000006</v>
      </c>
      <c r="AT470" t="s">
        <v>82</v>
      </c>
    </row>
    <row r="471" spans="1:46" x14ac:dyDescent="0.35">
      <c r="A471" t="s">
        <v>52</v>
      </c>
      <c r="B471" t="s">
        <v>53</v>
      </c>
      <c r="C471" t="s">
        <v>54</v>
      </c>
      <c r="D471" t="s">
        <v>55</v>
      </c>
      <c r="E471" t="s">
        <v>56</v>
      </c>
      <c r="F471" t="s">
        <v>1462</v>
      </c>
      <c r="G471" t="s">
        <v>1661</v>
      </c>
      <c r="H471" t="s">
        <v>56</v>
      </c>
      <c r="I471" t="s">
        <v>1662</v>
      </c>
      <c r="J471" t="s">
        <v>61</v>
      </c>
      <c r="K471" t="s">
        <v>640</v>
      </c>
      <c r="L471" t="s">
        <v>1663</v>
      </c>
      <c r="M471" t="s">
        <v>56</v>
      </c>
      <c r="N471" t="s">
        <v>252</v>
      </c>
      <c r="O471" t="s">
        <v>1466</v>
      </c>
      <c r="P471" t="s">
        <v>1467</v>
      </c>
      <c r="Q471" t="s">
        <v>87</v>
      </c>
      <c r="R471" t="s">
        <v>248</v>
      </c>
      <c r="S471">
        <v>8000000</v>
      </c>
      <c r="T471">
        <v>-2236328.4900000002</v>
      </c>
      <c r="U471" t="s">
        <v>68</v>
      </c>
      <c r="V471" t="s">
        <v>1418</v>
      </c>
      <c r="W471" s="9">
        <v>60602298</v>
      </c>
      <c r="X471" t="s">
        <v>1664</v>
      </c>
      <c r="Y471" s="1">
        <v>46058</v>
      </c>
      <c r="Z471" s="1">
        <v>46118</v>
      </c>
      <c r="AA471" s="2">
        <v>47086.53</v>
      </c>
      <c r="AB471" s="2">
        <v>39903.839999999997</v>
      </c>
      <c r="AC471" s="2">
        <v>7182.69</v>
      </c>
      <c r="AD471" s="2">
        <v>47086.53</v>
      </c>
      <c r="AE471" t="s">
        <v>1666</v>
      </c>
      <c r="AF471" t="s">
        <v>72</v>
      </c>
      <c r="AG471">
        <v>-40</v>
      </c>
      <c r="AH471" t="s">
        <v>117</v>
      </c>
      <c r="AI471" t="s">
        <v>74</v>
      </c>
      <c r="AJ471" t="s">
        <v>75</v>
      </c>
      <c r="AK471" t="s">
        <v>76</v>
      </c>
      <c r="AL471" t="s">
        <v>118</v>
      </c>
      <c r="AM471" t="s">
        <v>78</v>
      </c>
      <c r="AN471" t="s">
        <v>979</v>
      </c>
      <c r="AO471" t="s">
        <v>119</v>
      </c>
      <c r="AP471" t="s">
        <v>46</v>
      </c>
      <c r="AQ471" t="s">
        <v>81</v>
      </c>
      <c r="AR471" t="str">
        <f t="shared" si="14"/>
        <v>60602298.STATAM</v>
      </c>
      <c r="AS471">
        <f t="shared" si="15"/>
        <v>8158303.190000006</v>
      </c>
      <c r="AT471" t="s">
        <v>82</v>
      </c>
    </row>
    <row r="472" spans="1:46" x14ac:dyDescent="0.35">
      <c r="A472" t="s">
        <v>52</v>
      </c>
      <c r="B472" t="s">
        <v>53</v>
      </c>
      <c r="C472" t="s">
        <v>54</v>
      </c>
      <c r="D472" t="s">
        <v>55</v>
      </c>
      <c r="E472" t="s">
        <v>56</v>
      </c>
      <c r="F472" t="s">
        <v>1462</v>
      </c>
      <c r="G472" t="s">
        <v>1667</v>
      </c>
      <c r="H472" t="s">
        <v>56</v>
      </c>
      <c r="I472" t="s">
        <v>1668</v>
      </c>
      <c r="J472" t="s">
        <v>61</v>
      </c>
      <c r="K472" t="s">
        <v>640</v>
      </c>
      <c r="L472" t="s">
        <v>56</v>
      </c>
      <c r="M472" t="s">
        <v>56</v>
      </c>
      <c r="N472" t="s">
        <v>337</v>
      </c>
      <c r="O472" t="s">
        <v>1466</v>
      </c>
      <c r="P472" t="s">
        <v>1467</v>
      </c>
      <c r="Q472" t="s">
        <v>87</v>
      </c>
      <c r="R472" t="s">
        <v>248</v>
      </c>
      <c r="S472">
        <v>8000000</v>
      </c>
      <c r="T472">
        <v>-2236328.4900000002</v>
      </c>
      <c r="U472" t="s">
        <v>68</v>
      </c>
      <c r="V472" t="s">
        <v>1418</v>
      </c>
      <c r="W472" s="9">
        <v>60602298</v>
      </c>
      <c r="X472" t="s">
        <v>1669</v>
      </c>
      <c r="Y472" s="1">
        <v>46060</v>
      </c>
      <c r="Z472" s="1">
        <v>46120</v>
      </c>
      <c r="AA472" s="2">
        <v>308086.2</v>
      </c>
      <c r="AB472" s="2">
        <v>261090</v>
      </c>
      <c r="AC472" s="2">
        <v>46996.2</v>
      </c>
      <c r="AD472" s="2">
        <v>308086.2</v>
      </c>
      <c r="AE472" t="s">
        <v>1670</v>
      </c>
      <c r="AF472" t="s">
        <v>72</v>
      </c>
      <c r="AG472">
        <v>-42</v>
      </c>
      <c r="AH472" t="s">
        <v>117</v>
      </c>
      <c r="AI472" t="s">
        <v>74</v>
      </c>
      <c r="AJ472" t="s">
        <v>127</v>
      </c>
      <c r="AK472" t="s">
        <v>334</v>
      </c>
      <c r="AL472" t="s">
        <v>118</v>
      </c>
      <c r="AM472" t="s">
        <v>78</v>
      </c>
      <c r="AN472" t="s">
        <v>979</v>
      </c>
      <c r="AO472" t="s">
        <v>119</v>
      </c>
      <c r="AP472" t="s">
        <v>46</v>
      </c>
      <c r="AQ472" t="s">
        <v>335</v>
      </c>
      <c r="AR472" t="str">
        <f t="shared" si="14"/>
        <v>60602298.SPMINAM</v>
      </c>
      <c r="AS472">
        <f t="shared" si="15"/>
        <v>1341270.1200000001</v>
      </c>
      <c r="AT472" t="s">
        <v>82</v>
      </c>
    </row>
    <row r="473" spans="1:46" x14ac:dyDescent="0.35">
      <c r="A473" t="s">
        <v>52</v>
      </c>
      <c r="B473" t="s">
        <v>53</v>
      </c>
      <c r="C473" t="s">
        <v>54</v>
      </c>
      <c r="D473" t="s">
        <v>55</v>
      </c>
      <c r="E473" t="s">
        <v>56</v>
      </c>
      <c r="F473" t="s">
        <v>1462</v>
      </c>
      <c r="G473" t="s">
        <v>1671</v>
      </c>
      <c r="H473" t="s">
        <v>56</v>
      </c>
      <c r="I473" t="s">
        <v>1672</v>
      </c>
      <c r="J473" t="s">
        <v>476</v>
      </c>
      <c r="K473" t="s">
        <v>640</v>
      </c>
      <c r="L473" t="s">
        <v>56</v>
      </c>
      <c r="M473" t="s">
        <v>56</v>
      </c>
      <c r="N473" t="s">
        <v>337</v>
      </c>
      <c r="O473" t="s">
        <v>1466</v>
      </c>
      <c r="P473" t="s">
        <v>1467</v>
      </c>
      <c r="Q473" t="s">
        <v>1486</v>
      </c>
      <c r="R473" t="s">
        <v>248</v>
      </c>
      <c r="S473">
        <v>8000000</v>
      </c>
      <c r="T473">
        <v>-2236328.4900000002</v>
      </c>
      <c r="U473" t="s">
        <v>68</v>
      </c>
      <c r="V473" t="s">
        <v>1418</v>
      </c>
      <c r="W473" s="9">
        <v>60602298</v>
      </c>
      <c r="X473" t="s">
        <v>1673</v>
      </c>
      <c r="Y473" s="1">
        <v>46060</v>
      </c>
      <c r="Z473" s="1">
        <v>46120</v>
      </c>
      <c r="AA473" s="2">
        <v>84761.76</v>
      </c>
      <c r="AB473" s="2">
        <v>71832</v>
      </c>
      <c r="AC473" s="2">
        <v>12929.76</v>
      </c>
      <c r="AD473" s="2">
        <v>84761.76</v>
      </c>
      <c r="AE473" t="s">
        <v>1674</v>
      </c>
      <c r="AF473" t="s">
        <v>72</v>
      </c>
      <c r="AG473">
        <v>-42</v>
      </c>
      <c r="AH473" t="s">
        <v>117</v>
      </c>
      <c r="AI473" t="s">
        <v>74</v>
      </c>
      <c r="AJ473" t="s">
        <v>127</v>
      </c>
      <c r="AK473" t="s">
        <v>334</v>
      </c>
      <c r="AL473" t="s">
        <v>118</v>
      </c>
      <c r="AM473" t="s">
        <v>78</v>
      </c>
      <c r="AN473" t="s">
        <v>979</v>
      </c>
      <c r="AO473" t="s">
        <v>119</v>
      </c>
      <c r="AP473" t="s">
        <v>46</v>
      </c>
      <c r="AQ473" t="s">
        <v>335</v>
      </c>
      <c r="AR473" t="str">
        <f t="shared" si="14"/>
        <v>60602298.SPMINAM</v>
      </c>
      <c r="AS473">
        <f t="shared" si="15"/>
        <v>1341270.1200000001</v>
      </c>
      <c r="AT473" t="s">
        <v>82</v>
      </c>
    </row>
    <row r="474" spans="1:46" x14ac:dyDescent="0.35">
      <c r="A474" t="s">
        <v>52</v>
      </c>
      <c r="B474" t="s">
        <v>53</v>
      </c>
      <c r="C474" t="s">
        <v>54</v>
      </c>
      <c r="D474" t="s">
        <v>55</v>
      </c>
      <c r="E474" t="s">
        <v>56</v>
      </c>
      <c r="F474" t="s">
        <v>1462</v>
      </c>
      <c r="G474" t="s">
        <v>1675</v>
      </c>
      <c r="H474" t="s">
        <v>56</v>
      </c>
      <c r="I474" t="s">
        <v>1676</v>
      </c>
      <c r="J474" t="s">
        <v>61</v>
      </c>
      <c r="K474" t="s">
        <v>640</v>
      </c>
      <c r="L474" t="s">
        <v>1465</v>
      </c>
      <c r="M474" t="s">
        <v>56</v>
      </c>
      <c r="N474" t="s">
        <v>263</v>
      </c>
      <c r="O474" t="s">
        <v>1466</v>
      </c>
      <c r="P474" t="s">
        <v>1467</v>
      </c>
      <c r="Q474" t="s">
        <v>87</v>
      </c>
      <c r="R474" t="s">
        <v>248</v>
      </c>
      <c r="S474">
        <v>8000000</v>
      </c>
      <c r="T474">
        <v>-2236328.4900000002</v>
      </c>
      <c r="U474" t="s">
        <v>68</v>
      </c>
      <c r="V474" t="s">
        <v>1418</v>
      </c>
      <c r="W474" s="9">
        <v>60602298</v>
      </c>
      <c r="X474" t="s">
        <v>1677</v>
      </c>
      <c r="Y474" s="1">
        <v>46060</v>
      </c>
      <c r="Z474" s="1">
        <v>46120</v>
      </c>
      <c r="AA474" s="2">
        <v>88100.69</v>
      </c>
      <c r="AB474" s="2">
        <v>74661.600000000006</v>
      </c>
      <c r="AC474" s="2">
        <v>13439.09</v>
      </c>
      <c r="AD474" s="2">
        <v>88100.69</v>
      </c>
      <c r="AE474" t="s">
        <v>1678</v>
      </c>
      <c r="AF474" t="s">
        <v>72</v>
      </c>
      <c r="AG474">
        <v>-42</v>
      </c>
      <c r="AH474" t="s">
        <v>117</v>
      </c>
      <c r="AI474" t="s">
        <v>74</v>
      </c>
      <c r="AJ474" t="s">
        <v>75</v>
      </c>
      <c r="AK474" t="s">
        <v>76</v>
      </c>
      <c r="AL474" t="s">
        <v>118</v>
      </c>
      <c r="AM474" t="s">
        <v>78</v>
      </c>
      <c r="AN474" t="s">
        <v>979</v>
      </c>
      <c r="AO474" t="s">
        <v>119</v>
      </c>
      <c r="AP474" t="s">
        <v>46</v>
      </c>
      <c r="AQ474" t="s">
        <v>81</v>
      </c>
      <c r="AR474" t="str">
        <f t="shared" si="14"/>
        <v>60602298.STATAM</v>
      </c>
      <c r="AS474">
        <f t="shared" si="15"/>
        <v>8158303.190000006</v>
      </c>
      <c r="AT474" t="s">
        <v>82</v>
      </c>
    </row>
    <row r="475" spans="1:46" x14ac:dyDescent="0.35">
      <c r="A475" t="s">
        <v>52</v>
      </c>
      <c r="B475" t="s">
        <v>53</v>
      </c>
      <c r="C475" t="s">
        <v>54</v>
      </c>
      <c r="D475" t="s">
        <v>55</v>
      </c>
      <c r="E475" t="s">
        <v>56</v>
      </c>
      <c r="F475" t="s">
        <v>1462</v>
      </c>
      <c r="G475" t="s">
        <v>1675</v>
      </c>
      <c r="H475" t="s">
        <v>56</v>
      </c>
      <c r="I475" t="s">
        <v>1676</v>
      </c>
      <c r="J475" t="s">
        <v>61</v>
      </c>
      <c r="K475" t="s">
        <v>640</v>
      </c>
      <c r="L475" t="s">
        <v>1465</v>
      </c>
      <c r="M475" t="s">
        <v>56</v>
      </c>
      <c r="N475" t="s">
        <v>252</v>
      </c>
      <c r="O475" t="s">
        <v>1466</v>
      </c>
      <c r="P475" t="s">
        <v>1467</v>
      </c>
      <c r="Q475" t="s">
        <v>87</v>
      </c>
      <c r="R475" t="s">
        <v>248</v>
      </c>
      <c r="S475">
        <v>8000000</v>
      </c>
      <c r="T475">
        <v>-2236328.4900000002</v>
      </c>
      <c r="U475" t="s">
        <v>68</v>
      </c>
      <c r="V475" t="s">
        <v>1418</v>
      </c>
      <c r="W475" s="9">
        <v>60602298</v>
      </c>
      <c r="X475" t="s">
        <v>1677</v>
      </c>
      <c r="Y475" s="1">
        <v>46060</v>
      </c>
      <c r="Z475" s="1">
        <v>46120</v>
      </c>
      <c r="AA475" s="2">
        <v>8449.27</v>
      </c>
      <c r="AB475" s="2">
        <v>7160.4</v>
      </c>
      <c r="AC475" s="2">
        <v>1288.8699999999999</v>
      </c>
      <c r="AD475" s="2">
        <v>8449.27</v>
      </c>
      <c r="AE475" t="s">
        <v>1679</v>
      </c>
      <c r="AF475" t="s">
        <v>72</v>
      </c>
      <c r="AG475">
        <v>-42</v>
      </c>
      <c r="AH475" t="s">
        <v>117</v>
      </c>
      <c r="AI475" t="s">
        <v>74</v>
      </c>
      <c r="AJ475" t="s">
        <v>75</v>
      </c>
      <c r="AK475" t="s">
        <v>76</v>
      </c>
      <c r="AL475" t="s">
        <v>118</v>
      </c>
      <c r="AM475" t="s">
        <v>78</v>
      </c>
      <c r="AN475" t="s">
        <v>979</v>
      </c>
      <c r="AO475" t="s">
        <v>119</v>
      </c>
      <c r="AP475" t="s">
        <v>46</v>
      </c>
      <c r="AQ475" t="s">
        <v>81</v>
      </c>
      <c r="AR475" t="str">
        <f t="shared" si="14"/>
        <v>60602298.STATAM</v>
      </c>
      <c r="AS475">
        <f t="shared" si="15"/>
        <v>8158303.190000006</v>
      </c>
      <c r="AT475" t="s">
        <v>82</v>
      </c>
    </row>
    <row r="476" spans="1:46" x14ac:dyDescent="0.35">
      <c r="A476" t="s">
        <v>52</v>
      </c>
      <c r="B476" t="s">
        <v>53</v>
      </c>
      <c r="C476" t="s">
        <v>54</v>
      </c>
      <c r="D476" t="s">
        <v>55</v>
      </c>
      <c r="E476" t="s">
        <v>56</v>
      </c>
      <c r="F476" t="s">
        <v>1462</v>
      </c>
      <c r="G476" t="s">
        <v>1675</v>
      </c>
      <c r="H476" t="s">
        <v>56</v>
      </c>
      <c r="I476" t="s">
        <v>1676</v>
      </c>
      <c r="J476" t="s">
        <v>61</v>
      </c>
      <c r="K476" t="s">
        <v>640</v>
      </c>
      <c r="L476" t="s">
        <v>1465</v>
      </c>
      <c r="M476" t="s">
        <v>56</v>
      </c>
      <c r="N476" t="s">
        <v>295</v>
      </c>
      <c r="O476" t="s">
        <v>1466</v>
      </c>
      <c r="P476" t="s">
        <v>1467</v>
      </c>
      <c r="Q476" t="s">
        <v>87</v>
      </c>
      <c r="R476" t="s">
        <v>248</v>
      </c>
      <c r="S476">
        <v>8000000</v>
      </c>
      <c r="T476">
        <v>-2236328.4900000002</v>
      </c>
      <c r="U476" t="s">
        <v>68</v>
      </c>
      <c r="V476" t="s">
        <v>1418</v>
      </c>
      <c r="W476" s="9">
        <v>60602298</v>
      </c>
      <c r="X476" t="s">
        <v>1677</v>
      </c>
      <c r="Y476" s="1">
        <v>46060</v>
      </c>
      <c r="Z476" s="1">
        <v>46120</v>
      </c>
      <c r="AA476" s="2">
        <v>80649.13</v>
      </c>
      <c r="AB476" s="2">
        <v>68346.720000000001</v>
      </c>
      <c r="AC476" s="2">
        <v>12302.41</v>
      </c>
      <c r="AD476" s="2">
        <v>80649.13</v>
      </c>
      <c r="AE476" t="s">
        <v>1680</v>
      </c>
      <c r="AF476" t="s">
        <v>72</v>
      </c>
      <c r="AG476">
        <v>-42</v>
      </c>
      <c r="AH476" t="s">
        <v>117</v>
      </c>
      <c r="AI476" t="s">
        <v>74</v>
      </c>
      <c r="AJ476" t="s">
        <v>75</v>
      </c>
      <c r="AK476" t="s">
        <v>76</v>
      </c>
      <c r="AL476" t="s">
        <v>118</v>
      </c>
      <c r="AM476" t="s">
        <v>78</v>
      </c>
      <c r="AN476" t="s">
        <v>979</v>
      </c>
      <c r="AO476" t="s">
        <v>119</v>
      </c>
      <c r="AP476" t="s">
        <v>46</v>
      </c>
      <c r="AQ476" t="s">
        <v>81</v>
      </c>
      <c r="AR476" t="str">
        <f t="shared" si="14"/>
        <v>60602298.STATAM</v>
      </c>
      <c r="AS476">
        <f t="shared" si="15"/>
        <v>8158303.190000006</v>
      </c>
      <c r="AT476" t="s">
        <v>82</v>
      </c>
    </row>
    <row r="477" spans="1:46" x14ac:dyDescent="0.35">
      <c r="A477" t="s">
        <v>52</v>
      </c>
      <c r="B477" t="s">
        <v>53</v>
      </c>
      <c r="C477" t="s">
        <v>54</v>
      </c>
      <c r="D477" t="s">
        <v>55</v>
      </c>
      <c r="E477" t="s">
        <v>56</v>
      </c>
      <c r="F477" t="s">
        <v>1462</v>
      </c>
      <c r="G477" t="s">
        <v>1675</v>
      </c>
      <c r="H477" t="s">
        <v>56</v>
      </c>
      <c r="I477" t="s">
        <v>1676</v>
      </c>
      <c r="J477" t="s">
        <v>61</v>
      </c>
      <c r="K477" t="s">
        <v>640</v>
      </c>
      <c r="L477" t="s">
        <v>1465</v>
      </c>
      <c r="M477" t="s">
        <v>56</v>
      </c>
      <c r="N477" t="s">
        <v>261</v>
      </c>
      <c r="O477" t="s">
        <v>1466</v>
      </c>
      <c r="P477" t="s">
        <v>1467</v>
      </c>
      <c r="Q477" t="s">
        <v>87</v>
      </c>
      <c r="R477" t="s">
        <v>248</v>
      </c>
      <c r="S477">
        <v>8000000</v>
      </c>
      <c r="T477">
        <v>-2236328.4900000002</v>
      </c>
      <c r="U477" t="s">
        <v>68</v>
      </c>
      <c r="V477" t="s">
        <v>1418</v>
      </c>
      <c r="W477" s="9">
        <v>60602298</v>
      </c>
      <c r="X477" t="s">
        <v>1677</v>
      </c>
      <c r="Y477" s="1">
        <v>46060</v>
      </c>
      <c r="Z477" s="1">
        <v>46120</v>
      </c>
      <c r="AA477" s="2">
        <v>334639.03000000003</v>
      </c>
      <c r="AB477" s="2">
        <v>283592.40000000002</v>
      </c>
      <c r="AC477" s="2">
        <v>51046.63</v>
      </c>
      <c r="AD477" s="2">
        <v>334639.03000000003</v>
      </c>
      <c r="AE477" t="s">
        <v>1681</v>
      </c>
      <c r="AF477" t="s">
        <v>72</v>
      </c>
      <c r="AG477">
        <v>-42</v>
      </c>
      <c r="AH477" t="s">
        <v>117</v>
      </c>
      <c r="AI477" t="s">
        <v>74</v>
      </c>
      <c r="AJ477" t="s">
        <v>75</v>
      </c>
      <c r="AK477" t="s">
        <v>76</v>
      </c>
      <c r="AL477" t="s">
        <v>118</v>
      </c>
      <c r="AM477" t="s">
        <v>78</v>
      </c>
      <c r="AN477" t="s">
        <v>979</v>
      </c>
      <c r="AO477" t="s">
        <v>119</v>
      </c>
      <c r="AP477" t="s">
        <v>46</v>
      </c>
      <c r="AQ477" t="s">
        <v>81</v>
      </c>
      <c r="AR477" t="str">
        <f t="shared" si="14"/>
        <v>60602298.STATAM</v>
      </c>
      <c r="AS477">
        <f t="shared" si="15"/>
        <v>8158303.190000006</v>
      </c>
      <c r="AT477" t="s">
        <v>82</v>
      </c>
    </row>
    <row r="478" spans="1:46" x14ac:dyDescent="0.35">
      <c r="A478" t="s">
        <v>52</v>
      </c>
      <c r="B478" t="s">
        <v>53</v>
      </c>
      <c r="C478" t="s">
        <v>54</v>
      </c>
      <c r="D478" t="s">
        <v>55</v>
      </c>
      <c r="E478" t="s">
        <v>56</v>
      </c>
      <c r="F478" t="s">
        <v>1462</v>
      </c>
      <c r="G478" t="s">
        <v>1682</v>
      </c>
      <c r="H478" t="s">
        <v>56</v>
      </c>
      <c r="I478" t="s">
        <v>1683</v>
      </c>
      <c r="J478" t="s">
        <v>61</v>
      </c>
      <c r="K478" t="s">
        <v>640</v>
      </c>
      <c r="L478" t="s">
        <v>1465</v>
      </c>
      <c r="M478" t="s">
        <v>56</v>
      </c>
      <c r="N478" t="s">
        <v>1384</v>
      </c>
      <c r="O478" t="s">
        <v>1466</v>
      </c>
      <c r="P478" t="s">
        <v>1467</v>
      </c>
      <c r="Q478" t="s">
        <v>87</v>
      </c>
      <c r="R478" t="s">
        <v>248</v>
      </c>
      <c r="S478">
        <v>8000000</v>
      </c>
      <c r="T478">
        <v>-2236328.4900000002</v>
      </c>
      <c r="U478" t="s">
        <v>68</v>
      </c>
      <c r="V478" t="s">
        <v>1418</v>
      </c>
      <c r="W478" s="9">
        <v>60602298</v>
      </c>
      <c r="X478" t="s">
        <v>1684</v>
      </c>
      <c r="Y478" s="1">
        <v>46060</v>
      </c>
      <c r="Z478" s="1">
        <v>46120</v>
      </c>
      <c r="AA478" s="2">
        <v>2142.69</v>
      </c>
      <c r="AB478" s="2">
        <v>1815.84</v>
      </c>
      <c r="AC478" s="2">
        <v>326.85000000000002</v>
      </c>
      <c r="AD478" s="2">
        <v>2142.69</v>
      </c>
      <c r="AE478" t="s">
        <v>1685</v>
      </c>
      <c r="AF478" t="s">
        <v>72</v>
      </c>
      <c r="AG478">
        <v>-42</v>
      </c>
      <c r="AH478" t="s">
        <v>117</v>
      </c>
      <c r="AI478" t="s">
        <v>74</v>
      </c>
      <c r="AJ478" t="s">
        <v>75</v>
      </c>
      <c r="AK478" t="s">
        <v>76</v>
      </c>
      <c r="AL478" t="s">
        <v>118</v>
      </c>
      <c r="AM478" t="s">
        <v>78</v>
      </c>
      <c r="AN478" t="s">
        <v>979</v>
      </c>
      <c r="AO478" t="s">
        <v>119</v>
      </c>
      <c r="AP478" t="s">
        <v>46</v>
      </c>
      <c r="AQ478" t="s">
        <v>81</v>
      </c>
      <c r="AR478" t="str">
        <f t="shared" si="14"/>
        <v>60602298.STATAM</v>
      </c>
      <c r="AS478">
        <f t="shared" si="15"/>
        <v>8158303.190000006</v>
      </c>
      <c r="AT478" t="s">
        <v>82</v>
      </c>
    </row>
    <row r="479" spans="1:46" x14ac:dyDescent="0.35">
      <c r="A479" t="s">
        <v>52</v>
      </c>
      <c r="B479" t="s">
        <v>53</v>
      </c>
      <c r="C479" t="s">
        <v>54</v>
      </c>
      <c r="D479" t="s">
        <v>55</v>
      </c>
      <c r="E479" t="s">
        <v>56</v>
      </c>
      <c r="F479" t="s">
        <v>1462</v>
      </c>
      <c r="G479" t="s">
        <v>1475</v>
      </c>
      <c r="H479" t="s">
        <v>56</v>
      </c>
      <c r="I479" t="s">
        <v>1686</v>
      </c>
      <c r="J479" t="s">
        <v>61</v>
      </c>
      <c r="K479" t="s">
        <v>640</v>
      </c>
      <c r="L479" t="s">
        <v>1465</v>
      </c>
      <c r="M479" t="s">
        <v>56</v>
      </c>
      <c r="N479" t="s">
        <v>252</v>
      </c>
      <c r="O479" t="s">
        <v>1466</v>
      </c>
      <c r="P479" t="s">
        <v>1467</v>
      </c>
      <c r="Q479" t="s">
        <v>87</v>
      </c>
      <c r="R479" t="s">
        <v>248</v>
      </c>
      <c r="S479">
        <v>8000000</v>
      </c>
      <c r="T479">
        <v>-2236328.4900000002</v>
      </c>
      <c r="U479" t="s">
        <v>68</v>
      </c>
      <c r="V479" t="s">
        <v>1418</v>
      </c>
      <c r="W479" s="9">
        <v>60602298</v>
      </c>
      <c r="X479" t="s">
        <v>1687</v>
      </c>
      <c r="Y479" s="1">
        <v>46060</v>
      </c>
      <c r="Z479" s="1">
        <v>46120</v>
      </c>
      <c r="AA479" s="2">
        <v>1104.48</v>
      </c>
      <c r="AB479" s="2">
        <v>936</v>
      </c>
      <c r="AC479" s="2">
        <v>168.48</v>
      </c>
      <c r="AD479" s="2">
        <v>1104.48</v>
      </c>
      <c r="AE479" t="s">
        <v>1688</v>
      </c>
      <c r="AF479" t="s">
        <v>72</v>
      </c>
      <c r="AG479">
        <v>-42</v>
      </c>
      <c r="AH479" t="s">
        <v>117</v>
      </c>
      <c r="AI479" t="s">
        <v>74</v>
      </c>
      <c r="AJ479" t="s">
        <v>75</v>
      </c>
      <c r="AK479" t="s">
        <v>76</v>
      </c>
      <c r="AL479" t="s">
        <v>118</v>
      </c>
      <c r="AM479" t="s">
        <v>78</v>
      </c>
      <c r="AN479" t="s">
        <v>979</v>
      </c>
      <c r="AO479" t="s">
        <v>119</v>
      </c>
      <c r="AP479" t="s">
        <v>46</v>
      </c>
      <c r="AQ479" t="s">
        <v>81</v>
      </c>
      <c r="AR479" t="str">
        <f t="shared" si="14"/>
        <v>60602298.STATAM</v>
      </c>
      <c r="AS479">
        <f t="shared" si="15"/>
        <v>8158303.190000006</v>
      </c>
      <c r="AT479" t="s">
        <v>82</v>
      </c>
    </row>
    <row r="480" spans="1:46" x14ac:dyDescent="0.35">
      <c r="A480" t="s">
        <v>52</v>
      </c>
      <c r="B480" t="s">
        <v>53</v>
      </c>
      <c r="C480" t="s">
        <v>54</v>
      </c>
      <c r="D480" t="s">
        <v>55</v>
      </c>
      <c r="E480" t="s">
        <v>56</v>
      </c>
      <c r="F480" t="s">
        <v>1462</v>
      </c>
      <c r="G480" t="s">
        <v>1689</v>
      </c>
      <c r="H480" t="s">
        <v>56</v>
      </c>
      <c r="I480" t="s">
        <v>1690</v>
      </c>
      <c r="J480" t="s">
        <v>61</v>
      </c>
      <c r="K480" t="s">
        <v>640</v>
      </c>
      <c r="L480" t="s">
        <v>1465</v>
      </c>
      <c r="M480" t="s">
        <v>56</v>
      </c>
      <c r="N480" t="s">
        <v>655</v>
      </c>
      <c r="O480" t="s">
        <v>1466</v>
      </c>
      <c r="P480" t="s">
        <v>1467</v>
      </c>
      <c r="Q480" t="s">
        <v>87</v>
      </c>
      <c r="R480" t="s">
        <v>248</v>
      </c>
      <c r="S480">
        <v>8000000</v>
      </c>
      <c r="T480">
        <v>-2236328.4900000002</v>
      </c>
      <c r="U480" t="s">
        <v>68</v>
      </c>
      <c r="V480" t="s">
        <v>1418</v>
      </c>
      <c r="W480" s="9">
        <v>60602298</v>
      </c>
      <c r="X480" t="s">
        <v>1691</v>
      </c>
      <c r="Y480" s="1">
        <v>46060</v>
      </c>
      <c r="Z480" s="1">
        <v>46120</v>
      </c>
      <c r="AA480" s="2">
        <v>889.11</v>
      </c>
      <c r="AB480" s="2">
        <v>753.48</v>
      </c>
      <c r="AC480" s="2">
        <v>135.63</v>
      </c>
      <c r="AD480" s="2">
        <v>889.11</v>
      </c>
      <c r="AE480" t="s">
        <v>1692</v>
      </c>
      <c r="AF480" t="s">
        <v>72</v>
      </c>
      <c r="AG480">
        <v>-42</v>
      </c>
      <c r="AH480" t="s">
        <v>117</v>
      </c>
      <c r="AI480" t="s">
        <v>74</v>
      </c>
      <c r="AJ480" t="s">
        <v>75</v>
      </c>
      <c r="AK480" t="s">
        <v>76</v>
      </c>
      <c r="AL480" t="s">
        <v>118</v>
      </c>
      <c r="AM480" t="s">
        <v>78</v>
      </c>
      <c r="AN480" t="s">
        <v>979</v>
      </c>
      <c r="AO480" t="s">
        <v>119</v>
      </c>
      <c r="AP480" t="s">
        <v>46</v>
      </c>
      <c r="AQ480" t="s">
        <v>81</v>
      </c>
      <c r="AR480" t="str">
        <f t="shared" si="14"/>
        <v>60602298.STATAM</v>
      </c>
      <c r="AS480">
        <f t="shared" si="15"/>
        <v>8158303.190000006</v>
      </c>
      <c r="AT480" t="s">
        <v>82</v>
      </c>
    </row>
    <row r="481" spans="1:46" x14ac:dyDescent="0.35">
      <c r="A481" t="s">
        <v>52</v>
      </c>
      <c r="B481" t="s">
        <v>53</v>
      </c>
      <c r="C481" t="s">
        <v>54</v>
      </c>
      <c r="D481" t="s">
        <v>55</v>
      </c>
      <c r="E481" t="s">
        <v>56</v>
      </c>
      <c r="F481" t="s">
        <v>1462</v>
      </c>
      <c r="G481" t="s">
        <v>1689</v>
      </c>
      <c r="H481" t="s">
        <v>56</v>
      </c>
      <c r="I481" t="s">
        <v>1690</v>
      </c>
      <c r="J481" t="s">
        <v>61</v>
      </c>
      <c r="K481" t="s">
        <v>640</v>
      </c>
      <c r="L481" t="s">
        <v>1465</v>
      </c>
      <c r="M481" t="s">
        <v>56</v>
      </c>
      <c r="N481" t="s">
        <v>1186</v>
      </c>
      <c r="O481" t="s">
        <v>1466</v>
      </c>
      <c r="P481" t="s">
        <v>1467</v>
      </c>
      <c r="Q481" t="s">
        <v>87</v>
      </c>
      <c r="R481" t="s">
        <v>248</v>
      </c>
      <c r="S481">
        <v>8000000</v>
      </c>
      <c r="T481">
        <v>-2236328.4900000002</v>
      </c>
      <c r="U481" t="s">
        <v>68</v>
      </c>
      <c r="V481" t="s">
        <v>1418</v>
      </c>
      <c r="W481" s="9">
        <v>60602298</v>
      </c>
      <c r="X481" t="s">
        <v>1691</v>
      </c>
      <c r="Y481" s="1">
        <v>46060</v>
      </c>
      <c r="Z481" s="1">
        <v>46120</v>
      </c>
      <c r="AA481" s="2">
        <v>566.97</v>
      </c>
      <c r="AB481" s="2">
        <v>480.48</v>
      </c>
      <c r="AC481" s="2">
        <v>86.49</v>
      </c>
      <c r="AD481" s="2">
        <v>566.97</v>
      </c>
      <c r="AE481" t="s">
        <v>1693</v>
      </c>
      <c r="AF481" t="s">
        <v>72</v>
      </c>
      <c r="AG481">
        <v>-42</v>
      </c>
      <c r="AH481" t="s">
        <v>117</v>
      </c>
      <c r="AI481" t="s">
        <v>74</v>
      </c>
      <c r="AJ481" t="s">
        <v>75</v>
      </c>
      <c r="AK481" t="s">
        <v>76</v>
      </c>
      <c r="AL481" t="s">
        <v>118</v>
      </c>
      <c r="AM481" t="s">
        <v>78</v>
      </c>
      <c r="AN481" t="s">
        <v>979</v>
      </c>
      <c r="AO481" t="s">
        <v>119</v>
      </c>
      <c r="AP481" t="s">
        <v>46</v>
      </c>
      <c r="AQ481" t="s">
        <v>81</v>
      </c>
      <c r="AR481" t="str">
        <f t="shared" si="14"/>
        <v>60602298.STATAM</v>
      </c>
      <c r="AS481">
        <f t="shared" si="15"/>
        <v>8158303.190000006</v>
      </c>
      <c r="AT481" t="s">
        <v>82</v>
      </c>
    </row>
    <row r="482" spans="1:46" x14ac:dyDescent="0.35">
      <c r="A482" t="s">
        <v>52</v>
      </c>
      <c r="B482" t="s">
        <v>53</v>
      </c>
      <c r="C482" t="s">
        <v>54</v>
      </c>
      <c r="D482" t="s">
        <v>55</v>
      </c>
      <c r="E482" t="s">
        <v>56</v>
      </c>
      <c r="F482" t="s">
        <v>1462</v>
      </c>
      <c r="G482" t="s">
        <v>1555</v>
      </c>
      <c r="H482" t="s">
        <v>56</v>
      </c>
      <c r="I482" t="s">
        <v>1694</v>
      </c>
      <c r="J482" t="s">
        <v>61</v>
      </c>
      <c r="K482" t="s">
        <v>640</v>
      </c>
      <c r="L482" t="s">
        <v>1465</v>
      </c>
      <c r="M482" t="s">
        <v>56</v>
      </c>
      <c r="N482" t="s">
        <v>1189</v>
      </c>
      <c r="O482" t="s">
        <v>1466</v>
      </c>
      <c r="P482" t="s">
        <v>1467</v>
      </c>
      <c r="Q482" t="s">
        <v>87</v>
      </c>
      <c r="R482" t="s">
        <v>248</v>
      </c>
      <c r="S482">
        <v>8000000</v>
      </c>
      <c r="T482">
        <v>-2236328.4900000002</v>
      </c>
      <c r="U482" t="s">
        <v>68</v>
      </c>
      <c r="V482" t="s">
        <v>1418</v>
      </c>
      <c r="W482" s="9">
        <v>60602298</v>
      </c>
      <c r="X482" t="s">
        <v>1695</v>
      </c>
      <c r="Y482" s="1">
        <v>46063</v>
      </c>
      <c r="Z482" s="1">
        <v>46123</v>
      </c>
      <c r="AA482" s="2">
        <v>79126.080000000002</v>
      </c>
      <c r="AB482" s="2">
        <v>67056</v>
      </c>
      <c r="AC482" s="2">
        <v>12070.08</v>
      </c>
      <c r="AD482" s="2">
        <v>79126.080000000002</v>
      </c>
      <c r="AE482" t="s">
        <v>1696</v>
      </c>
      <c r="AF482" t="s">
        <v>72</v>
      </c>
      <c r="AG482">
        <v>-45</v>
      </c>
      <c r="AH482" t="s">
        <v>117</v>
      </c>
      <c r="AI482" t="s">
        <v>74</v>
      </c>
      <c r="AJ482" t="s">
        <v>75</v>
      </c>
      <c r="AK482" t="s">
        <v>76</v>
      </c>
      <c r="AL482" t="s">
        <v>118</v>
      </c>
      <c r="AM482" t="s">
        <v>78</v>
      </c>
      <c r="AN482" t="s">
        <v>979</v>
      </c>
      <c r="AO482" t="s">
        <v>119</v>
      </c>
      <c r="AP482" t="s">
        <v>46</v>
      </c>
      <c r="AQ482" t="s">
        <v>81</v>
      </c>
      <c r="AR482" t="str">
        <f t="shared" si="14"/>
        <v>60602298.STATAM</v>
      </c>
      <c r="AS482">
        <f t="shared" si="15"/>
        <v>8158303.190000006</v>
      </c>
      <c r="AT482" t="s">
        <v>82</v>
      </c>
    </row>
    <row r="483" spans="1:46" x14ac:dyDescent="0.35">
      <c r="A483" t="s">
        <v>52</v>
      </c>
      <c r="B483" t="s">
        <v>53</v>
      </c>
      <c r="C483" t="s">
        <v>54</v>
      </c>
      <c r="D483" t="s">
        <v>55</v>
      </c>
      <c r="E483" t="s">
        <v>56</v>
      </c>
      <c r="F483" t="s">
        <v>1462</v>
      </c>
      <c r="G483" t="s">
        <v>1480</v>
      </c>
      <c r="H483" t="s">
        <v>56</v>
      </c>
      <c r="I483" t="s">
        <v>1697</v>
      </c>
      <c r="J483" t="s">
        <v>61</v>
      </c>
      <c r="K483" t="s">
        <v>640</v>
      </c>
      <c r="L483" t="s">
        <v>1465</v>
      </c>
      <c r="M483" t="s">
        <v>56</v>
      </c>
      <c r="N483" t="s">
        <v>252</v>
      </c>
      <c r="O483" t="s">
        <v>1466</v>
      </c>
      <c r="P483" t="s">
        <v>1467</v>
      </c>
      <c r="Q483" t="s">
        <v>87</v>
      </c>
      <c r="R483" t="s">
        <v>248</v>
      </c>
      <c r="S483">
        <v>8000000</v>
      </c>
      <c r="T483">
        <v>-2236328.4900000002</v>
      </c>
      <c r="U483" t="s">
        <v>68</v>
      </c>
      <c r="V483" t="s">
        <v>1418</v>
      </c>
      <c r="W483" s="9">
        <v>60602298</v>
      </c>
      <c r="X483" t="s">
        <v>1698</v>
      </c>
      <c r="Y483" s="1">
        <v>46063</v>
      </c>
      <c r="Z483" s="1">
        <v>46123</v>
      </c>
      <c r="AA483" s="2">
        <v>29959.94</v>
      </c>
      <c r="AB483" s="2">
        <v>25389.78</v>
      </c>
      <c r="AC483" s="2">
        <v>4570.16</v>
      </c>
      <c r="AD483" s="2">
        <v>29959.94</v>
      </c>
      <c r="AE483" t="s">
        <v>1699</v>
      </c>
      <c r="AF483" t="s">
        <v>72</v>
      </c>
      <c r="AG483">
        <v>-45</v>
      </c>
      <c r="AH483" t="s">
        <v>117</v>
      </c>
      <c r="AI483" t="s">
        <v>74</v>
      </c>
      <c r="AJ483" t="s">
        <v>75</v>
      </c>
      <c r="AK483" t="s">
        <v>76</v>
      </c>
      <c r="AL483" t="s">
        <v>118</v>
      </c>
      <c r="AM483" t="s">
        <v>78</v>
      </c>
      <c r="AN483" t="s">
        <v>979</v>
      </c>
      <c r="AO483" t="s">
        <v>119</v>
      </c>
      <c r="AP483" t="s">
        <v>46</v>
      </c>
      <c r="AQ483" t="s">
        <v>81</v>
      </c>
      <c r="AR483" t="str">
        <f t="shared" si="14"/>
        <v>60602298.STATAM</v>
      </c>
      <c r="AS483">
        <f t="shared" si="15"/>
        <v>8158303.190000006</v>
      </c>
      <c r="AT483" t="s">
        <v>82</v>
      </c>
    </row>
    <row r="484" spans="1:46" x14ac:dyDescent="0.35">
      <c r="A484" t="s">
        <v>52</v>
      </c>
      <c r="B484" t="s">
        <v>53</v>
      </c>
      <c r="C484" t="s">
        <v>54</v>
      </c>
      <c r="D484" t="s">
        <v>55</v>
      </c>
      <c r="E484" t="s">
        <v>56</v>
      </c>
      <c r="F484" t="s">
        <v>1462</v>
      </c>
      <c r="G484" t="s">
        <v>1700</v>
      </c>
      <c r="H484" t="s">
        <v>56</v>
      </c>
      <c r="I484" t="s">
        <v>1701</v>
      </c>
      <c r="J484" t="s">
        <v>61</v>
      </c>
      <c r="K484" t="s">
        <v>640</v>
      </c>
      <c r="L484" t="s">
        <v>1465</v>
      </c>
      <c r="M484" t="s">
        <v>56</v>
      </c>
      <c r="N484" t="s">
        <v>1384</v>
      </c>
      <c r="O484" t="s">
        <v>1466</v>
      </c>
      <c r="P484" t="s">
        <v>1467</v>
      </c>
      <c r="Q484" t="s">
        <v>87</v>
      </c>
      <c r="R484" t="s">
        <v>248</v>
      </c>
      <c r="S484">
        <v>8000000</v>
      </c>
      <c r="T484">
        <v>-2236328.4900000002</v>
      </c>
      <c r="U484" t="s">
        <v>68</v>
      </c>
      <c r="V484" t="s">
        <v>1418</v>
      </c>
      <c r="W484" s="9">
        <v>60602298</v>
      </c>
      <c r="X484" t="s">
        <v>1702</v>
      </c>
      <c r="Y484" s="1">
        <v>46063</v>
      </c>
      <c r="Z484" s="1">
        <v>46123</v>
      </c>
      <c r="AA484" s="2">
        <v>39028.639999999999</v>
      </c>
      <c r="AB484" s="2">
        <v>33075.120000000003</v>
      </c>
      <c r="AC484" s="2">
        <v>5953.52</v>
      </c>
      <c r="AD484" s="2">
        <v>39028.639999999999</v>
      </c>
      <c r="AE484" t="s">
        <v>1703</v>
      </c>
      <c r="AF484" t="s">
        <v>72</v>
      </c>
      <c r="AG484">
        <v>-45</v>
      </c>
      <c r="AH484" t="s">
        <v>117</v>
      </c>
      <c r="AI484" t="s">
        <v>74</v>
      </c>
      <c r="AJ484" t="s">
        <v>75</v>
      </c>
      <c r="AK484" t="s">
        <v>76</v>
      </c>
      <c r="AL484" t="s">
        <v>118</v>
      </c>
      <c r="AM484" t="s">
        <v>78</v>
      </c>
      <c r="AN484" t="s">
        <v>979</v>
      </c>
      <c r="AO484" t="s">
        <v>119</v>
      </c>
      <c r="AP484" t="s">
        <v>46</v>
      </c>
      <c r="AQ484" t="s">
        <v>81</v>
      </c>
      <c r="AR484" t="str">
        <f t="shared" si="14"/>
        <v>60602298.STATAM</v>
      </c>
      <c r="AS484">
        <f t="shared" si="15"/>
        <v>8158303.190000006</v>
      </c>
      <c r="AT484" t="s">
        <v>82</v>
      </c>
    </row>
    <row r="485" spans="1:46" x14ac:dyDescent="0.35">
      <c r="A485" t="s">
        <v>52</v>
      </c>
      <c r="B485" t="s">
        <v>53</v>
      </c>
      <c r="C485" t="s">
        <v>54</v>
      </c>
      <c r="D485" t="s">
        <v>55</v>
      </c>
      <c r="E485" t="s">
        <v>56</v>
      </c>
      <c r="F485" t="s">
        <v>1462</v>
      </c>
      <c r="G485" t="s">
        <v>1682</v>
      </c>
      <c r="H485" t="s">
        <v>56</v>
      </c>
      <c r="I485" t="s">
        <v>1704</v>
      </c>
      <c r="J485" t="s">
        <v>61</v>
      </c>
      <c r="K485" t="s">
        <v>640</v>
      </c>
      <c r="L485" t="s">
        <v>1465</v>
      </c>
      <c r="M485" t="s">
        <v>56</v>
      </c>
      <c r="N485" t="s">
        <v>252</v>
      </c>
      <c r="O485" t="s">
        <v>1466</v>
      </c>
      <c r="P485" t="s">
        <v>1467</v>
      </c>
      <c r="Q485" t="s">
        <v>87</v>
      </c>
      <c r="R485" t="s">
        <v>248</v>
      </c>
      <c r="S485">
        <v>8000000</v>
      </c>
      <c r="T485">
        <v>-2236328.4900000002</v>
      </c>
      <c r="U485" t="s">
        <v>68</v>
      </c>
      <c r="V485" t="s">
        <v>1418</v>
      </c>
      <c r="W485" s="9">
        <v>60602298</v>
      </c>
      <c r="X485" t="s">
        <v>1705</v>
      </c>
      <c r="Y485" s="1">
        <v>46063</v>
      </c>
      <c r="Z485" s="1">
        <v>46123</v>
      </c>
      <c r="AA485" s="2">
        <v>17590.689999999999</v>
      </c>
      <c r="AB485" s="2">
        <v>14907.36</v>
      </c>
      <c r="AC485" s="2">
        <v>2683.33</v>
      </c>
      <c r="AD485" s="2">
        <v>17590.689999999999</v>
      </c>
      <c r="AE485" t="s">
        <v>1706</v>
      </c>
      <c r="AF485" t="s">
        <v>72</v>
      </c>
      <c r="AG485">
        <v>-45</v>
      </c>
      <c r="AH485" t="s">
        <v>117</v>
      </c>
      <c r="AI485" t="s">
        <v>74</v>
      </c>
      <c r="AJ485" t="s">
        <v>75</v>
      </c>
      <c r="AK485" t="s">
        <v>76</v>
      </c>
      <c r="AL485" t="s">
        <v>118</v>
      </c>
      <c r="AM485" t="s">
        <v>78</v>
      </c>
      <c r="AN485" t="s">
        <v>979</v>
      </c>
      <c r="AO485" t="s">
        <v>119</v>
      </c>
      <c r="AP485" t="s">
        <v>46</v>
      </c>
      <c r="AQ485" t="s">
        <v>81</v>
      </c>
      <c r="AR485" t="str">
        <f t="shared" si="14"/>
        <v>60602298.STATAM</v>
      </c>
      <c r="AS485">
        <f t="shared" si="15"/>
        <v>8158303.190000006</v>
      </c>
      <c r="AT485" t="s">
        <v>82</v>
      </c>
    </row>
    <row r="486" spans="1:46" x14ac:dyDescent="0.35">
      <c r="A486" t="s">
        <v>52</v>
      </c>
      <c r="B486" t="s">
        <v>53</v>
      </c>
      <c r="C486" t="s">
        <v>54</v>
      </c>
      <c r="D486" t="s">
        <v>55</v>
      </c>
      <c r="E486" t="s">
        <v>56</v>
      </c>
      <c r="F486" t="s">
        <v>1462</v>
      </c>
      <c r="G486" t="s">
        <v>1682</v>
      </c>
      <c r="H486" t="s">
        <v>56</v>
      </c>
      <c r="I486" t="s">
        <v>1707</v>
      </c>
      <c r="J486" t="s">
        <v>61</v>
      </c>
      <c r="K486" t="s">
        <v>640</v>
      </c>
      <c r="L486" t="s">
        <v>1465</v>
      </c>
      <c r="M486" t="s">
        <v>56</v>
      </c>
      <c r="N486" t="s">
        <v>655</v>
      </c>
      <c r="O486" t="s">
        <v>1466</v>
      </c>
      <c r="P486" t="s">
        <v>1467</v>
      </c>
      <c r="Q486" t="s">
        <v>87</v>
      </c>
      <c r="R486" t="s">
        <v>248</v>
      </c>
      <c r="S486">
        <v>8000000</v>
      </c>
      <c r="T486">
        <v>-2236328.4900000002</v>
      </c>
      <c r="U486" t="s">
        <v>68</v>
      </c>
      <c r="V486" t="s">
        <v>1418</v>
      </c>
      <c r="W486" s="9">
        <v>60602298</v>
      </c>
      <c r="X486" t="s">
        <v>1708</v>
      </c>
      <c r="Y486" s="1">
        <v>46063</v>
      </c>
      <c r="Z486" s="1">
        <v>46123</v>
      </c>
      <c r="AA486" s="2">
        <v>1778.21</v>
      </c>
      <c r="AB486" s="2">
        <v>1506.96</v>
      </c>
      <c r="AC486" s="2">
        <v>271.25</v>
      </c>
      <c r="AD486" s="2">
        <v>1778.21</v>
      </c>
      <c r="AE486" t="s">
        <v>1709</v>
      </c>
      <c r="AF486" t="s">
        <v>72</v>
      </c>
      <c r="AG486">
        <v>-45</v>
      </c>
      <c r="AH486" t="s">
        <v>117</v>
      </c>
      <c r="AI486" t="s">
        <v>74</v>
      </c>
      <c r="AJ486" t="s">
        <v>75</v>
      </c>
      <c r="AK486" t="s">
        <v>76</v>
      </c>
      <c r="AL486" t="s">
        <v>118</v>
      </c>
      <c r="AM486" t="s">
        <v>78</v>
      </c>
      <c r="AN486" t="s">
        <v>979</v>
      </c>
      <c r="AO486" t="s">
        <v>119</v>
      </c>
      <c r="AP486" t="s">
        <v>46</v>
      </c>
      <c r="AQ486" t="s">
        <v>81</v>
      </c>
      <c r="AR486" t="str">
        <f t="shared" si="14"/>
        <v>60602298.STATAM</v>
      </c>
      <c r="AS486">
        <f t="shared" si="15"/>
        <v>8158303.190000006</v>
      </c>
      <c r="AT486" t="s">
        <v>82</v>
      </c>
    </row>
    <row r="487" spans="1:46" x14ac:dyDescent="0.35">
      <c r="A487" t="s">
        <v>52</v>
      </c>
      <c r="B487" t="s">
        <v>53</v>
      </c>
      <c r="C487" t="s">
        <v>54</v>
      </c>
      <c r="D487" t="s">
        <v>55</v>
      </c>
      <c r="E487" t="s">
        <v>56</v>
      </c>
      <c r="F487" t="s">
        <v>1462</v>
      </c>
      <c r="G487" t="s">
        <v>1710</v>
      </c>
      <c r="H487" t="s">
        <v>56</v>
      </c>
      <c r="I487" t="s">
        <v>1711</v>
      </c>
      <c r="J487" t="s">
        <v>61</v>
      </c>
      <c r="K487" t="s">
        <v>640</v>
      </c>
      <c r="L487" t="s">
        <v>1465</v>
      </c>
      <c r="M487" t="s">
        <v>56</v>
      </c>
      <c r="N487" t="s">
        <v>682</v>
      </c>
      <c r="O487" t="s">
        <v>1466</v>
      </c>
      <c r="P487" t="s">
        <v>1467</v>
      </c>
      <c r="Q487" t="s">
        <v>87</v>
      </c>
      <c r="R487" t="s">
        <v>248</v>
      </c>
      <c r="S487">
        <v>8000000</v>
      </c>
      <c r="T487">
        <v>-2236328.4900000002</v>
      </c>
      <c r="U487" t="s">
        <v>68</v>
      </c>
      <c r="V487" t="s">
        <v>1418</v>
      </c>
      <c r="W487" s="9">
        <v>60602298</v>
      </c>
      <c r="X487" t="s">
        <v>1712</v>
      </c>
      <c r="Y487" s="1">
        <v>46063</v>
      </c>
      <c r="Z487" s="1">
        <v>46123</v>
      </c>
      <c r="AA487" s="2">
        <v>7008.85</v>
      </c>
      <c r="AB487" s="2">
        <v>5939.7</v>
      </c>
      <c r="AC487" s="2">
        <v>1069.1500000000001</v>
      </c>
      <c r="AD487" s="2">
        <v>7008.85</v>
      </c>
      <c r="AE487" t="s">
        <v>1713</v>
      </c>
      <c r="AF487" t="s">
        <v>72</v>
      </c>
      <c r="AG487">
        <v>-45</v>
      </c>
      <c r="AH487" t="s">
        <v>117</v>
      </c>
      <c r="AI487" t="s">
        <v>74</v>
      </c>
      <c r="AJ487" t="s">
        <v>127</v>
      </c>
      <c r="AK487" t="s">
        <v>334</v>
      </c>
      <c r="AL487" t="s">
        <v>118</v>
      </c>
      <c r="AM487" t="s">
        <v>78</v>
      </c>
      <c r="AN487" t="s">
        <v>979</v>
      </c>
      <c r="AO487" t="s">
        <v>119</v>
      </c>
      <c r="AP487" t="s">
        <v>46</v>
      </c>
      <c r="AQ487" t="s">
        <v>335</v>
      </c>
      <c r="AR487" t="str">
        <f t="shared" si="14"/>
        <v>60602298.SPMINAM</v>
      </c>
      <c r="AS487">
        <f t="shared" si="15"/>
        <v>1341270.1200000001</v>
      </c>
      <c r="AT487" t="s">
        <v>82</v>
      </c>
    </row>
    <row r="488" spans="1:46" x14ac:dyDescent="0.35">
      <c r="A488" t="s">
        <v>52</v>
      </c>
      <c r="B488" t="s">
        <v>53</v>
      </c>
      <c r="C488" t="s">
        <v>54</v>
      </c>
      <c r="D488" t="s">
        <v>55</v>
      </c>
      <c r="E488" t="s">
        <v>56</v>
      </c>
      <c r="F488" t="s">
        <v>1462</v>
      </c>
      <c r="G488" t="s">
        <v>1710</v>
      </c>
      <c r="H488" t="s">
        <v>56</v>
      </c>
      <c r="I488" t="s">
        <v>1711</v>
      </c>
      <c r="J488" t="s">
        <v>61</v>
      </c>
      <c r="K488" t="s">
        <v>640</v>
      </c>
      <c r="L488" t="s">
        <v>1465</v>
      </c>
      <c r="M488" t="s">
        <v>56</v>
      </c>
      <c r="N488" t="s">
        <v>680</v>
      </c>
      <c r="O488" t="s">
        <v>1466</v>
      </c>
      <c r="P488" t="s">
        <v>1467</v>
      </c>
      <c r="Q488" t="s">
        <v>87</v>
      </c>
      <c r="R488" t="s">
        <v>248</v>
      </c>
      <c r="S488">
        <v>8000000</v>
      </c>
      <c r="T488">
        <v>-2236328.4900000002</v>
      </c>
      <c r="U488" t="s">
        <v>68</v>
      </c>
      <c r="V488" t="s">
        <v>1418</v>
      </c>
      <c r="W488" s="9">
        <v>60602298</v>
      </c>
      <c r="X488" t="s">
        <v>1712</v>
      </c>
      <c r="Y488" s="1">
        <v>46063</v>
      </c>
      <c r="Z488" s="1">
        <v>46123</v>
      </c>
      <c r="AA488" s="2">
        <v>101243.08</v>
      </c>
      <c r="AB488" s="2">
        <v>85799.22</v>
      </c>
      <c r="AC488" s="2">
        <v>15443.86</v>
      </c>
      <c r="AD488" s="2">
        <v>101243.08</v>
      </c>
      <c r="AE488" t="s">
        <v>1714</v>
      </c>
      <c r="AF488" t="s">
        <v>72</v>
      </c>
      <c r="AG488">
        <v>-45</v>
      </c>
      <c r="AH488" t="s">
        <v>117</v>
      </c>
      <c r="AI488" t="s">
        <v>74</v>
      </c>
      <c r="AJ488" t="s">
        <v>127</v>
      </c>
      <c r="AK488" t="s">
        <v>334</v>
      </c>
      <c r="AL488" t="s">
        <v>118</v>
      </c>
      <c r="AM488" t="s">
        <v>78</v>
      </c>
      <c r="AN488" t="s">
        <v>979</v>
      </c>
      <c r="AO488" t="s">
        <v>119</v>
      </c>
      <c r="AP488" t="s">
        <v>46</v>
      </c>
      <c r="AQ488" t="s">
        <v>335</v>
      </c>
      <c r="AR488" t="str">
        <f t="shared" si="14"/>
        <v>60602298.SPMINAM</v>
      </c>
      <c r="AS488">
        <f t="shared" si="15"/>
        <v>1341270.1200000001</v>
      </c>
      <c r="AT488" t="s">
        <v>82</v>
      </c>
    </row>
    <row r="489" spans="1:46" x14ac:dyDescent="0.35">
      <c r="A489" t="s">
        <v>52</v>
      </c>
      <c r="B489" t="s">
        <v>53</v>
      </c>
      <c r="C489" t="s">
        <v>54</v>
      </c>
      <c r="D489" t="s">
        <v>55</v>
      </c>
      <c r="E489" t="s">
        <v>56</v>
      </c>
      <c r="F489" t="s">
        <v>1462</v>
      </c>
      <c r="G489" t="s">
        <v>1715</v>
      </c>
      <c r="H489" t="s">
        <v>56</v>
      </c>
      <c r="I489" t="s">
        <v>1716</v>
      </c>
      <c r="J489" t="s">
        <v>61</v>
      </c>
      <c r="K489" t="s">
        <v>640</v>
      </c>
      <c r="L489" t="s">
        <v>1604</v>
      </c>
      <c r="M489" t="s">
        <v>56</v>
      </c>
      <c r="N489" t="s">
        <v>261</v>
      </c>
      <c r="O489" t="s">
        <v>1466</v>
      </c>
      <c r="P489" t="s">
        <v>1467</v>
      </c>
      <c r="Q489" t="s">
        <v>87</v>
      </c>
      <c r="R489" t="s">
        <v>248</v>
      </c>
      <c r="S489">
        <v>8000000</v>
      </c>
      <c r="T489">
        <v>-2236328.4900000002</v>
      </c>
      <c r="U489" t="s">
        <v>68</v>
      </c>
      <c r="V489" t="s">
        <v>1418</v>
      </c>
      <c r="W489" s="9">
        <v>60602298</v>
      </c>
      <c r="X489" t="s">
        <v>1717</v>
      </c>
      <c r="Y489" s="1">
        <v>46064</v>
      </c>
      <c r="Z489" s="1">
        <v>46124</v>
      </c>
      <c r="AA489" s="2">
        <v>334639.03000000003</v>
      </c>
      <c r="AB489" s="2">
        <v>283592.40000000002</v>
      </c>
      <c r="AC489" s="2">
        <v>51046.63</v>
      </c>
      <c r="AD489" s="2">
        <v>334639.03000000003</v>
      </c>
      <c r="AE489" t="s">
        <v>1718</v>
      </c>
      <c r="AF489" t="s">
        <v>72</v>
      </c>
      <c r="AG489">
        <v>-46</v>
      </c>
      <c r="AH489" t="s">
        <v>117</v>
      </c>
      <c r="AI489" t="s">
        <v>74</v>
      </c>
      <c r="AJ489" t="s">
        <v>75</v>
      </c>
      <c r="AK489" t="s">
        <v>76</v>
      </c>
      <c r="AL489" t="s">
        <v>118</v>
      </c>
      <c r="AM489" t="s">
        <v>78</v>
      </c>
      <c r="AN489" t="s">
        <v>979</v>
      </c>
      <c r="AO489" t="s">
        <v>119</v>
      </c>
      <c r="AP489" t="s">
        <v>46</v>
      </c>
      <c r="AQ489" t="s">
        <v>81</v>
      </c>
      <c r="AR489" t="str">
        <f t="shared" si="14"/>
        <v>60602298.STATAM</v>
      </c>
      <c r="AS489">
        <f t="shared" si="15"/>
        <v>8158303.190000006</v>
      </c>
      <c r="AT489" t="s">
        <v>82</v>
      </c>
    </row>
    <row r="490" spans="1:46" x14ac:dyDescent="0.35">
      <c r="A490" t="s">
        <v>52</v>
      </c>
      <c r="B490" t="s">
        <v>53</v>
      </c>
      <c r="C490" t="s">
        <v>54</v>
      </c>
      <c r="D490" t="s">
        <v>55</v>
      </c>
      <c r="E490" t="s">
        <v>56</v>
      </c>
      <c r="F490" t="s">
        <v>1462</v>
      </c>
      <c r="G490" t="s">
        <v>1519</v>
      </c>
      <c r="H490" t="s">
        <v>56</v>
      </c>
      <c r="I490" t="s">
        <v>1719</v>
      </c>
      <c r="J490" t="s">
        <v>61</v>
      </c>
      <c r="K490" t="s">
        <v>640</v>
      </c>
      <c r="L490" t="s">
        <v>1465</v>
      </c>
      <c r="M490" t="s">
        <v>56</v>
      </c>
      <c r="N490" t="s">
        <v>682</v>
      </c>
      <c r="O490" t="s">
        <v>1466</v>
      </c>
      <c r="P490" t="s">
        <v>1467</v>
      </c>
      <c r="Q490" t="s">
        <v>87</v>
      </c>
      <c r="R490" t="s">
        <v>248</v>
      </c>
      <c r="S490">
        <v>8000000</v>
      </c>
      <c r="T490">
        <v>-2236328.4900000002</v>
      </c>
      <c r="U490" t="s">
        <v>68</v>
      </c>
      <c r="V490" t="s">
        <v>1418</v>
      </c>
      <c r="W490" s="9">
        <v>60602298</v>
      </c>
      <c r="X490" t="s">
        <v>1720</v>
      </c>
      <c r="Y490" s="1">
        <v>46064</v>
      </c>
      <c r="Z490" s="1">
        <v>46124</v>
      </c>
      <c r="AA490" s="2">
        <v>37635.160000000003</v>
      </c>
      <c r="AB490" s="2">
        <v>31894.2</v>
      </c>
      <c r="AC490" s="2">
        <v>5740.96</v>
      </c>
      <c r="AD490" s="2">
        <v>37635.160000000003</v>
      </c>
      <c r="AE490" t="s">
        <v>1721</v>
      </c>
      <c r="AF490" t="s">
        <v>72</v>
      </c>
      <c r="AG490">
        <v>-46</v>
      </c>
      <c r="AH490" t="s">
        <v>117</v>
      </c>
      <c r="AI490" t="s">
        <v>74</v>
      </c>
      <c r="AJ490" t="s">
        <v>127</v>
      </c>
      <c r="AK490" t="s">
        <v>334</v>
      </c>
      <c r="AL490" t="s">
        <v>118</v>
      </c>
      <c r="AM490" t="s">
        <v>78</v>
      </c>
      <c r="AN490" t="s">
        <v>979</v>
      </c>
      <c r="AO490" t="s">
        <v>119</v>
      </c>
      <c r="AP490" t="s">
        <v>46</v>
      </c>
      <c r="AQ490" t="s">
        <v>335</v>
      </c>
      <c r="AR490" t="str">
        <f t="shared" si="14"/>
        <v>60602298.SPMINAM</v>
      </c>
      <c r="AS490">
        <f t="shared" si="15"/>
        <v>1341270.1200000001</v>
      </c>
      <c r="AT490" t="s">
        <v>82</v>
      </c>
    </row>
    <row r="491" spans="1:46" x14ac:dyDescent="0.35">
      <c r="A491" t="s">
        <v>52</v>
      </c>
      <c r="B491" t="s">
        <v>53</v>
      </c>
      <c r="C491" t="s">
        <v>54</v>
      </c>
      <c r="D491" t="s">
        <v>55</v>
      </c>
      <c r="E491" t="s">
        <v>56</v>
      </c>
      <c r="F491" t="s">
        <v>1462</v>
      </c>
      <c r="G491" t="s">
        <v>1480</v>
      </c>
      <c r="H491" t="s">
        <v>56</v>
      </c>
      <c r="I491" t="s">
        <v>1722</v>
      </c>
      <c r="J491" t="s">
        <v>61</v>
      </c>
      <c r="K491" t="s">
        <v>640</v>
      </c>
      <c r="L491" t="s">
        <v>1465</v>
      </c>
      <c r="M491" t="s">
        <v>56</v>
      </c>
      <c r="N491" t="s">
        <v>682</v>
      </c>
      <c r="O491" t="s">
        <v>1466</v>
      </c>
      <c r="P491" t="s">
        <v>1467</v>
      </c>
      <c r="Q491" t="s">
        <v>87</v>
      </c>
      <c r="R491" t="s">
        <v>248</v>
      </c>
      <c r="S491">
        <v>8000000</v>
      </c>
      <c r="T491">
        <v>-2236328.4900000002</v>
      </c>
      <c r="U491" t="s">
        <v>68</v>
      </c>
      <c r="V491" t="s">
        <v>1418</v>
      </c>
      <c r="W491" s="9">
        <v>60602298</v>
      </c>
      <c r="X491" t="s">
        <v>1723</v>
      </c>
      <c r="Y491" s="1">
        <v>46064</v>
      </c>
      <c r="Z491" s="1">
        <v>46124</v>
      </c>
      <c r="AA491" s="2">
        <v>37635.160000000003</v>
      </c>
      <c r="AB491" s="2">
        <v>31894.2</v>
      </c>
      <c r="AC491" s="2">
        <v>5740.96</v>
      </c>
      <c r="AD491" s="2">
        <v>37635.160000000003</v>
      </c>
      <c r="AE491" t="s">
        <v>1724</v>
      </c>
      <c r="AF491" t="s">
        <v>72</v>
      </c>
      <c r="AG491">
        <v>-46</v>
      </c>
      <c r="AH491" t="s">
        <v>117</v>
      </c>
      <c r="AI491" t="s">
        <v>74</v>
      </c>
      <c r="AJ491" t="s">
        <v>127</v>
      </c>
      <c r="AK491" t="s">
        <v>334</v>
      </c>
      <c r="AL491" t="s">
        <v>118</v>
      </c>
      <c r="AM491" t="s">
        <v>78</v>
      </c>
      <c r="AN491" t="s">
        <v>979</v>
      </c>
      <c r="AO491" t="s">
        <v>119</v>
      </c>
      <c r="AP491" t="s">
        <v>46</v>
      </c>
      <c r="AQ491" t="s">
        <v>335</v>
      </c>
      <c r="AR491" t="str">
        <f t="shared" si="14"/>
        <v>60602298.SPMINAM</v>
      </c>
      <c r="AS491">
        <f t="shared" si="15"/>
        <v>1341270.1200000001</v>
      </c>
      <c r="AT491" t="s">
        <v>82</v>
      </c>
    </row>
    <row r="492" spans="1:46" x14ac:dyDescent="0.35">
      <c r="A492" t="s">
        <v>52</v>
      </c>
      <c r="B492" t="s">
        <v>53</v>
      </c>
      <c r="C492" t="s">
        <v>54</v>
      </c>
      <c r="D492" t="s">
        <v>55</v>
      </c>
      <c r="E492" t="s">
        <v>56</v>
      </c>
      <c r="F492" t="s">
        <v>1462</v>
      </c>
      <c r="G492" t="s">
        <v>1725</v>
      </c>
      <c r="H492" t="s">
        <v>56</v>
      </c>
      <c r="I492" t="s">
        <v>1726</v>
      </c>
      <c r="J492" t="s">
        <v>61</v>
      </c>
      <c r="K492" t="s">
        <v>640</v>
      </c>
      <c r="L492" t="s">
        <v>1465</v>
      </c>
      <c r="M492" t="s">
        <v>56</v>
      </c>
      <c r="N492" t="s">
        <v>1727</v>
      </c>
      <c r="O492" t="s">
        <v>1466</v>
      </c>
      <c r="P492" t="s">
        <v>1467</v>
      </c>
      <c r="Q492" t="s">
        <v>87</v>
      </c>
      <c r="R492" t="s">
        <v>248</v>
      </c>
      <c r="S492">
        <v>8000000</v>
      </c>
      <c r="T492">
        <v>-2236328.4900000002</v>
      </c>
      <c r="U492" t="s">
        <v>68</v>
      </c>
      <c r="V492" t="s">
        <v>1418</v>
      </c>
      <c r="W492" s="9">
        <v>60602298</v>
      </c>
      <c r="X492" t="s">
        <v>1728</v>
      </c>
      <c r="Y492" s="1">
        <v>46067</v>
      </c>
      <c r="Z492" s="1">
        <v>46127</v>
      </c>
      <c r="AA492" s="2">
        <v>60562.32</v>
      </c>
      <c r="AB492" s="2">
        <v>51324</v>
      </c>
      <c r="AC492" s="2">
        <v>9238.32</v>
      </c>
      <c r="AD492" s="2">
        <v>60562.32</v>
      </c>
      <c r="AE492" t="s">
        <v>1729</v>
      </c>
      <c r="AF492" t="s">
        <v>72</v>
      </c>
      <c r="AG492">
        <v>-49</v>
      </c>
      <c r="AH492" t="s">
        <v>117</v>
      </c>
      <c r="AI492" t="s">
        <v>74</v>
      </c>
      <c r="AJ492" t="s">
        <v>127</v>
      </c>
      <c r="AK492" t="s">
        <v>334</v>
      </c>
      <c r="AL492" t="s">
        <v>118</v>
      </c>
      <c r="AM492" t="s">
        <v>78</v>
      </c>
      <c r="AN492" t="s">
        <v>979</v>
      </c>
      <c r="AO492" t="s">
        <v>119</v>
      </c>
      <c r="AP492" t="s">
        <v>46</v>
      </c>
      <c r="AQ492" t="s">
        <v>335</v>
      </c>
      <c r="AR492" t="str">
        <f t="shared" si="14"/>
        <v>60602298.SPMINAM</v>
      </c>
      <c r="AS492">
        <f t="shared" si="15"/>
        <v>1341270.1200000001</v>
      </c>
      <c r="AT492" t="s">
        <v>82</v>
      </c>
    </row>
    <row r="493" spans="1:46" x14ac:dyDescent="0.35">
      <c r="A493" t="s">
        <v>52</v>
      </c>
      <c r="B493" t="s">
        <v>53</v>
      </c>
      <c r="C493" t="s">
        <v>54</v>
      </c>
      <c r="D493" t="s">
        <v>55</v>
      </c>
      <c r="E493" t="s">
        <v>56</v>
      </c>
      <c r="F493" t="s">
        <v>1462</v>
      </c>
      <c r="G493" t="s">
        <v>1725</v>
      </c>
      <c r="H493" t="s">
        <v>56</v>
      </c>
      <c r="I493" t="s">
        <v>1726</v>
      </c>
      <c r="J493" t="s">
        <v>61</v>
      </c>
      <c r="K493" t="s">
        <v>640</v>
      </c>
      <c r="L493" t="s">
        <v>1465</v>
      </c>
      <c r="M493" t="s">
        <v>56</v>
      </c>
      <c r="N493" t="s">
        <v>655</v>
      </c>
      <c r="O493" t="s">
        <v>1466</v>
      </c>
      <c r="P493" t="s">
        <v>1467</v>
      </c>
      <c r="Q493" t="s">
        <v>87</v>
      </c>
      <c r="R493" t="s">
        <v>248</v>
      </c>
      <c r="S493">
        <v>8000000</v>
      </c>
      <c r="T493">
        <v>-2236328.4900000002</v>
      </c>
      <c r="U493" t="s">
        <v>68</v>
      </c>
      <c r="V493" t="s">
        <v>1418</v>
      </c>
      <c r="W493" s="9">
        <v>60602298</v>
      </c>
      <c r="X493" t="s">
        <v>1728</v>
      </c>
      <c r="Y493" s="1">
        <v>46067</v>
      </c>
      <c r="Z493" s="1">
        <v>46127</v>
      </c>
      <c r="AA493" s="2">
        <v>1185.48</v>
      </c>
      <c r="AB493" s="2">
        <v>1004.64</v>
      </c>
      <c r="AC493" s="2">
        <v>180.84</v>
      </c>
      <c r="AD493" s="2">
        <v>1185.48</v>
      </c>
      <c r="AE493" t="s">
        <v>1730</v>
      </c>
      <c r="AF493" t="s">
        <v>72</v>
      </c>
      <c r="AG493">
        <v>-49</v>
      </c>
      <c r="AH493" t="s">
        <v>117</v>
      </c>
      <c r="AI493" t="s">
        <v>74</v>
      </c>
      <c r="AJ493" t="s">
        <v>75</v>
      </c>
      <c r="AK493" t="s">
        <v>76</v>
      </c>
      <c r="AL493" t="s">
        <v>118</v>
      </c>
      <c r="AM493" t="s">
        <v>78</v>
      </c>
      <c r="AN493" t="s">
        <v>979</v>
      </c>
      <c r="AO493" t="s">
        <v>119</v>
      </c>
      <c r="AP493" t="s">
        <v>46</v>
      </c>
      <c r="AQ493" t="s">
        <v>81</v>
      </c>
      <c r="AR493" t="str">
        <f t="shared" si="14"/>
        <v>60602298.STATAM</v>
      </c>
      <c r="AS493">
        <f t="shared" si="15"/>
        <v>8158303.190000006</v>
      </c>
      <c r="AT493" t="s">
        <v>82</v>
      </c>
    </row>
    <row r="494" spans="1:46" x14ac:dyDescent="0.35">
      <c r="A494" t="s">
        <v>52</v>
      </c>
      <c r="B494" t="s">
        <v>53</v>
      </c>
      <c r="C494" t="s">
        <v>54</v>
      </c>
      <c r="D494" t="s">
        <v>55</v>
      </c>
      <c r="E494" t="s">
        <v>56</v>
      </c>
      <c r="F494" t="s">
        <v>1462</v>
      </c>
      <c r="G494" t="s">
        <v>1725</v>
      </c>
      <c r="H494" t="s">
        <v>56</v>
      </c>
      <c r="I494" t="s">
        <v>1726</v>
      </c>
      <c r="J494" t="s">
        <v>61</v>
      </c>
      <c r="K494" t="s">
        <v>640</v>
      </c>
      <c r="L494" t="s">
        <v>1465</v>
      </c>
      <c r="M494" t="s">
        <v>56</v>
      </c>
      <c r="N494" t="s">
        <v>1186</v>
      </c>
      <c r="O494" t="s">
        <v>1466</v>
      </c>
      <c r="P494" t="s">
        <v>1467</v>
      </c>
      <c r="Q494" t="s">
        <v>87</v>
      </c>
      <c r="R494" t="s">
        <v>248</v>
      </c>
      <c r="S494">
        <v>8000000</v>
      </c>
      <c r="T494">
        <v>-2236328.4900000002</v>
      </c>
      <c r="U494" t="s">
        <v>68</v>
      </c>
      <c r="V494" t="s">
        <v>1418</v>
      </c>
      <c r="W494" s="9">
        <v>60602298</v>
      </c>
      <c r="X494" t="s">
        <v>1728</v>
      </c>
      <c r="Y494" s="1">
        <v>46067</v>
      </c>
      <c r="Z494" s="1">
        <v>46127</v>
      </c>
      <c r="AA494" s="2">
        <v>323.98</v>
      </c>
      <c r="AB494" s="2">
        <v>274.56</v>
      </c>
      <c r="AC494" s="2">
        <v>49.42</v>
      </c>
      <c r="AD494" s="2">
        <v>323.98</v>
      </c>
      <c r="AE494" t="s">
        <v>1731</v>
      </c>
      <c r="AF494" t="s">
        <v>72</v>
      </c>
      <c r="AG494">
        <v>-49</v>
      </c>
      <c r="AH494" t="s">
        <v>117</v>
      </c>
      <c r="AI494" t="s">
        <v>74</v>
      </c>
      <c r="AJ494" t="s">
        <v>75</v>
      </c>
      <c r="AK494" t="s">
        <v>76</v>
      </c>
      <c r="AL494" t="s">
        <v>118</v>
      </c>
      <c r="AM494" t="s">
        <v>78</v>
      </c>
      <c r="AN494" t="s">
        <v>979</v>
      </c>
      <c r="AO494" t="s">
        <v>119</v>
      </c>
      <c r="AP494" t="s">
        <v>46</v>
      </c>
      <c r="AQ494" t="s">
        <v>81</v>
      </c>
      <c r="AR494" t="str">
        <f t="shared" si="14"/>
        <v>60602298.STATAM</v>
      </c>
      <c r="AS494">
        <f t="shared" si="15"/>
        <v>8158303.190000006</v>
      </c>
      <c r="AT494" t="s">
        <v>82</v>
      </c>
    </row>
    <row r="495" spans="1:46" x14ac:dyDescent="0.35">
      <c r="A495" t="s">
        <v>52</v>
      </c>
      <c r="B495" t="s">
        <v>53</v>
      </c>
      <c r="C495" t="s">
        <v>54</v>
      </c>
      <c r="D495" t="s">
        <v>55</v>
      </c>
      <c r="E495" t="s">
        <v>56</v>
      </c>
      <c r="F495" t="s">
        <v>1462</v>
      </c>
      <c r="G495" t="s">
        <v>1534</v>
      </c>
      <c r="H495" t="s">
        <v>56</v>
      </c>
      <c r="I495" t="s">
        <v>1732</v>
      </c>
      <c r="J495" t="s">
        <v>61</v>
      </c>
      <c r="K495" t="s">
        <v>640</v>
      </c>
      <c r="L495" t="s">
        <v>1465</v>
      </c>
      <c r="M495" t="s">
        <v>56</v>
      </c>
      <c r="N495" t="s">
        <v>252</v>
      </c>
      <c r="O495" t="s">
        <v>1466</v>
      </c>
      <c r="P495" t="s">
        <v>1467</v>
      </c>
      <c r="Q495" t="s">
        <v>87</v>
      </c>
      <c r="R495" t="s">
        <v>248</v>
      </c>
      <c r="S495">
        <v>8000000</v>
      </c>
      <c r="T495">
        <v>-2236328.4900000002</v>
      </c>
      <c r="U495" t="s">
        <v>68</v>
      </c>
      <c r="V495" t="s">
        <v>1418</v>
      </c>
      <c r="W495" s="9">
        <v>60602298</v>
      </c>
      <c r="X495" t="s">
        <v>1733</v>
      </c>
      <c r="Y495" s="1">
        <v>46067</v>
      </c>
      <c r="Z495" s="1">
        <v>46127</v>
      </c>
      <c r="AA495" s="2">
        <v>24955.73</v>
      </c>
      <c r="AB495" s="2">
        <v>21148.92</v>
      </c>
      <c r="AC495" s="2">
        <v>3806.81</v>
      </c>
      <c r="AD495" s="2">
        <v>24955.73</v>
      </c>
      <c r="AE495" t="s">
        <v>1734</v>
      </c>
      <c r="AF495" t="s">
        <v>72</v>
      </c>
      <c r="AG495">
        <v>-49</v>
      </c>
      <c r="AH495" t="s">
        <v>117</v>
      </c>
      <c r="AI495" t="s">
        <v>74</v>
      </c>
      <c r="AJ495" t="s">
        <v>75</v>
      </c>
      <c r="AK495" t="s">
        <v>76</v>
      </c>
      <c r="AL495" t="s">
        <v>118</v>
      </c>
      <c r="AM495" t="s">
        <v>78</v>
      </c>
      <c r="AN495" t="s">
        <v>979</v>
      </c>
      <c r="AO495" t="s">
        <v>119</v>
      </c>
      <c r="AP495" t="s">
        <v>46</v>
      </c>
      <c r="AQ495" t="s">
        <v>81</v>
      </c>
      <c r="AR495" t="str">
        <f t="shared" si="14"/>
        <v>60602298.STATAM</v>
      </c>
      <c r="AS495">
        <f t="shared" si="15"/>
        <v>8158303.190000006</v>
      </c>
      <c r="AT495" t="s">
        <v>82</v>
      </c>
    </row>
    <row r="496" spans="1:46" x14ac:dyDescent="0.35">
      <c r="A496" t="s">
        <v>52</v>
      </c>
      <c r="B496" t="s">
        <v>53</v>
      </c>
      <c r="C496" t="s">
        <v>54</v>
      </c>
      <c r="D496" t="s">
        <v>55</v>
      </c>
      <c r="E496" t="s">
        <v>56</v>
      </c>
      <c r="F496" t="s">
        <v>1462</v>
      </c>
      <c r="G496" t="s">
        <v>1567</v>
      </c>
      <c r="H496" t="s">
        <v>56</v>
      </c>
      <c r="I496" t="s">
        <v>1735</v>
      </c>
      <c r="J496" t="s">
        <v>61</v>
      </c>
      <c r="K496" t="s">
        <v>640</v>
      </c>
      <c r="L496" t="s">
        <v>1465</v>
      </c>
      <c r="M496" t="s">
        <v>56</v>
      </c>
      <c r="N496" t="s">
        <v>252</v>
      </c>
      <c r="O496" t="s">
        <v>1466</v>
      </c>
      <c r="P496" t="s">
        <v>1467</v>
      </c>
      <c r="Q496" t="s">
        <v>87</v>
      </c>
      <c r="R496" t="s">
        <v>248</v>
      </c>
      <c r="S496">
        <v>8000000</v>
      </c>
      <c r="T496">
        <v>-2236328.4900000002</v>
      </c>
      <c r="U496" t="s">
        <v>68</v>
      </c>
      <c r="V496" t="s">
        <v>1418</v>
      </c>
      <c r="W496" s="9">
        <v>60602298</v>
      </c>
      <c r="X496" t="s">
        <v>1736</v>
      </c>
      <c r="Y496" s="1">
        <v>46067</v>
      </c>
      <c r="Z496" s="1">
        <v>46127</v>
      </c>
      <c r="AA496" s="2">
        <v>24955.73</v>
      </c>
      <c r="AB496" s="2">
        <v>21148.92</v>
      </c>
      <c r="AC496" s="2">
        <v>3806.81</v>
      </c>
      <c r="AD496" s="2">
        <v>24955.73</v>
      </c>
      <c r="AE496" t="s">
        <v>1737</v>
      </c>
      <c r="AF496" t="s">
        <v>72</v>
      </c>
      <c r="AG496">
        <v>-49</v>
      </c>
      <c r="AH496" t="s">
        <v>117</v>
      </c>
      <c r="AI496" t="s">
        <v>74</v>
      </c>
      <c r="AJ496" t="s">
        <v>75</v>
      </c>
      <c r="AK496" t="s">
        <v>76</v>
      </c>
      <c r="AL496" t="s">
        <v>118</v>
      </c>
      <c r="AM496" t="s">
        <v>78</v>
      </c>
      <c r="AN496" t="s">
        <v>979</v>
      </c>
      <c r="AO496" t="s">
        <v>119</v>
      </c>
      <c r="AP496" t="s">
        <v>46</v>
      </c>
      <c r="AQ496" t="s">
        <v>81</v>
      </c>
      <c r="AR496" t="str">
        <f t="shared" si="14"/>
        <v>60602298.STATAM</v>
      </c>
      <c r="AS496">
        <f t="shared" si="15"/>
        <v>8158303.190000006</v>
      </c>
      <c r="AT496" t="s">
        <v>82</v>
      </c>
    </row>
    <row r="497" spans="1:46" x14ac:dyDescent="0.35">
      <c r="A497" t="s">
        <v>52</v>
      </c>
      <c r="B497" t="s">
        <v>53</v>
      </c>
      <c r="C497" t="s">
        <v>54</v>
      </c>
      <c r="D497" t="s">
        <v>55</v>
      </c>
      <c r="E497" t="s">
        <v>56</v>
      </c>
      <c r="F497" t="s">
        <v>1462</v>
      </c>
      <c r="G497" t="s">
        <v>1682</v>
      </c>
      <c r="H497" t="s">
        <v>56</v>
      </c>
      <c r="I497" t="s">
        <v>1738</v>
      </c>
      <c r="J497" t="s">
        <v>61</v>
      </c>
      <c r="K497" t="s">
        <v>640</v>
      </c>
      <c r="L497" t="s">
        <v>1465</v>
      </c>
      <c r="M497" t="s">
        <v>56</v>
      </c>
      <c r="N497" t="s">
        <v>252</v>
      </c>
      <c r="O497" t="s">
        <v>1466</v>
      </c>
      <c r="P497" t="s">
        <v>1467</v>
      </c>
      <c r="Q497" t="s">
        <v>87</v>
      </c>
      <c r="R497" t="s">
        <v>248</v>
      </c>
      <c r="S497">
        <v>8000000</v>
      </c>
      <c r="T497">
        <v>-2236328.4900000002</v>
      </c>
      <c r="U497" t="s">
        <v>68</v>
      </c>
      <c r="V497" t="s">
        <v>1418</v>
      </c>
      <c r="W497" s="9">
        <v>60602298</v>
      </c>
      <c r="X497" t="s">
        <v>1739</v>
      </c>
      <c r="Y497" s="1">
        <v>46067</v>
      </c>
      <c r="Z497" s="1">
        <v>46127</v>
      </c>
      <c r="AA497" s="2">
        <v>24955.73</v>
      </c>
      <c r="AB497" s="2">
        <v>21148.92</v>
      </c>
      <c r="AC497" s="2">
        <v>3806.81</v>
      </c>
      <c r="AD497" s="2">
        <v>24955.73</v>
      </c>
      <c r="AE497" t="s">
        <v>1740</v>
      </c>
      <c r="AF497" t="s">
        <v>72</v>
      </c>
      <c r="AG497">
        <v>-49</v>
      </c>
      <c r="AH497" t="s">
        <v>117</v>
      </c>
      <c r="AI497" t="s">
        <v>74</v>
      </c>
      <c r="AJ497" t="s">
        <v>75</v>
      </c>
      <c r="AK497" t="s">
        <v>76</v>
      </c>
      <c r="AL497" t="s">
        <v>118</v>
      </c>
      <c r="AM497" t="s">
        <v>78</v>
      </c>
      <c r="AN497" t="s">
        <v>979</v>
      </c>
      <c r="AO497" t="s">
        <v>119</v>
      </c>
      <c r="AP497" t="s">
        <v>46</v>
      </c>
      <c r="AQ497" t="s">
        <v>81</v>
      </c>
      <c r="AR497" t="str">
        <f t="shared" si="14"/>
        <v>60602298.STATAM</v>
      </c>
      <c r="AS497">
        <f t="shared" si="15"/>
        <v>8158303.190000006</v>
      </c>
      <c r="AT497" t="s">
        <v>82</v>
      </c>
    </row>
    <row r="498" spans="1:46" x14ac:dyDescent="0.35">
      <c r="A498" t="s">
        <v>52</v>
      </c>
      <c r="B498" t="s">
        <v>53</v>
      </c>
      <c r="C498" t="s">
        <v>54</v>
      </c>
      <c r="D498" t="s">
        <v>55</v>
      </c>
      <c r="E498" t="s">
        <v>56</v>
      </c>
      <c r="F498" t="s">
        <v>1462</v>
      </c>
      <c r="G498" t="s">
        <v>1530</v>
      </c>
      <c r="H498" t="s">
        <v>56</v>
      </c>
      <c r="I498" t="s">
        <v>1741</v>
      </c>
      <c r="J498" t="s">
        <v>61</v>
      </c>
      <c r="K498" t="s">
        <v>640</v>
      </c>
      <c r="L498" t="s">
        <v>1465</v>
      </c>
      <c r="M498" t="s">
        <v>56</v>
      </c>
      <c r="N498" t="s">
        <v>682</v>
      </c>
      <c r="O498" t="s">
        <v>1466</v>
      </c>
      <c r="P498" t="s">
        <v>1467</v>
      </c>
      <c r="Q498" t="s">
        <v>87</v>
      </c>
      <c r="R498" t="s">
        <v>248</v>
      </c>
      <c r="S498">
        <v>8000000</v>
      </c>
      <c r="T498">
        <v>-2236328.4900000002</v>
      </c>
      <c r="U498" t="s">
        <v>68</v>
      </c>
      <c r="V498" t="s">
        <v>1418</v>
      </c>
      <c r="W498" s="9">
        <v>60602298</v>
      </c>
      <c r="X498" t="s">
        <v>1742</v>
      </c>
      <c r="Y498" s="1">
        <v>46067</v>
      </c>
      <c r="Z498" s="1">
        <v>46127</v>
      </c>
      <c r="AA498" s="2">
        <v>802.59</v>
      </c>
      <c r="AB498" s="2">
        <v>680.16</v>
      </c>
      <c r="AC498" s="2">
        <v>122.43</v>
      </c>
      <c r="AD498" s="2">
        <v>802.59</v>
      </c>
      <c r="AE498" t="s">
        <v>1743</v>
      </c>
      <c r="AF498" t="s">
        <v>72</v>
      </c>
      <c r="AG498">
        <v>-49</v>
      </c>
      <c r="AH498" t="s">
        <v>117</v>
      </c>
      <c r="AI498" t="s">
        <v>74</v>
      </c>
      <c r="AJ498" t="s">
        <v>127</v>
      </c>
      <c r="AK498" t="s">
        <v>334</v>
      </c>
      <c r="AL498" t="s">
        <v>118</v>
      </c>
      <c r="AM498" t="s">
        <v>78</v>
      </c>
      <c r="AN498" t="s">
        <v>979</v>
      </c>
      <c r="AO498" t="s">
        <v>119</v>
      </c>
      <c r="AP498" t="s">
        <v>46</v>
      </c>
      <c r="AQ498" t="s">
        <v>335</v>
      </c>
      <c r="AR498" t="str">
        <f t="shared" si="14"/>
        <v>60602298.SPMINAM</v>
      </c>
      <c r="AS498">
        <f t="shared" si="15"/>
        <v>1341270.1200000001</v>
      </c>
      <c r="AT498" t="s">
        <v>82</v>
      </c>
    </row>
    <row r="499" spans="1:46" x14ac:dyDescent="0.35">
      <c r="A499" t="s">
        <v>52</v>
      </c>
      <c r="B499" t="s">
        <v>53</v>
      </c>
      <c r="C499" t="s">
        <v>54</v>
      </c>
      <c r="D499" t="s">
        <v>55</v>
      </c>
      <c r="E499" t="s">
        <v>56</v>
      </c>
      <c r="F499" t="s">
        <v>1462</v>
      </c>
      <c r="G499" t="s">
        <v>1744</v>
      </c>
      <c r="H499" t="s">
        <v>56</v>
      </c>
      <c r="I499" t="s">
        <v>1745</v>
      </c>
      <c r="J499" t="s">
        <v>476</v>
      </c>
      <c r="K499" t="s">
        <v>640</v>
      </c>
      <c r="L499" t="s">
        <v>1636</v>
      </c>
      <c r="M499" t="s">
        <v>56</v>
      </c>
      <c r="N499" t="s">
        <v>254</v>
      </c>
      <c r="O499" t="s">
        <v>1466</v>
      </c>
      <c r="P499" t="s">
        <v>1467</v>
      </c>
      <c r="Q499" t="s">
        <v>1486</v>
      </c>
      <c r="R499" t="s">
        <v>248</v>
      </c>
      <c r="S499">
        <v>8000000</v>
      </c>
      <c r="T499">
        <v>-2236328.4900000002</v>
      </c>
      <c r="U499" t="s">
        <v>68</v>
      </c>
      <c r="V499" t="s">
        <v>1418</v>
      </c>
      <c r="W499" s="9">
        <v>60602298</v>
      </c>
      <c r="X499" t="s">
        <v>1746</v>
      </c>
      <c r="Y499" s="1">
        <v>46067</v>
      </c>
      <c r="Z499" s="1">
        <v>46127</v>
      </c>
      <c r="AA499" s="2">
        <v>161693.04</v>
      </c>
      <c r="AB499" s="2">
        <v>137028</v>
      </c>
      <c r="AC499" s="2">
        <v>24665.040000000001</v>
      </c>
      <c r="AD499" s="2">
        <v>161693.04</v>
      </c>
      <c r="AE499" t="s">
        <v>1747</v>
      </c>
      <c r="AF499" t="s">
        <v>72</v>
      </c>
      <c r="AG499">
        <v>-49</v>
      </c>
      <c r="AH499" t="s">
        <v>117</v>
      </c>
      <c r="AI499" t="s">
        <v>74</v>
      </c>
      <c r="AJ499" t="s">
        <v>75</v>
      </c>
      <c r="AK499" t="s">
        <v>76</v>
      </c>
      <c r="AL499" t="s">
        <v>118</v>
      </c>
      <c r="AM499" t="s">
        <v>78</v>
      </c>
      <c r="AN499" t="s">
        <v>979</v>
      </c>
      <c r="AO499" t="s">
        <v>119</v>
      </c>
      <c r="AP499" t="s">
        <v>46</v>
      </c>
      <c r="AQ499" t="s">
        <v>81</v>
      </c>
      <c r="AR499" t="str">
        <f t="shared" si="14"/>
        <v>60602298.STATAM</v>
      </c>
      <c r="AS499">
        <f t="shared" si="15"/>
        <v>8158303.190000006</v>
      </c>
      <c r="AT499" t="s">
        <v>82</v>
      </c>
    </row>
    <row r="500" spans="1:46" x14ac:dyDescent="0.35">
      <c r="A500" t="s">
        <v>52</v>
      </c>
      <c r="B500" t="s">
        <v>53</v>
      </c>
      <c r="C500" t="s">
        <v>54</v>
      </c>
      <c r="D500" t="s">
        <v>55</v>
      </c>
      <c r="E500" t="s">
        <v>56</v>
      </c>
      <c r="F500" t="s">
        <v>1462</v>
      </c>
      <c r="G500" t="s">
        <v>1748</v>
      </c>
      <c r="H500" t="s">
        <v>56</v>
      </c>
      <c r="I500" t="s">
        <v>1749</v>
      </c>
      <c r="J500" t="s">
        <v>61</v>
      </c>
      <c r="K500" t="s">
        <v>640</v>
      </c>
      <c r="L500" t="s">
        <v>1465</v>
      </c>
      <c r="M500" t="s">
        <v>56</v>
      </c>
      <c r="N500" t="s">
        <v>252</v>
      </c>
      <c r="O500" t="s">
        <v>1466</v>
      </c>
      <c r="P500" t="s">
        <v>1467</v>
      </c>
      <c r="Q500" t="s">
        <v>87</v>
      </c>
      <c r="R500" t="s">
        <v>248</v>
      </c>
      <c r="S500">
        <v>8000000</v>
      </c>
      <c r="T500">
        <v>-2236328.4900000002</v>
      </c>
      <c r="U500" t="s">
        <v>68</v>
      </c>
      <c r="V500" t="s">
        <v>1418</v>
      </c>
      <c r="W500" s="9">
        <v>60602298</v>
      </c>
      <c r="X500" t="s">
        <v>1750</v>
      </c>
      <c r="Y500" s="1">
        <v>46067</v>
      </c>
      <c r="Z500" s="1">
        <v>46127</v>
      </c>
      <c r="AA500" s="2">
        <v>178207.85</v>
      </c>
      <c r="AB500" s="2">
        <v>151023.6</v>
      </c>
      <c r="AC500" s="2">
        <v>27184.25</v>
      </c>
      <c r="AD500" s="2">
        <v>178207.85</v>
      </c>
      <c r="AE500" t="s">
        <v>1751</v>
      </c>
      <c r="AF500" t="s">
        <v>72</v>
      </c>
      <c r="AG500">
        <v>-49</v>
      </c>
      <c r="AH500" t="s">
        <v>117</v>
      </c>
      <c r="AI500" t="s">
        <v>74</v>
      </c>
      <c r="AJ500" t="s">
        <v>75</v>
      </c>
      <c r="AK500" t="s">
        <v>76</v>
      </c>
      <c r="AL500" t="s">
        <v>118</v>
      </c>
      <c r="AM500" t="s">
        <v>78</v>
      </c>
      <c r="AN500" t="s">
        <v>979</v>
      </c>
      <c r="AO500" t="s">
        <v>119</v>
      </c>
      <c r="AP500" t="s">
        <v>46</v>
      </c>
      <c r="AQ500" t="s">
        <v>81</v>
      </c>
      <c r="AR500" t="str">
        <f t="shared" si="14"/>
        <v>60602298.STATAM</v>
      </c>
      <c r="AS500">
        <f t="shared" si="15"/>
        <v>8158303.190000006</v>
      </c>
      <c r="AT500" t="s">
        <v>82</v>
      </c>
    </row>
    <row r="501" spans="1:46" x14ac:dyDescent="0.35">
      <c r="A501" t="s">
        <v>52</v>
      </c>
      <c r="B501" t="s">
        <v>53</v>
      </c>
      <c r="C501" t="s">
        <v>54</v>
      </c>
      <c r="D501" t="s">
        <v>55</v>
      </c>
      <c r="E501" t="s">
        <v>56</v>
      </c>
      <c r="F501" t="s">
        <v>1462</v>
      </c>
      <c r="G501" t="s">
        <v>1752</v>
      </c>
      <c r="H501" t="s">
        <v>56</v>
      </c>
      <c r="I501" t="s">
        <v>1753</v>
      </c>
      <c r="J501" t="s">
        <v>61</v>
      </c>
      <c r="K501" t="s">
        <v>640</v>
      </c>
      <c r="L501" t="s">
        <v>56</v>
      </c>
      <c r="M501" t="s">
        <v>56</v>
      </c>
      <c r="N501" t="s">
        <v>331</v>
      </c>
      <c r="O501" t="s">
        <v>1466</v>
      </c>
      <c r="P501" t="s">
        <v>1467</v>
      </c>
      <c r="Q501" t="s">
        <v>87</v>
      </c>
      <c r="R501" t="s">
        <v>248</v>
      </c>
      <c r="S501">
        <v>8000000</v>
      </c>
      <c r="T501">
        <v>-2236328.4900000002</v>
      </c>
      <c r="U501" t="s">
        <v>68</v>
      </c>
      <c r="V501" t="s">
        <v>1418</v>
      </c>
      <c r="W501" s="9">
        <v>60602298</v>
      </c>
      <c r="X501" t="s">
        <v>1754</v>
      </c>
      <c r="Y501" s="1">
        <v>46067</v>
      </c>
      <c r="Z501" s="1">
        <v>46127</v>
      </c>
      <c r="AA501" s="2">
        <v>53100</v>
      </c>
      <c r="AB501" s="2">
        <v>45000</v>
      </c>
      <c r="AC501" s="2">
        <v>8100</v>
      </c>
      <c r="AD501" s="2">
        <v>53100</v>
      </c>
      <c r="AE501" t="s">
        <v>1755</v>
      </c>
      <c r="AF501" t="s">
        <v>72</v>
      </c>
      <c r="AG501">
        <v>-49</v>
      </c>
      <c r="AH501" t="s">
        <v>117</v>
      </c>
      <c r="AI501" t="s">
        <v>74</v>
      </c>
      <c r="AJ501" t="s">
        <v>127</v>
      </c>
      <c r="AK501" t="s">
        <v>334</v>
      </c>
      <c r="AL501" t="s">
        <v>118</v>
      </c>
      <c r="AM501" t="s">
        <v>78</v>
      </c>
      <c r="AN501" t="s">
        <v>979</v>
      </c>
      <c r="AO501" t="s">
        <v>119</v>
      </c>
      <c r="AP501" t="s">
        <v>46</v>
      </c>
      <c r="AQ501" t="s">
        <v>335</v>
      </c>
      <c r="AR501" t="str">
        <f t="shared" si="14"/>
        <v>60602298.SPMINAM</v>
      </c>
      <c r="AS501">
        <f t="shared" si="15"/>
        <v>1341270.1200000001</v>
      </c>
      <c r="AT501" t="s">
        <v>82</v>
      </c>
    </row>
    <row r="502" spans="1:46" x14ac:dyDescent="0.35">
      <c r="A502" t="s">
        <v>52</v>
      </c>
      <c r="B502" t="s">
        <v>53</v>
      </c>
      <c r="C502" t="s">
        <v>54</v>
      </c>
      <c r="D502" t="s">
        <v>55</v>
      </c>
      <c r="E502" t="s">
        <v>56</v>
      </c>
      <c r="F502" t="s">
        <v>1462</v>
      </c>
      <c r="G502" t="s">
        <v>1756</v>
      </c>
      <c r="H502" t="s">
        <v>56</v>
      </c>
      <c r="I502" t="s">
        <v>1757</v>
      </c>
      <c r="J502" t="s">
        <v>61</v>
      </c>
      <c r="K502" t="s">
        <v>640</v>
      </c>
      <c r="L502" t="s">
        <v>1465</v>
      </c>
      <c r="M502" t="s">
        <v>56</v>
      </c>
      <c r="N502" t="s">
        <v>261</v>
      </c>
      <c r="O502" t="s">
        <v>1466</v>
      </c>
      <c r="P502" t="s">
        <v>1467</v>
      </c>
      <c r="Q502" t="s">
        <v>87</v>
      </c>
      <c r="R502" t="s">
        <v>248</v>
      </c>
      <c r="S502">
        <v>8000000</v>
      </c>
      <c r="T502">
        <v>-2236328.4900000002</v>
      </c>
      <c r="U502" t="s">
        <v>68</v>
      </c>
      <c r="V502" t="s">
        <v>1418</v>
      </c>
      <c r="W502" s="9">
        <v>60602298</v>
      </c>
      <c r="X502" t="s">
        <v>1758</v>
      </c>
      <c r="Y502" s="1">
        <v>46067</v>
      </c>
      <c r="Z502" s="1">
        <v>46127</v>
      </c>
      <c r="AA502" s="2">
        <v>348930.08</v>
      </c>
      <c r="AB502" s="2">
        <v>295703.46000000002</v>
      </c>
      <c r="AC502" s="2">
        <v>53226.62</v>
      </c>
      <c r="AD502" s="2">
        <v>348930.08</v>
      </c>
      <c r="AE502" t="s">
        <v>1759</v>
      </c>
      <c r="AF502" t="s">
        <v>72</v>
      </c>
      <c r="AG502">
        <v>-49</v>
      </c>
      <c r="AH502" t="s">
        <v>117</v>
      </c>
      <c r="AI502" t="s">
        <v>74</v>
      </c>
      <c r="AJ502" t="s">
        <v>75</v>
      </c>
      <c r="AK502" t="s">
        <v>76</v>
      </c>
      <c r="AL502" t="s">
        <v>118</v>
      </c>
      <c r="AM502" t="s">
        <v>78</v>
      </c>
      <c r="AN502" t="s">
        <v>979</v>
      </c>
      <c r="AO502" t="s">
        <v>119</v>
      </c>
      <c r="AP502" t="s">
        <v>46</v>
      </c>
      <c r="AQ502" t="s">
        <v>81</v>
      </c>
      <c r="AR502" t="str">
        <f t="shared" si="14"/>
        <v>60602298.STATAM</v>
      </c>
      <c r="AS502">
        <f t="shared" si="15"/>
        <v>8158303.190000006</v>
      </c>
      <c r="AT502" t="s">
        <v>82</v>
      </c>
    </row>
    <row r="503" spans="1:46" x14ac:dyDescent="0.35">
      <c r="A503" t="s">
        <v>52</v>
      </c>
      <c r="B503" t="s">
        <v>53</v>
      </c>
      <c r="C503" t="s">
        <v>54</v>
      </c>
      <c r="D503" t="s">
        <v>55</v>
      </c>
      <c r="E503" t="s">
        <v>56</v>
      </c>
      <c r="F503" t="s">
        <v>1462</v>
      </c>
      <c r="G503" t="s">
        <v>1756</v>
      </c>
      <c r="H503" t="s">
        <v>56</v>
      </c>
      <c r="I503" t="s">
        <v>1757</v>
      </c>
      <c r="J503" t="s">
        <v>61</v>
      </c>
      <c r="K503" t="s">
        <v>640</v>
      </c>
      <c r="L503" t="s">
        <v>1465</v>
      </c>
      <c r="M503" t="s">
        <v>56</v>
      </c>
      <c r="N503" t="s">
        <v>252</v>
      </c>
      <c r="O503" t="s">
        <v>1466</v>
      </c>
      <c r="P503" t="s">
        <v>1467</v>
      </c>
      <c r="Q503" t="s">
        <v>87</v>
      </c>
      <c r="R503" t="s">
        <v>248</v>
      </c>
      <c r="S503">
        <v>8000000</v>
      </c>
      <c r="T503">
        <v>-2236328.4900000002</v>
      </c>
      <c r="U503" t="s">
        <v>68</v>
      </c>
      <c r="V503" t="s">
        <v>1418</v>
      </c>
      <c r="W503" s="9">
        <v>60602298</v>
      </c>
      <c r="X503" t="s">
        <v>1758</v>
      </c>
      <c r="Y503" s="1">
        <v>46067</v>
      </c>
      <c r="Z503" s="1">
        <v>46127</v>
      </c>
      <c r="AA503" s="2">
        <v>265981.78999999998</v>
      </c>
      <c r="AB503" s="2">
        <v>225408.3</v>
      </c>
      <c r="AC503" s="2">
        <v>40573.49</v>
      </c>
      <c r="AD503" s="2">
        <v>265981.78999999998</v>
      </c>
      <c r="AE503" t="s">
        <v>1760</v>
      </c>
      <c r="AF503" t="s">
        <v>72</v>
      </c>
      <c r="AG503">
        <v>-49</v>
      </c>
      <c r="AH503" t="s">
        <v>117</v>
      </c>
      <c r="AI503" t="s">
        <v>74</v>
      </c>
      <c r="AJ503" t="s">
        <v>75</v>
      </c>
      <c r="AK503" t="s">
        <v>76</v>
      </c>
      <c r="AL503" t="s">
        <v>118</v>
      </c>
      <c r="AM503" t="s">
        <v>78</v>
      </c>
      <c r="AN503" t="s">
        <v>979</v>
      </c>
      <c r="AO503" t="s">
        <v>119</v>
      </c>
      <c r="AP503" t="s">
        <v>46</v>
      </c>
      <c r="AQ503" t="s">
        <v>81</v>
      </c>
      <c r="AR503" t="str">
        <f t="shared" si="14"/>
        <v>60602298.STATAM</v>
      </c>
      <c r="AS503">
        <f t="shared" si="15"/>
        <v>8158303.190000006</v>
      </c>
      <c r="AT503" t="s">
        <v>82</v>
      </c>
    </row>
    <row r="504" spans="1:46" x14ac:dyDescent="0.35">
      <c r="A504" t="s">
        <v>52</v>
      </c>
      <c r="B504" t="s">
        <v>53</v>
      </c>
      <c r="C504" t="s">
        <v>54</v>
      </c>
      <c r="D504" t="s">
        <v>55</v>
      </c>
      <c r="E504" t="s">
        <v>56</v>
      </c>
      <c r="F504" t="s">
        <v>1462</v>
      </c>
      <c r="G504" t="s">
        <v>1761</v>
      </c>
      <c r="H504" t="s">
        <v>56</v>
      </c>
      <c r="I504" t="s">
        <v>1762</v>
      </c>
      <c r="J504" t="s">
        <v>61</v>
      </c>
      <c r="K504" t="s">
        <v>640</v>
      </c>
      <c r="L504" t="s">
        <v>56</v>
      </c>
      <c r="M504" t="s">
        <v>56</v>
      </c>
      <c r="N504" t="s">
        <v>337</v>
      </c>
      <c r="O504" t="s">
        <v>1466</v>
      </c>
      <c r="P504" t="s">
        <v>1467</v>
      </c>
      <c r="Q504" t="s">
        <v>87</v>
      </c>
      <c r="R504" t="s">
        <v>248</v>
      </c>
      <c r="S504">
        <v>8000000</v>
      </c>
      <c r="T504">
        <v>-2236328.4900000002</v>
      </c>
      <c r="U504" t="s">
        <v>68</v>
      </c>
      <c r="V504" t="s">
        <v>1418</v>
      </c>
      <c r="W504" s="9">
        <v>60602298</v>
      </c>
      <c r="X504" t="s">
        <v>1763</v>
      </c>
      <c r="Y504" s="1">
        <v>46067</v>
      </c>
      <c r="Z504" s="1">
        <v>46127</v>
      </c>
      <c r="AA504" s="2">
        <v>67474.759999999995</v>
      </c>
      <c r="AB504" s="2">
        <v>57182</v>
      </c>
      <c r="AC504" s="2">
        <v>10292.76</v>
      </c>
      <c r="AD504" s="2">
        <v>67474.759999999995</v>
      </c>
      <c r="AE504" t="s">
        <v>1764</v>
      </c>
      <c r="AF504" t="s">
        <v>72</v>
      </c>
      <c r="AG504">
        <v>-49</v>
      </c>
      <c r="AH504" t="s">
        <v>117</v>
      </c>
      <c r="AI504" t="s">
        <v>74</v>
      </c>
      <c r="AJ504" t="s">
        <v>127</v>
      </c>
      <c r="AK504" t="s">
        <v>334</v>
      </c>
      <c r="AL504" t="s">
        <v>118</v>
      </c>
      <c r="AM504" t="s">
        <v>78</v>
      </c>
      <c r="AN504" t="s">
        <v>979</v>
      </c>
      <c r="AO504" t="s">
        <v>119</v>
      </c>
      <c r="AP504" t="s">
        <v>46</v>
      </c>
      <c r="AQ504" t="s">
        <v>335</v>
      </c>
      <c r="AR504" t="str">
        <f t="shared" si="14"/>
        <v>60602298.SPMINAM</v>
      </c>
      <c r="AS504">
        <f t="shared" si="15"/>
        <v>1341270.1200000001</v>
      </c>
      <c r="AT504" t="s">
        <v>82</v>
      </c>
    </row>
    <row r="505" spans="1:46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1462</v>
      </c>
      <c r="G505" t="s">
        <v>1675</v>
      </c>
      <c r="H505" t="s">
        <v>56</v>
      </c>
      <c r="I505" t="s">
        <v>1765</v>
      </c>
      <c r="J505" t="s">
        <v>61</v>
      </c>
      <c r="K505" t="s">
        <v>640</v>
      </c>
      <c r="L505" t="s">
        <v>1465</v>
      </c>
      <c r="M505" t="s">
        <v>56</v>
      </c>
      <c r="N505" t="s">
        <v>1384</v>
      </c>
      <c r="O505" t="s">
        <v>1466</v>
      </c>
      <c r="P505" t="s">
        <v>1467</v>
      </c>
      <c r="Q505" t="s">
        <v>87</v>
      </c>
      <c r="R505" t="s">
        <v>248</v>
      </c>
      <c r="S505">
        <v>8000000</v>
      </c>
      <c r="T505">
        <v>-2236328.4900000002</v>
      </c>
      <c r="U505" t="s">
        <v>68</v>
      </c>
      <c r="V505" t="s">
        <v>1418</v>
      </c>
      <c r="W505" s="9">
        <v>60602298</v>
      </c>
      <c r="X505" t="s">
        <v>1766</v>
      </c>
      <c r="Y505" s="1">
        <v>46070</v>
      </c>
      <c r="Z505" s="1">
        <v>46130</v>
      </c>
      <c r="AA505" s="2">
        <v>94123.79</v>
      </c>
      <c r="AB505" s="2">
        <v>79765.919999999998</v>
      </c>
      <c r="AC505" s="2">
        <v>14357.87</v>
      </c>
      <c r="AD505" s="2">
        <v>94123.79</v>
      </c>
      <c r="AE505" t="s">
        <v>1767</v>
      </c>
      <c r="AF505" t="s">
        <v>72</v>
      </c>
      <c r="AG505">
        <v>-52</v>
      </c>
      <c r="AH505" t="s">
        <v>117</v>
      </c>
      <c r="AI505" t="s">
        <v>74</v>
      </c>
      <c r="AJ505" t="s">
        <v>75</v>
      </c>
      <c r="AK505" t="s">
        <v>76</v>
      </c>
      <c r="AL505" t="s">
        <v>118</v>
      </c>
      <c r="AM505" t="s">
        <v>78</v>
      </c>
      <c r="AN505" t="s">
        <v>979</v>
      </c>
      <c r="AO505" t="s">
        <v>119</v>
      </c>
      <c r="AP505" t="s">
        <v>46</v>
      </c>
      <c r="AQ505" t="s">
        <v>81</v>
      </c>
      <c r="AR505" t="str">
        <f t="shared" si="14"/>
        <v>60602298.STATAM</v>
      </c>
      <c r="AS505">
        <f t="shared" si="15"/>
        <v>8158303.190000006</v>
      </c>
      <c r="AT505" t="s">
        <v>82</v>
      </c>
    </row>
    <row r="506" spans="1:46" x14ac:dyDescent="0.35">
      <c r="A506" t="s">
        <v>52</v>
      </c>
      <c r="B506" t="s">
        <v>53</v>
      </c>
      <c r="C506" t="s">
        <v>54</v>
      </c>
      <c r="D506" t="s">
        <v>55</v>
      </c>
      <c r="E506" t="s">
        <v>56</v>
      </c>
      <c r="F506" t="s">
        <v>1462</v>
      </c>
      <c r="G506" t="s">
        <v>1682</v>
      </c>
      <c r="H506" t="s">
        <v>56</v>
      </c>
      <c r="I506" t="s">
        <v>1768</v>
      </c>
      <c r="J506" t="s">
        <v>61</v>
      </c>
      <c r="K506" t="s">
        <v>640</v>
      </c>
      <c r="L506" t="s">
        <v>1465</v>
      </c>
      <c r="M506" t="s">
        <v>56</v>
      </c>
      <c r="N506" t="s">
        <v>1135</v>
      </c>
      <c r="O506" t="s">
        <v>1466</v>
      </c>
      <c r="P506" t="s">
        <v>1467</v>
      </c>
      <c r="Q506" t="s">
        <v>87</v>
      </c>
      <c r="R506" t="s">
        <v>248</v>
      </c>
      <c r="S506">
        <v>8000000</v>
      </c>
      <c r="T506">
        <v>-2236328.4900000002</v>
      </c>
      <c r="U506" t="s">
        <v>68</v>
      </c>
      <c r="V506" t="s">
        <v>1418</v>
      </c>
      <c r="W506" s="9">
        <v>60602298</v>
      </c>
      <c r="X506" t="s">
        <v>1769</v>
      </c>
      <c r="Y506" s="1">
        <v>46070</v>
      </c>
      <c r="Z506" s="1">
        <v>46130</v>
      </c>
      <c r="AA506" s="2">
        <v>84055.74</v>
      </c>
      <c r="AB506" s="2">
        <v>71233.679999999993</v>
      </c>
      <c r="AC506" s="2">
        <v>12822.06</v>
      </c>
      <c r="AD506" s="2">
        <v>84055.74</v>
      </c>
      <c r="AE506" t="s">
        <v>1770</v>
      </c>
      <c r="AF506" t="s">
        <v>72</v>
      </c>
      <c r="AG506">
        <v>-52</v>
      </c>
      <c r="AH506" t="s">
        <v>117</v>
      </c>
      <c r="AI506" t="s">
        <v>74</v>
      </c>
      <c r="AJ506" t="s">
        <v>127</v>
      </c>
      <c r="AK506" t="s">
        <v>334</v>
      </c>
      <c r="AL506" t="s">
        <v>118</v>
      </c>
      <c r="AM506" t="s">
        <v>78</v>
      </c>
      <c r="AN506" t="s">
        <v>979</v>
      </c>
      <c r="AO506" t="s">
        <v>119</v>
      </c>
      <c r="AP506" t="s">
        <v>46</v>
      </c>
      <c r="AQ506" t="s">
        <v>335</v>
      </c>
      <c r="AR506" t="str">
        <f t="shared" si="14"/>
        <v>60602298.SPMINAM</v>
      </c>
      <c r="AS506">
        <f t="shared" si="15"/>
        <v>1341270.1200000001</v>
      </c>
      <c r="AT506" t="s">
        <v>82</v>
      </c>
    </row>
    <row r="507" spans="1:46" x14ac:dyDescent="0.35">
      <c r="A507" t="s">
        <v>52</v>
      </c>
      <c r="B507" t="s">
        <v>53</v>
      </c>
      <c r="C507" t="s">
        <v>54</v>
      </c>
      <c r="D507" t="s">
        <v>55</v>
      </c>
      <c r="E507" t="s">
        <v>56</v>
      </c>
      <c r="F507" t="s">
        <v>1462</v>
      </c>
      <c r="G507" t="s">
        <v>1689</v>
      </c>
      <c r="H507" t="s">
        <v>56</v>
      </c>
      <c r="I507" t="s">
        <v>1771</v>
      </c>
      <c r="J507" t="s">
        <v>61</v>
      </c>
      <c r="K507" t="s">
        <v>640</v>
      </c>
      <c r="L507" t="s">
        <v>1465</v>
      </c>
      <c r="M507" t="s">
        <v>56</v>
      </c>
      <c r="N507" t="s">
        <v>1384</v>
      </c>
      <c r="O507" t="s">
        <v>1466</v>
      </c>
      <c r="P507" t="s">
        <v>1467</v>
      </c>
      <c r="Q507" t="s">
        <v>87</v>
      </c>
      <c r="R507" t="s">
        <v>248</v>
      </c>
      <c r="S507">
        <v>8000000</v>
      </c>
      <c r="T507">
        <v>-2236328.4900000002</v>
      </c>
      <c r="U507" t="s">
        <v>68</v>
      </c>
      <c r="V507" t="s">
        <v>1418</v>
      </c>
      <c r="W507" s="9">
        <v>60602298</v>
      </c>
      <c r="X507" t="s">
        <v>1772</v>
      </c>
      <c r="Y507" s="1">
        <v>46070</v>
      </c>
      <c r="Z507" s="1">
        <v>46130</v>
      </c>
      <c r="AA507" s="2">
        <v>37114.21</v>
      </c>
      <c r="AB507" s="2">
        <v>31452.720000000001</v>
      </c>
      <c r="AC507" s="2">
        <v>5661.49</v>
      </c>
      <c r="AD507" s="2">
        <v>37114.21</v>
      </c>
      <c r="AE507" t="s">
        <v>1773</v>
      </c>
      <c r="AF507" t="s">
        <v>72</v>
      </c>
      <c r="AG507">
        <v>-52</v>
      </c>
      <c r="AH507" t="s">
        <v>117</v>
      </c>
      <c r="AI507" t="s">
        <v>74</v>
      </c>
      <c r="AJ507" t="s">
        <v>75</v>
      </c>
      <c r="AK507" t="s">
        <v>76</v>
      </c>
      <c r="AL507" t="s">
        <v>118</v>
      </c>
      <c r="AM507" t="s">
        <v>78</v>
      </c>
      <c r="AN507" t="s">
        <v>979</v>
      </c>
      <c r="AO507" t="s">
        <v>119</v>
      </c>
      <c r="AP507" t="s">
        <v>46</v>
      </c>
      <c r="AQ507" t="s">
        <v>81</v>
      </c>
      <c r="AR507" t="str">
        <f t="shared" si="14"/>
        <v>60602298.STATAM</v>
      </c>
      <c r="AS507">
        <f t="shared" si="15"/>
        <v>8158303.190000006</v>
      </c>
      <c r="AT507" t="s">
        <v>82</v>
      </c>
    </row>
    <row r="508" spans="1:46" x14ac:dyDescent="0.35">
      <c r="A508" t="s">
        <v>52</v>
      </c>
      <c r="B508" t="s">
        <v>53</v>
      </c>
      <c r="C508" t="s">
        <v>54</v>
      </c>
      <c r="D508" t="s">
        <v>55</v>
      </c>
      <c r="E508" t="s">
        <v>56</v>
      </c>
      <c r="F508" t="s">
        <v>1462</v>
      </c>
      <c r="G508" t="s">
        <v>1547</v>
      </c>
      <c r="H508" t="s">
        <v>56</v>
      </c>
      <c r="I508" t="s">
        <v>1774</v>
      </c>
      <c r="J508" t="s">
        <v>61</v>
      </c>
      <c r="K508" t="s">
        <v>640</v>
      </c>
      <c r="L508" t="s">
        <v>1465</v>
      </c>
      <c r="M508" t="s">
        <v>56</v>
      </c>
      <c r="N508" t="s">
        <v>682</v>
      </c>
      <c r="O508" t="s">
        <v>1466</v>
      </c>
      <c r="P508" t="s">
        <v>1467</v>
      </c>
      <c r="Q508" t="s">
        <v>87</v>
      </c>
      <c r="R508" t="s">
        <v>248</v>
      </c>
      <c r="S508">
        <v>8000000</v>
      </c>
      <c r="T508">
        <v>-2236328.4900000002</v>
      </c>
      <c r="U508" t="s">
        <v>68</v>
      </c>
      <c r="V508" t="s">
        <v>1418</v>
      </c>
      <c r="W508" s="9">
        <v>60602298</v>
      </c>
      <c r="X508" t="s">
        <v>1775</v>
      </c>
      <c r="Y508" s="1">
        <v>46070</v>
      </c>
      <c r="Z508" s="1">
        <v>46130</v>
      </c>
      <c r="AA508" s="2">
        <v>53743.1</v>
      </c>
      <c r="AB508" s="2">
        <v>45545</v>
      </c>
      <c r="AC508" s="2">
        <v>8198.1</v>
      </c>
      <c r="AD508" s="2">
        <v>53743.1</v>
      </c>
      <c r="AE508" t="s">
        <v>1776</v>
      </c>
      <c r="AF508" t="s">
        <v>72</v>
      </c>
      <c r="AG508">
        <v>-52</v>
      </c>
      <c r="AH508" t="s">
        <v>117</v>
      </c>
      <c r="AI508" t="s">
        <v>74</v>
      </c>
      <c r="AJ508" t="s">
        <v>127</v>
      </c>
      <c r="AK508" t="s">
        <v>334</v>
      </c>
      <c r="AL508" t="s">
        <v>118</v>
      </c>
      <c r="AM508" t="s">
        <v>78</v>
      </c>
      <c r="AN508" t="s">
        <v>979</v>
      </c>
      <c r="AO508" t="s">
        <v>119</v>
      </c>
      <c r="AP508" t="s">
        <v>46</v>
      </c>
      <c r="AQ508" t="s">
        <v>335</v>
      </c>
      <c r="AR508" t="str">
        <f t="shared" si="14"/>
        <v>60602298.SPMINAM</v>
      </c>
      <c r="AS508">
        <f t="shared" si="15"/>
        <v>1341270.1200000001</v>
      </c>
      <c r="AT508" t="s">
        <v>82</v>
      </c>
    </row>
    <row r="509" spans="1:46" x14ac:dyDescent="0.35">
      <c r="A509" t="s">
        <v>52</v>
      </c>
      <c r="B509" t="s">
        <v>53</v>
      </c>
      <c r="C509" t="s">
        <v>54</v>
      </c>
      <c r="D509" t="s">
        <v>55</v>
      </c>
      <c r="E509" t="s">
        <v>56</v>
      </c>
      <c r="F509" t="s">
        <v>1462</v>
      </c>
      <c r="G509" t="s">
        <v>1574</v>
      </c>
      <c r="H509" t="s">
        <v>56</v>
      </c>
      <c r="I509" t="s">
        <v>1777</v>
      </c>
      <c r="J509" t="s">
        <v>61</v>
      </c>
      <c r="K509" t="s">
        <v>640</v>
      </c>
      <c r="L509" t="s">
        <v>1465</v>
      </c>
      <c r="M509" t="s">
        <v>56</v>
      </c>
      <c r="N509" t="s">
        <v>252</v>
      </c>
      <c r="O509" t="s">
        <v>1466</v>
      </c>
      <c r="P509" t="s">
        <v>1467</v>
      </c>
      <c r="Q509" t="s">
        <v>87</v>
      </c>
      <c r="R509" t="s">
        <v>248</v>
      </c>
      <c r="S509">
        <v>8000000</v>
      </c>
      <c r="T509">
        <v>-2236328.4900000002</v>
      </c>
      <c r="U509" t="s">
        <v>68</v>
      </c>
      <c r="V509" t="s">
        <v>1418</v>
      </c>
      <c r="W509" s="9">
        <v>60602298</v>
      </c>
      <c r="X509" t="s">
        <v>1778</v>
      </c>
      <c r="Y509" s="1">
        <v>46070</v>
      </c>
      <c r="Z509" s="1">
        <v>46130</v>
      </c>
      <c r="AA509" s="2">
        <v>4119.71</v>
      </c>
      <c r="AB509" s="2">
        <v>3491.28</v>
      </c>
      <c r="AC509" s="2">
        <v>628.42999999999995</v>
      </c>
      <c r="AD509" s="2">
        <v>4119.71</v>
      </c>
      <c r="AE509" t="s">
        <v>1779</v>
      </c>
      <c r="AF509" t="s">
        <v>72</v>
      </c>
      <c r="AG509">
        <v>-52</v>
      </c>
      <c r="AH509" t="s">
        <v>117</v>
      </c>
      <c r="AI509" t="s">
        <v>74</v>
      </c>
      <c r="AJ509" t="s">
        <v>75</v>
      </c>
      <c r="AK509" t="s">
        <v>76</v>
      </c>
      <c r="AL509" t="s">
        <v>118</v>
      </c>
      <c r="AM509" t="s">
        <v>78</v>
      </c>
      <c r="AN509" t="s">
        <v>979</v>
      </c>
      <c r="AO509" t="s">
        <v>119</v>
      </c>
      <c r="AP509" t="s">
        <v>46</v>
      </c>
      <c r="AQ509" t="s">
        <v>81</v>
      </c>
      <c r="AR509" t="str">
        <f t="shared" si="14"/>
        <v>60602298.STATAM</v>
      </c>
      <c r="AS509">
        <f t="shared" si="15"/>
        <v>8158303.190000006</v>
      </c>
      <c r="AT509" t="s">
        <v>82</v>
      </c>
    </row>
    <row r="510" spans="1:46" x14ac:dyDescent="0.35">
      <c r="A510" t="s">
        <v>52</v>
      </c>
      <c r="B510" t="s">
        <v>53</v>
      </c>
      <c r="C510" t="s">
        <v>54</v>
      </c>
      <c r="D510" t="s">
        <v>55</v>
      </c>
      <c r="E510" t="s">
        <v>56</v>
      </c>
      <c r="F510" t="s">
        <v>1462</v>
      </c>
      <c r="G510" t="s">
        <v>1579</v>
      </c>
      <c r="H510" t="s">
        <v>56</v>
      </c>
      <c r="I510" t="s">
        <v>1780</v>
      </c>
      <c r="J510" t="s">
        <v>61</v>
      </c>
      <c r="K510" t="s">
        <v>640</v>
      </c>
      <c r="L510" t="s">
        <v>1465</v>
      </c>
      <c r="M510" t="s">
        <v>56</v>
      </c>
      <c r="N510" t="s">
        <v>252</v>
      </c>
      <c r="O510" t="s">
        <v>1466</v>
      </c>
      <c r="P510" t="s">
        <v>1467</v>
      </c>
      <c r="Q510" t="s">
        <v>87</v>
      </c>
      <c r="R510" t="s">
        <v>248</v>
      </c>
      <c r="S510">
        <v>8000000</v>
      </c>
      <c r="T510">
        <v>-2236328.4900000002</v>
      </c>
      <c r="U510" t="s">
        <v>68</v>
      </c>
      <c r="V510" t="s">
        <v>1418</v>
      </c>
      <c r="W510" s="9">
        <v>60602298</v>
      </c>
      <c r="X510" t="s">
        <v>1781</v>
      </c>
      <c r="Y510" s="1">
        <v>46070</v>
      </c>
      <c r="Z510" s="1">
        <v>46130</v>
      </c>
      <c r="AA510" s="2">
        <v>13253.76</v>
      </c>
      <c r="AB510" s="2">
        <v>11232</v>
      </c>
      <c r="AC510" s="2">
        <v>2021.76</v>
      </c>
      <c r="AD510" s="2">
        <v>13253.76</v>
      </c>
      <c r="AE510" t="s">
        <v>1782</v>
      </c>
      <c r="AF510" t="s">
        <v>72</v>
      </c>
      <c r="AG510">
        <v>-52</v>
      </c>
      <c r="AH510" t="s">
        <v>117</v>
      </c>
      <c r="AI510" t="s">
        <v>74</v>
      </c>
      <c r="AJ510" t="s">
        <v>75</v>
      </c>
      <c r="AK510" t="s">
        <v>76</v>
      </c>
      <c r="AL510" t="s">
        <v>118</v>
      </c>
      <c r="AM510" t="s">
        <v>78</v>
      </c>
      <c r="AN510" t="s">
        <v>979</v>
      </c>
      <c r="AO510" t="s">
        <v>119</v>
      </c>
      <c r="AP510" t="s">
        <v>46</v>
      </c>
      <c r="AQ510" t="s">
        <v>81</v>
      </c>
      <c r="AR510" t="str">
        <f t="shared" si="14"/>
        <v>60602298.STATAM</v>
      </c>
      <c r="AS510">
        <f t="shared" si="15"/>
        <v>8158303.190000006</v>
      </c>
      <c r="AT510" t="s">
        <v>82</v>
      </c>
    </row>
    <row r="511" spans="1:46" x14ac:dyDescent="0.35">
      <c r="A511" t="s">
        <v>52</v>
      </c>
      <c r="B511" t="s">
        <v>53</v>
      </c>
      <c r="C511" t="s">
        <v>54</v>
      </c>
      <c r="D511" t="s">
        <v>55</v>
      </c>
      <c r="E511" t="s">
        <v>56</v>
      </c>
      <c r="F511" t="s">
        <v>1462</v>
      </c>
      <c r="G511" t="s">
        <v>1783</v>
      </c>
      <c r="H511" t="s">
        <v>56</v>
      </c>
      <c r="I511" t="s">
        <v>1784</v>
      </c>
      <c r="J511" t="s">
        <v>61</v>
      </c>
      <c r="K511" t="s">
        <v>640</v>
      </c>
      <c r="L511" t="s">
        <v>1785</v>
      </c>
      <c r="M511" t="s">
        <v>56</v>
      </c>
      <c r="N511" t="s">
        <v>252</v>
      </c>
      <c r="O511" t="s">
        <v>1466</v>
      </c>
      <c r="P511" t="s">
        <v>1467</v>
      </c>
      <c r="Q511" t="s">
        <v>87</v>
      </c>
      <c r="R511" t="s">
        <v>248</v>
      </c>
      <c r="S511">
        <v>8000000</v>
      </c>
      <c r="T511">
        <v>-2236328.4900000002</v>
      </c>
      <c r="U511" t="s">
        <v>68</v>
      </c>
      <c r="V511" t="s">
        <v>1418</v>
      </c>
      <c r="W511" s="9">
        <v>60602298</v>
      </c>
      <c r="X511" t="s">
        <v>1786</v>
      </c>
      <c r="Y511" s="1">
        <v>46072</v>
      </c>
      <c r="Z511" s="1">
        <v>46132</v>
      </c>
      <c r="AA511" s="2">
        <v>660830.68000000005</v>
      </c>
      <c r="AB511" s="2">
        <v>560026</v>
      </c>
      <c r="AC511" s="2">
        <v>100804.68</v>
      </c>
      <c r="AD511" s="2">
        <v>660830.68000000005</v>
      </c>
      <c r="AE511" t="s">
        <v>1787</v>
      </c>
      <c r="AF511" t="s">
        <v>72</v>
      </c>
      <c r="AG511">
        <v>-54</v>
      </c>
      <c r="AH511" t="s">
        <v>117</v>
      </c>
      <c r="AI511" t="s">
        <v>74</v>
      </c>
      <c r="AJ511" t="s">
        <v>75</v>
      </c>
      <c r="AK511" t="s">
        <v>76</v>
      </c>
      <c r="AL511" t="s">
        <v>118</v>
      </c>
      <c r="AM511" t="s">
        <v>78</v>
      </c>
      <c r="AN511" t="s">
        <v>979</v>
      </c>
      <c r="AO511" t="s">
        <v>119</v>
      </c>
      <c r="AP511" t="s">
        <v>46</v>
      </c>
      <c r="AQ511" t="s">
        <v>81</v>
      </c>
      <c r="AR511" t="str">
        <f t="shared" si="14"/>
        <v>60602298.STATAM</v>
      </c>
      <c r="AS511">
        <f t="shared" si="15"/>
        <v>8158303.190000006</v>
      </c>
      <c r="AT511" t="s">
        <v>82</v>
      </c>
    </row>
    <row r="512" spans="1:46" x14ac:dyDescent="0.35">
      <c r="A512" t="s">
        <v>52</v>
      </c>
      <c r="B512" t="s">
        <v>53</v>
      </c>
      <c r="C512" t="s">
        <v>54</v>
      </c>
      <c r="D512" t="s">
        <v>55</v>
      </c>
      <c r="E512" t="s">
        <v>56</v>
      </c>
      <c r="F512" t="s">
        <v>1462</v>
      </c>
      <c r="G512" t="s">
        <v>1788</v>
      </c>
      <c r="H512" t="s">
        <v>56</v>
      </c>
      <c r="I512" t="s">
        <v>1789</v>
      </c>
      <c r="J512" t="s">
        <v>61</v>
      </c>
      <c r="K512" t="s">
        <v>640</v>
      </c>
      <c r="L512" t="s">
        <v>1465</v>
      </c>
      <c r="M512" t="s">
        <v>56</v>
      </c>
      <c r="N512" t="s">
        <v>261</v>
      </c>
      <c r="O512" t="s">
        <v>1466</v>
      </c>
      <c r="P512" t="s">
        <v>1467</v>
      </c>
      <c r="Q512" t="s">
        <v>87</v>
      </c>
      <c r="R512" t="s">
        <v>248</v>
      </c>
      <c r="S512">
        <v>8000000</v>
      </c>
      <c r="T512">
        <v>-2236328.4900000002</v>
      </c>
      <c r="U512" t="s">
        <v>68</v>
      </c>
      <c r="V512" t="s">
        <v>1418</v>
      </c>
      <c r="W512" s="9">
        <v>60602298</v>
      </c>
      <c r="X512" t="s">
        <v>1790</v>
      </c>
      <c r="Y512" s="1">
        <v>46074</v>
      </c>
      <c r="Z512" s="1">
        <v>46134</v>
      </c>
      <c r="AA512" s="2">
        <v>413962.01</v>
      </c>
      <c r="AB512" s="2">
        <v>350815.26</v>
      </c>
      <c r="AC512" s="2">
        <v>63146.75</v>
      </c>
      <c r="AD512" s="2">
        <v>413962.01</v>
      </c>
      <c r="AE512" t="s">
        <v>1791</v>
      </c>
      <c r="AF512" t="s">
        <v>72</v>
      </c>
      <c r="AG512">
        <v>-56</v>
      </c>
      <c r="AH512" t="s">
        <v>117</v>
      </c>
      <c r="AI512" t="s">
        <v>74</v>
      </c>
      <c r="AJ512" t="s">
        <v>75</v>
      </c>
      <c r="AK512" t="s">
        <v>76</v>
      </c>
      <c r="AL512" t="s">
        <v>118</v>
      </c>
      <c r="AM512" t="s">
        <v>78</v>
      </c>
      <c r="AN512" t="s">
        <v>979</v>
      </c>
      <c r="AO512" t="s">
        <v>119</v>
      </c>
      <c r="AP512" t="s">
        <v>46</v>
      </c>
      <c r="AQ512" t="s">
        <v>81</v>
      </c>
      <c r="AR512" t="str">
        <f t="shared" si="14"/>
        <v>60602298.STATAM</v>
      </c>
      <c r="AS512">
        <f t="shared" si="15"/>
        <v>8158303.190000006</v>
      </c>
      <c r="AT512" t="s">
        <v>82</v>
      </c>
    </row>
    <row r="513" spans="1:46" x14ac:dyDescent="0.35">
      <c r="A513" t="s">
        <v>52</v>
      </c>
      <c r="B513" t="s">
        <v>53</v>
      </c>
      <c r="C513" t="s">
        <v>54</v>
      </c>
      <c r="D513" t="s">
        <v>55</v>
      </c>
      <c r="E513" t="s">
        <v>56</v>
      </c>
      <c r="F513" t="s">
        <v>1462</v>
      </c>
      <c r="G513" t="s">
        <v>1788</v>
      </c>
      <c r="H513" t="s">
        <v>56</v>
      </c>
      <c r="I513" t="s">
        <v>1789</v>
      </c>
      <c r="J513" t="s">
        <v>61</v>
      </c>
      <c r="K513" t="s">
        <v>640</v>
      </c>
      <c r="L513" t="s">
        <v>1465</v>
      </c>
      <c r="M513" t="s">
        <v>56</v>
      </c>
      <c r="N513" t="s">
        <v>1186</v>
      </c>
      <c r="O513" t="s">
        <v>1466</v>
      </c>
      <c r="P513" t="s">
        <v>1467</v>
      </c>
      <c r="Q513" t="s">
        <v>87</v>
      </c>
      <c r="R513" t="s">
        <v>248</v>
      </c>
      <c r="S513">
        <v>8000000</v>
      </c>
      <c r="T513">
        <v>-2236328.4900000002</v>
      </c>
      <c r="U513" t="s">
        <v>68</v>
      </c>
      <c r="V513" t="s">
        <v>1418</v>
      </c>
      <c r="W513" s="9">
        <v>60602298</v>
      </c>
      <c r="X513" t="s">
        <v>1790</v>
      </c>
      <c r="Y513" s="1">
        <v>46074</v>
      </c>
      <c r="Z513" s="1">
        <v>46134</v>
      </c>
      <c r="AA513" s="2">
        <v>242.99</v>
      </c>
      <c r="AB513" s="2">
        <v>205.92</v>
      </c>
      <c r="AC513" s="2">
        <v>37.07</v>
      </c>
      <c r="AD513" s="2">
        <v>242.99</v>
      </c>
      <c r="AE513" t="s">
        <v>1792</v>
      </c>
      <c r="AF513" t="s">
        <v>72</v>
      </c>
      <c r="AG513">
        <v>-56</v>
      </c>
      <c r="AH513" t="s">
        <v>117</v>
      </c>
      <c r="AI513" t="s">
        <v>74</v>
      </c>
      <c r="AJ513" t="s">
        <v>75</v>
      </c>
      <c r="AK513" t="s">
        <v>76</v>
      </c>
      <c r="AL513" t="s">
        <v>118</v>
      </c>
      <c r="AM513" t="s">
        <v>78</v>
      </c>
      <c r="AN513" t="s">
        <v>979</v>
      </c>
      <c r="AO513" t="s">
        <v>119</v>
      </c>
      <c r="AP513" t="s">
        <v>46</v>
      </c>
      <c r="AQ513" t="s">
        <v>81</v>
      </c>
      <c r="AR513" t="str">
        <f t="shared" si="14"/>
        <v>60602298.STATAM</v>
      </c>
      <c r="AS513">
        <f t="shared" si="15"/>
        <v>8158303.190000006</v>
      </c>
      <c r="AT513" t="s">
        <v>82</v>
      </c>
    </row>
    <row r="514" spans="1:46" x14ac:dyDescent="0.35">
      <c r="A514" t="s">
        <v>52</v>
      </c>
      <c r="B514" t="s">
        <v>53</v>
      </c>
      <c r="C514" t="s">
        <v>54</v>
      </c>
      <c r="D514" t="s">
        <v>55</v>
      </c>
      <c r="E514" t="s">
        <v>56</v>
      </c>
      <c r="F514" t="s">
        <v>1462</v>
      </c>
      <c r="G514" t="s">
        <v>1793</v>
      </c>
      <c r="H514" t="s">
        <v>56</v>
      </c>
      <c r="I514" t="s">
        <v>1794</v>
      </c>
      <c r="J514" t="s">
        <v>476</v>
      </c>
      <c r="K514" t="s">
        <v>640</v>
      </c>
      <c r="L514" t="s">
        <v>1465</v>
      </c>
      <c r="M514" t="s">
        <v>56</v>
      </c>
      <c r="N514" t="s">
        <v>263</v>
      </c>
      <c r="O514" t="s">
        <v>1466</v>
      </c>
      <c r="P514" t="s">
        <v>1467</v>
      </c>
      <c r="Q514" t="s">
        <v>1486</v>
      </c>
      <c r="R514" t="s">
        <v>248</v>
      </c>
      <c r="S514">
        <v>8000000</v>
      </c>
      <c r="T514">
        <v>-2236328.4900000002</v>
      </c>
      <c r="U514" t="s">
        <v>68</v>
      </c>
      <c r="V514" t="s">
        <v>1418</v>
      </c>
      <c r="W514" s="9">
        <v>60602298</v>
      </c>
      <c r="X514" t="s">
        <v>1795</v>
      </c>
      <c r="Y514" s="1">
        <v>46074</v>
      </c>
      <c r="Z514" s="1">
        <v>46134</v>
      </c>
      <c r="AA514" s="2">
        <v>72120.42</v>
      </c>
      <c r="AB514" s="2">
        <v>61119</v>
      </c>
      <c r="AC514" s="2">
        <v>11001.42</v>
      </c>
      <c r="AD514" s="2">
        <v>72120.42</v>
      </c>
      <c r="AE514" t="s">
        <v>1796</v>
      </c>
      <c r="AF514" t="s">
        <v>72</v>
      </c>
      <c r="AG514">
        <v>-56</v>
      </c>
      <c r="AH514" t="s">
        <v>117</v>
      </c>
      <c r="AI514" t="s">
        <v>74</v>
      </c>
      <c r="AJ514" t="s">
        <v>75</v>
      </c>
      <c r="AK514" t="s">
        <v>76</v>
      </c>
      <c r="AL514" t="s">
        <v>118</v>
      </c>
      <c r="AM514" t="s">
        <v>78</v>
      </c>
      <c r="AN514" t="s">
        <v>979</v>
      </c>
      <c r="AO514" t="s">
        <v>119</v>
      </c>
      <c r="AP514" t="s">
        <v>46</v>
      </c>
      <c r="AQ514" t="s">
        <v>81</v>
      </c>
      <c r="AR514" t="str">
        <f t="shared" si="14"/>
        <v>60602298.STATAM</v>
      </c>
      <c r="AS514">
        <f t="shared" si="15"/>
        <v>8158303.190000006</v>
      </c>
      <c r="AT514" t="s">
        <v>82</v>
      </c>
    </row>
    <row r="515" spans="1:46" x14ac:dyDescent="0.35">
      <c r="A515" t="s">
        <v>52</v>
      </c>
      <c r="B515" t="s">
        <v>53</v>
      </c>
      <c r="C515" t="s">
        <v>54</v>
      </c>
      <c r="D515" t="s">
        <v>55</v>
      </c>
      <c r="E515" t="s">
        <v>56</v>
      </c>
      <c r="F515" t="s">
        <v>1462</v>
      </c>
      <c r="G515" t="s">
        <v>1567</v>
      </c>
      <c r="H515" t="s">
        <v>56</v>
      </c>
      <c r="I515" t="s">
        <v>1797</v>
      </c>
      <c r="J515" t="s">
        <v>61</v>
      </c>
      <c r="K515" t="s">
        <v>640</v>
      </c>
      <c r="L515" t="s">
        <v>1465</v>
      </c>
      <c r="M515" t="s">
        <v>56</v>
      </c>
      <c r="N515" t="s">
        <v>261</v>
      </c>
      <c r="O515" t="s">
        <v>1466</v>
      </c>
      <c r="P515" t="s">
        <v>1467</v>
      </c>
      <c r="Q515" t="s">
        <v>87</v>
      </c>
      <c r="R515" t="s">
        <v>248</v>
      </c>
      <c r="S515">
        <v>8000000</v>
      </c>
      <c r="T515">
        <v>-2236328.4900000002</v>
      </c>
      <c r="U515" t="s">
        <v>68</v>
      </c>
      <c r="V515" t="s">
        <v>1418</v>
      </c>
      <c r="W515" s="9">
        <v>60602298</v>
      </c>
      <c r="X515" t="s">
        <v>1798</v>
      </c>
      <c r="Y515" s="1">
        <v>46074</v>
      </c>
      <c r="Z515" s="1">
        <v>46134</v>
      </c>
      <c r="AA515" s="2">
        <v>612.07000000000005</v>
      </c>
      <c r="AB515" s="2">
        <v>518.70000000000005</v>
      </c>
      <c r="AC515" s="2">
        <v>93.37</v>
      </c>
      <c r="AD515" s="2">
        <v>612.07000000000005</v>
      </c>
      <c r="AE515" t="s">
        <v>1799</v>
      </c>
      <c r="AF515" t="s">
        <v>72</v>
      </c>
      <c r="AG515">
        <v>-56</v>
      </c>
      <c r="AH515" t="s">
        <v>117</v>
      </c>
      <c r="AI515" t="s">
        <v>74</v>
      </c>
      <c r="AJ515" t="s">
        <v>75</v>
      </c>
      <c r="AK515" t="s">
        <v>76</v>
      </c>
      <c r="AL515" t="s">
        <v>118</v>
      </c>
      <c r="AM515" t="s">
        <v>78</v>
      </c>
      <c r="AN515" t="s">
        <v>979</v>
      </c>
      <c r="AO515" t="s">
        <v>119</v>
      </c>
      <c r="AP515" t="s">
        <v>46</v>
      </c>
      <c r="AQ515" t="s">
        <v>81</v>
      </c>
      <c r="AR515" t="str">
        <f t="shared" si="14"/>
        <v>60602298.STATAM</v>
      </c>
      <c r="AS515">
        <f t="shared" si="15"/>
        <v>8158303.190000006</v>
      </c>
      <c r="AT515" t="s">
        <v>82</v>
      </c>
    </row>
    <row r="516" spans="1:46" x14ac:dyDescent="0.35">
      <c r="A516" t="s">
        <v>52</v>
      </c>
      <c r="B516" t="s">
        <v>53</v>
      </c>
      <c r="C516" t="s">
        <v>54</v>
      </c>
      <c r="D516" t="s">
        <v>55</v>
      </c>
      <c r="E516" t="s">
        <v>56</v>
      </c>
      <c r="F516" t="s">
        <v>1462</v>
      </c>
      <c r="G516" t="s">
        <v>1574</v>
      </c>
      <c r="H516" t="s">
        <v>56</v>
      </c>
      <c r="I516" t="s">
        <v>1800</v>
      </c>
      <c r="J516" t="s">
        <v>61</v>
      </c>
      <c r="K516" t="s">
        <v>640</v>
      </c>
      <c r="L516" t="s">
        <v>1465</v>
      </c>
      <c r="M516" t="s">
        <v>56</v>
      </c>
      <c r="N516" t="s">
        <v>261</v>
      </c>
      <c r="O516" t="s">
        <v>1466</v>
      </c>
      <c r="P516" t="s">
        <v>1467</v>
      </c>
      <c r="Q516" t="s">
        <v>87</v>
      </c>
      <c r="R516" t="s">
        <v>248</v>
      </c>
      <c r="S516">
        <v>8000000</v>
      </c>
      <c r="T516">
        <v>-2236328.4900000002</v>
      </c>
      <c r="U516" t="s">
        <v>68</v>
      </c>
      <c r="V516" t="s">
        <v>1418</v>
      </c>
      <c r="W516" s="9">
        <v>60602298</v>
      </c>
      <c r="X516" t="s">
        <v>1801</v>
      </c>
      <c r="Y516" s="1">
        <v>46074</v>
      </c>
      <c r="Z516" s="1">
        <v>46134</v>
      </c>
      <c r="AA516" s="2">
        <v>612.07000000000005</v>
      </c>
      <c r="AB516" s="2">
        <v>518.70000000000005</v>
      </c>
      <c r="AC516" s="2">
        <v>93.37</v>
      </c>
      <c r="AD516" s="2">
        <v>612.07000000000005</v>
      </c>
      <c r="AE516" t="s">
        <v>1802</v>
      </c>
      <c r="AF516" t="s">
        <v>72</v>
      </c>
      <c r="AG516">
        <v>-56</v>
      </c>
      <c r="AH516" t="s">
        <v>117</v>
      </c>
      <c r="AI516" t="s">
        <v>74</v>
      </c>
      <c r="AJ516" t="s">
        <v>75</v>
      </c>
      <c r="AK516" t="s">
        <v>76</v>
      </c>
      <c r="AL516" t="s">
        <v>118</v>
      </c>
      <c r="AM516" t="s">
        <v>78</v>
      </c>
      <c r="AN516" t="s">
        <v>979</v>
      </c>
      <c r="AO516" t="s">
        <v>119</v>
      </c>
      <c r="AP516" t="s">
        <v>46</v>
      </c>
      <c r="AQ516" t="s">
        <v>81</v>
      </c>
      <c r="AR516" t="str">
        <f t="shared" si="14"/>
        <v>60602298.STATAM</v>
      </c>
      <c r="AS516">
        <f t="shared" si="15"/>
        <v>8158303.190000006</v>
      </c>
      <c r="AT516" t="s">
        <v>82</v>
      </c>
    </row>
    <row r="517" spans="1:46" x14ac:dyDescent="0.35">
      <c r="A517" t="s">
        <v>52</v>
      </c>
      <c r="B517" t="s">
        <v>53</v>
      </c>
      <c r="C517" t="s">
        <v>54</v>
      </c>
      <c r="D517" t="s">
        <v>55</v>
      </c>
      <c r="E517" t="s">
        <v>56</v>
      </c>
      <c r="F517" t="s">
        <v>1462</v>
      </c>
      <c r="G517" t="s">
        <v>1725</v>
      </c>
      <c r="H517" t="s">
        <v>56</v>
      </c>
      <c r="I517" t="s">
        <v>1803</v>
      </c>
      <c r="J517" t="s">
        <v>61</v>
      </c>
      <c r="K517" t="s">
        <v>640</v>
      </c>
      <c r="L517" t="s">
        <v>1465</v>
      </c>
      <c r="M517" t="s">
        <v>56</v>
      </c>
      <c r="N517" t="s">
        <v>1727</v>
      </c>
      <c r="O517" t="s">
        <v>1466</v>
      </c>
      <c r="P517" t="s">
        <v>1467</v>
      </c>
      <c r="Q517" t="s">
        <v>87</v>
      </c>
      <c r="R517" t="s">
        <v>248</v>
      </c>
      <c r="S517">
        <v>8000000</v>
      </c>
      <c r="T517">
        <v>-2236328.4900000002</v>
      </c>
      <c r="U517" t="s">
        <v>68</v>
      </c>
      <c r="V517" t="s">
        <v>1418</v>
      </c>
      <c r="W517" s="9">
        <v>60602298</v>
      </c>
      <c r="X517" t="s">
        <v>1804</v>
      </c>
      <c r="Y517" s="1">
        <v>46074</v>
      </c>
      <c r="Z517" s="1">
        <v>46134</v>
      </c>
      <c r="AA517" s="2">
        <v>3887.77</v>
      </c>
      <c r="AB517" s="2">
        <v>3294.72</v>
      </c>
      <c r="AC517" s="2">
        <v>593.04999999999995</v>
      </c>
      <c r="AD517" s="2">
        <v>3887.77</v>
      </c>
      <c r="AE517" t="s">
        <v>1805</v>
      </c>
      <c r="AF517" t="s">
        <v>72</v>
      </c>
      <c r="AG517">
        <v>-56</v>
      </c>
      <c r="AH517" t="s">
        <v>117</v>
      </c>
      <c r="AI517" t="s">
        <v>74</v>
      </c>
      <c r="AJ517" t="s">
        <v>127</v>
      </c>
      <c r="AK517" t="s">
        <v>334</v>
      </c>
      <c r="AL517" t="s">
        <v>118</v>
      </c>
      <c r="AM517" t="s">
        <v>78</v>
      </c>
      <c r="AN517" t="s">
        <v>979</v>
      </c>
      <c r="AO517" t="s">
        <v>119</v>
      </c>
      <c r="AP517" t="s">
        <v>46</v>
      </c>
      <c r="AQ517" t="s">
        <v>335</v>
      </c>
      <c r="AR517" t="str">
        <f t="shared" si="14"/>
        <v>60602298.SPMINAM</v>
      </c>
      <c r="AS517">
        <f t="shared" si="15"/>
        <v>1341270.1200000001</v>
      </c>
      <c r="AT517" t="s">
        <v>82</v>
      </c>
    </row>
    <row r="518" spans="1:46" x14ac:dyDescent="0.35">
      <c r="A518" t="s">
        <v>52</v>
      </c>
      <c r="B518" t="s">
        <v>53</v>
      </c>
      <c r="C518" t="s">
        <v>54</v>
      </c>
      <c r="D518" t="s">
        <v>55</v>
      </c>
      <c r="E518" t="s">
        <v>56</v>
      </c>
      <c r="F518" t="s">
        <v>1462</v>
      </c>
      <c r="G518" t="s">
        <v>1710</v>
      </c>
      <c r="H518" t="s">
        <v>56</v>
      </c>
      <c r="I518" t="s">
        <v>1806</v>
      </c>
      <c r="J518" t="s">
        <v>61</v>
      </c>
      <c r="K518" t="s">
        <v>640</v>
      </c>
      <c r="L518" t="s">
        <v>1465</v>
      </c>
      <c r="M518" t="s">
        <v>56</v>
      </c>
      <c r="N518" t="s">
        <v>682</v>
      </c>
      <c r="O518" t="s">
        <v>1466</v>
      </c>
      <c r="P518" t="s">
        <v>1467</v>
      </c>
      <c r="Q518" t="s">
        <v>87</v>
      </c>
      <c r="R518" t="s">
        <v>248</v>
      </c>
      <c r="S518">
        <v>8000000</v>
      </c>
      <c r="T518">
        <v>-2236328.4900000002</v>
      </c>
      <c r="U518" t="s">
        <v>68</v>
      </c>
      <c r="V518" t="s">
        <v>1418</v>
      </c>
      <c r="W518" s="9">
        <v>60602298</v>
      </c>
      <c r="X518" t="s">
        <v>1807</v>
      </c>
      <c r="Y518" s="1">
        <v>46074</v>
      </c>
      <c r="Z518" s="1">
        <v>46134</v>
      </c>
      <c r="AA518" s="2">
        <v>7161.63</v>
      </c>
      <c r="AB518" s="2">
        <v>6069.18</v>
      </c>
      <c r="AC518" s="2">
        <v>1092.45</v>
      </c>
      <c r="AD518" s="2">
        <v>7161.63</v>
      </c>
      <c r="AE518" t="s">
        <v>1808</v>
      </c>
      <c r="AF518" t="s">
        <v>72</v>
      </c>
      <c r="AG518">
        <v>-56</v>
      </c>
      <c r="AH518" t="s">
        <v>117</v>
      </c>
      <c r="AI518" t="s">
        <v>74</v>
      </c>
      <c r="AJ518" t="s">
        <v>127</v>
      </c>
      <c r="AK518" t="s">
        <v>334</v>
      </c>
      <c r="AL518" t="s">
        <v>118</v>
      </c>
      <c r="AM518" t="s">
        <v>78</v>
      </c>
      <c r="AN518" t="s">
        <v>979</v>
      </c>
      <c r="AO518" t="s">
        <v>119</v>
      </c>
      <c r="AP518" t="s">
        <v>46</v>
      </c>
      <c r="AQ518" t="s">
        <v>335</v>
      </c>
      <c r="AR518" t="str">
        <f t="shared" si="14"/>
        <v>60602298.SPMINAM</v>
      </c>
      <c r="AS518">
        <f t="shared" si="15"/>
        <v>1341270.1200000001</v>
      </c>
      <c r="AT518" t="s">
        <v>82</v>
      </c>
    </row>
    <row r="519" spans="1:46" x14ac:dyDescent="0.35">
      <c r="A519" t="s">
        <v>52</v>
      </c>
      <c r="B519" t="s">
        <v>53</v>
      </c>
      <c r="C519" t="s">
        <v>54</v>
      </c>
      <c r="D519" t="s">
        <v>55</v>
      </c>
      <c r="E519" t="s">
        <v>56</v>
      </c>
      <c r="F519" t="s">
        <v>1462</v>
      </c>
      <c r="G519" t="s">
        <v>1809</v>
      </c>
      <c r="H519" t="s">
        <v>56</v>
      </c>
      <c r="I519" t="s">
        <v>1810</v>
      </c>
      <c r="J519" t="s">
        <v>61</v>
      </c>
      <c r="K519" t="s">
        <v>640</v>
      </c>
      <c r="L519" t="s">
        <v>1465</v>
      </c>
      <c r="M519" t="s">
        <v>56</v>
      </c>
      <c r="N519" t="s">
        <v>295</v>
      </c>
      <c r="O519" t="s">
        <v>1466</v>
      </c>
      <c r="P519" t="s">
        <v>1467</v>
      </c>
      <c r="Q519" t="s">
        <v>87</v>
      </c>
      <c r="R519" t="s">
        <v>248</v>
      </c>
      <c r="S519">
        <v>8000000</v>
      </c>
      <c r="T519">
        <v>-2236328.4900000002</v>
      </c>
      <c r="U519" t="s">
        <v>68</v>
      </c>
      <c r="V519" t="s">
        <v>1418</v>
      </c>
      <c r="W519" s="9">
        <v>60602298</v>
      </c>
      <c r="X519" t="s">
        <v>1811</v>
      </c>
      <c r="Y519" s="1">
        <v>46077</v>
      </c>
      <c r="Z519" s="1">
        <v>46137</v>
      </c>
      <c r="AA519" s="2">
        <v>21846.61</v>
      </c>
      <c r="AB519" s="2">
        <v>18514.080000000002</v>
      </c>
      <c r="AC519" s="2">
        <v>3332.53</v>
      </c>
      <c r="AD519" s="2">
        <v>21846.61</v>
      </c>
      <c r="AE519" t="s">
        <v>1812</v>
      </c>
      <c r="AF519" t="s">
        <v>72</v>
      </c>
      <c r="AG519">
        <v>-59</v>
      </c>
      <c r="AH519" t="s">
        <v>117</v>
      </c>
      <c r="AI519" t="s">
        <v>74</v>
      </c>
      <c r="AJ519" t="s">
        <v>75</v>
      </c>
      <c r="AK519" t="s">
        <v>76</v>
      </c>
      <c r="AL519" t="s">
        <v>118</v>
      </c>
      <c r="AM519" t="s">
        <v>78</v>
      </c>
      <c r="AN519" t="s">
        <v>979</v>
      </c>
      <c r="AO519" t="s">
        <v>119</v>
      </c>
      <c r="AP519" t="s">
        <v>46</v>
      </c>
      <c r="AQ519" t="s">
        <v>81</v>
      </c>
      <c r="AR519" t="str">
        <f t="shared" si="14"/>
        <v>60602298.STATAM</v>
      </c>
      <c r="AS519">
        <f t="shared" si="15"/>
        <v>8158303.190000006</v>
      </c>
      <c r="AT519" t="s">
        <v>82</v>
      </c>
    </row>
    <row r="520" spans="1:46" x14ac:dyDescent="0.35">
      <c r="A520" t="s">
        <v>52</v>
      </c>
      <c r="B520" t="s">
        <v>53</v>
      </c>
      <c r="C520" t="s">
        <v>54</v>
      </c>
      <c r="D520" t="s">
        <v>55</v>
      </c>
      <c r="E520" t="s">
        <v>56</v>
      </c>
      <c r="F520" t="s">
        <v>1462</v>
      </c>
      <c r="G520" t="s">
        <v>1809</v>
      </c>
      <c r="H520" t="s">
        <v>56</v>
      </c>
      <c r="I520" t="s">
        <v>1810</v>
      </c>
      <c r="J520" t="s">
        <v>61</v>
      </c>
      <c r="K520" t="s">
        <v>640</v>
      </c>
      <c r="L520" t="s">
        <v>1465</v>
      </c>
      <c r="M520" t="s">
        <v>56</v>
      </c>
      <c r="N520" t="s">
        <v>252</v>
      </c>
      <c r="O520" t="s">
        <v>1466</v>
      </c>
      <c r="P520" t="s">
        <v>1467</v>
      </c>
      <c r="Q520" t="s">
        <v>87</v>
      </c>
      <c r="R520" t="s">
        <v>248</v>
      </c>
      <c r="S520">
        <v>8000000</v>
      </c>
      <c r="T520">
        <v>-2236328.4900000002</v>
      </c>
      <c r="U520" t="s">
        <v>68</v>
      </c>
      <c r="V520" t="s">
        <v>1418</v>
      </c>
      <c r="W520" s="9">
        <v>60602298</v>
      </c>
      <c r="X520" t="s">
        <v>1811</v>
      </c>
      <c r="Y520" s="1">
        <v>46077</v>
      </c>
      <c r="Z520" s="1">
        <v>46137</v>
      </c>
      <c r="AA520" s="2">
        <v>15199.49</v>
      </c>
      <c r="AB520" s="2">
        <v>12880.92</v>
      </c>
      <c r="AC520" s="2">
        <v>2318.5700000000002</v>
      </c>
      <c r="AD520" s="2">
        <v>15199.49</v>
      </c>
      <c r="AE520" t="s">
        <v>1813</v>
      </c>
      <c r="AF520" t="s">
        <v>72</v>
      </c>
      <c r="AG520">
        <v>-59</v>
      </c>
      <c r="AH520" t="s">
        <v>117</v>
      </c>
      <c r="AI520" t="s">
        <v>74</v>
      </c>
      <c r="AJ520" t="s">
        <v>75</v>
      </c>
      <c r="AK520" t="s">
        <v>76</v>
      </c>
      <c r="AL520" t="s">
        <v>118</v>
      </c>
      <c r="AM520" t="s">
        <v>78</v>
      </c>
      <c r="AN520" t="s">
        <v>979</v>
      </c>
      <c r="AO520" t="s">
        <v>119</v>
      </c>
      <c r="AP520" t="s">
        <v>46</v>
      </c>
      <c r="AQ520" t="s">
        <v>81</v>
      </c>
      <c r="AR520" t="str">
        <f t="shared" ref="AR520:AR583" si="16">W520&amp;"."&amp;AQ520</f>
        <v>60602298.STATAM</v>
      </c>
      <c r="AS520">
        <f t="shared" ref="AS520:AS583" si="17">SUMIFS(AD:AD,AQ:AQ,AQ520,W:W,W520)</f>
        <v>8158303.190000006</v>
      </c>
      <c r="AT520" t="s">
        <v>82</v>
      </c>
    </row>
    <row r="521" spans="1:46" x14ac:dyDescent="0.35">
      <c r="A521" t="s">
        <v>52</v>
      </c>
      <c r="B521" t="s">
        <v>53</v>
      </c>
      <c r="C521" t="s">
        <v>54</v>
      </c>
      <c r="D521" t="s">
        <v>55</v>
      </c>
      <c r="E521" t="s">
        <v>56</v>
      </c>
      <c r="F521" t="s">
        <v>1462</v>
      </c>
      <c r="G521" t="s">
        <v>1809</v>
      </c>
      <c r="H521" t="s">
        <v>56</v>
      </c>
      <c r="I521" t="s">
        <v>1810</v>
      </c>
      <c r="J521" t="s">
        <v>61</v>
      </c>
      <c r="K521" t="s">
        <v>640</v>
      </c>
      <c r="L521" t="s">
        <v>1465</v>
      </c>
      <c r="M521" t="s">
        <v>56</v>
      </c>
      <c r="N521" t="s">
        <v>261</v>
      </c>
      <c r="O521" t="s">
        <v>1466</v>
      </c>
      <c r="P521" t="s">
        <v>1467</v>
      </c>
      <c r="Q521" t="s">
        <v>87</v>
      </c>
      <c r="R521" t="s">
        <v>248</v>
      </c>
      <c r="S521">
        <v>8000000</v>
      </c>
      <c r="T521">
        <v>-2236328.4900000002</v>
      </c>
      <c r="U521" t="s">
        <v>68</v>
      </c>
      <c r="V521" t="s">
        <v>1418</v>
      </c>
      <c r="W521" s="9">
        <v>60602298</v>
      </c>
      <c r="X521" t="s">
        <v>1811</v>
      </c>
      <c r="Y521" s="1">
        <v>46077</v>
      </c>
      <c r="Z521" s="1">
        <v>46137</v>
      </c>
      <c r="AA521" s="2">
        <v>115897.69</v>
      </c>
      <c r="AB521" s="2">
        <v>98218.38</v>
      </c>
      <c r="AC521" s="2">
        <v>17679.310000000001</v>
      </c>
      <c r="AD521" s="2">
        <v>115897.69</v>
      </c>
      <c r="AE521" t="s">
        <v>1814</v>
      </c>
      <c r="AF521" t="s">
        <v>72</v>
      </c>
      <c r="AG521">
        <v>-59</v>
      </c>
      <c r="AH521" t="s">
        <v>117</v>
      </c>
      <c r="AI521" t="s">
        <v>74</v>
      </c>
      <c r="AJ521" t="s">
        <v>75</v>
      </c>
      <c r="AK521" t="s">
        <v>76</v>
      </c>
      <c r="AL521" t="s">
        <v>118</v>
      </c>
      <c r="AM521" t="s">
        <v>78</v>
      </c>
      <c r="AN521" t="s">
        <v>979</v>
      </c>
      <c r="AO521" t="s">
        <v>119</v>
      </c>
      <c r="AP521" t="s">
        <v>46</v>
      </c>
      <c r="AQ521" t="s">
        <v>81</v>
      </c>
      <c r="AR521" t="str">
        <f t="shared" si="16"/>
        <v>60602298.STATAM</v>
      </c>
      <c r="AS521">
        <f t="shared" si="17"/>
        <v>8158303.190000006</v>
      </c>
      <c r="AT521" t="s">
        <v>82</v>
      </c>
    </row>
    <row r="522" spans="1:46" x14ac:dyDescent="0.35">
      <c r="A522" t="s">
        <v>52</v>
      </c>
      <c r="B522" t="s">
        <v>53</v>
      </c>
      <c r="C522" t="s">
        <v>54</v>
      </c>
      <c r="D522" t="s">
        <v>55</v>
      </c>
      <c r="E522" t="s">
        <v>56</v>
      </c>
      <c r="F522" t="s">
        <v>1462</v>
      </c>
      <c r="G522" t="s">
        <v>1567</v>
      </c>
      <c r="H522" t="s">
        <v>56</v>
      </c>
      <c r="I522" t="s">
        <v>1815</v>
      </c>
      <c r="J522" t="s">
        <v>61</v>
      </c>
      <c r="K522" t="s">
        <v>640</v>
      </c>
      <c r="L522" t="s">
        <v>1465</v>
      </c>
      <c r="M522" t="s">
        <v>56</v>
      </c>
      <c r="N522" t="s">
        <v>252</v>
      </c>
      <c r="O522" t="s">
        <v>1466</v>
      </c>
      <c r="P522" t="s">
        <v>1467</v>
      </c>
      <c r="Q522" t="s">
        <v>87</v>
      </c>
      <c r="R522" t="s">
        <v>248</v>
      </c>
      <c r="S522">
        <v>8000000</v>
      </c>
      <c r="T522">
        <v>-2236328.4900000002</v>
      </c>
      <c r="U522" t="s">
        <v>68</v>
      </c>
      <c r="V522" t="s">
        <v>1418</v>
      </c>
      <c r="W522" s="9">
        <v>60602298</v>
      </c>
      <c r="X522" t="s">
        <v>1816</v>
      </c>
      <c r="Y522" s="1">
        <v>46077</v>
      </c>
      <c r="Z522" s="1">
        <v>46137</v>
      </c>
      <c r="AA522" s="2">
        <v>20598.55</v>
      </c>
      <c r="AB522" s="2">
        <v>17456.400000000001</v>
      </c>
      <c r="AC522" s="2">
        <v>3142.15</v>
      </c>
      <c r="AD522" s="2">
        <v>20598.55</v>
      </c>
      <c r="AE522" t="s">
        <v>1817</v>
      </c>
      <c r="AF522" t="s">
        <v>72</v>
      </c>
      <c r="AG522">
        <v>-59</v>
      </c>
      <c r="AH522" t="s">
        <v>117</v>
      </c>
      <c r="AI522" t="s">
        <v>74</v>
      </c>
      <c r="AJ522" t="s">
        <v>75</v>
      </c>
      <c r="AK522" t="s">
        <v>76</v>
      </c>
      <c r="AL522" t="s">
        <v>118</v>
      </c>
      <c r="AM522" t="s">
        <v>78</v>
      </c>
      <c r="AN522" t="s">
        <v>979</v>
      </c>
      <c r="AO522" t="s">
        <v>119</v>
      </c>
      <c r="AP522" t="s">
        <v>46</v>
      </c>
      <c r="AQ522" t="s">
        <v>81</v>
      </c>
      <c r="AR522" t="str">
        <f t="shared" si="16"/>
        <v>60602298.STATAM</v>
      </c>
      <c r="AS522">
        <f t="shared" si="17"/>
        <v>8158303.190000006</v>
      </c>
      <c r="AT522" t="s">
        <v>82</v>
      </c>
    </row>
    <row r="523" spans="1:46" x14ac:dyDescent="0.35">
      <c r="A523" t="s">
        <v>52</v>
      </c>
      <c r="B523" t="s">
        <v>53</v>
      </c>
      <c r="C523" t="s">
        <v>54</v>
      </c>
      <c r="D523" t="s">
        <v>55</v>
      </c>
      <c r="E523" t="s">
        <v>56</v>
      </c>
      <c r="F523" t="s">
        <v>1462</v>
      </c>
      <c r="G523" t="s">
        <v>1756</v>
      </c>
      <c r="H523" t="s">
        <v>56</v>
      </c>
      <c r="I523" t="s">
        <v>1818</v>
      </c>
      <c r="J523" t="s">
        <v>61</v>
      </c>
      <c r="K523" t="s">
        <v>640</v>
      </c>
      <c r="L523" t="s">
        <v>1465</v>
      </c>
      <c r="M523" t="s">
        <v>56</v>
      </c>
      <c r="N523" t="s">
        <v>252</v>
      </c>
      <c r="O523" t="s">
        <v>1466</v>
      </c>
      <c r="P523" t="s">
        <v>1467</v>
      </c>
      <c r="Q523" t="s">
        <v>87</v>
      </c>
      <c r="R523" t="s">
        <v>248</v>
      </c>
      <c r="S523">
        <v>8000000</v>
      </c>
      <c r="T523">
        <v>-2236328.4900000002</v>
      </c>
      <c r="U523" t="s">
        <v>68</v>
      </c>
      <c r="V523" t="s">
        <v>1418</v>
      </c>
      <c r="W523" s="9">
        <v>60602298</v>
      </c>
      <c r="X523" t="s">
        <v>1819</v>
      </c>
      <c r="Y523" s="1">
        <v>46077</v>
      </c>
      <c r="Z523" s="1">
        <v>46137</v>
      </c>
      <c r="AA523" s="2">
        <v>22071.19</v>
      </c>
      <c r="AB523" s="2">
        <v>18704.400000000001</v>
      </c>
      <c r="AC523" s="2">
        <v>3366.79</v>
      </c>
      <c r="AD523" s="2">
        <v>22071.19</v>
      </c>
      <c r="AE523" t="s">
        <v>1820</v>
      </c>
      <c r="AF523" t="s">
        <v>72</v>
      </c>
      <c r="AG523">
        <v>-59</v>
      </c>
      <c r="AH523" t="s">
        <v>117</v>
      </c>
      <c r="AI523" t="s">
        <v>74</v>
      </c>
      <c r="AJ523" t="s">
        <v>75</v>
      </c>
      <c r="AK523" t="s">
        <v>76</v>
      </c>
      <c r="AL523" t="s">
        <v>118</v>
      </c>
      <c r="AM523" t="s">
        <v>78</v>
      </c>
      <c r="AN523" t="s">
        <v>979</v>
      </c>
      <c r="AO523" t="s">
        <v>119</v>
      </c>
      <c r="AP523" t="s">
        <v>46</v>
      </c>
      <c r="AQ523" t="s">
        <v>81</v>
      </c>
      <c r="AR523" t="str">
        <f t="shared" si="16"/>
        <v>60602298.STATAM</v>
      </c>
      <c r="AS523">
        <f t="shared" si="17"/>
        <v>8158303.190000006</v>
      </c>
      <c r="AT523" t="s">
        <v>82</v>
      </c>
    </row>
    <row r="524" spans="1:46" x14ac:dyDescent="0.35">
      <c r="A524" t="s">
        <v>52</v>
      </c>
      <c r="B524" t="s">
        <v>53</v>
      </c>
      <c r="C524" t="s">
        <v>54</v>
      </c>
      <c r="D524" t="s">
        <v>55</v>
      </c>
      <c r="E524" t="s">
        <v>56</v>
      </c>
      <c r="F524" t="s">
        <v>1462</v>
      </c>
      <c r="G524" t="s">
        <v>1526</v>
      </c>
      <c r="H524" t="s">
        <v>56</v>
      </c>
      <c r="I524" t="s">
        <v>1821</v>
      </c>
      <c r="J524" t="s">
        <v>61</v>
      </c>
      <c r="K524" t="s">
        <v>640</v>
      </c>
      <c r="L524" t="s">
        <v>1465</v>
      </c>
      <c r="M524" t="s">
        <v>56</v>
      </c>
      <c r="N524" t="s">
        <v>261</v>
      </c>
      <c r="O524" t="s">
        <v>1466</v>
      </c>
      <c r="P524" t="s">
        <v>1467</v>
      </c>
      <c r="Q524" t="s">
        <v>87</v>
      </c>
      <c r="R524" t="s">
        <v>248</v>
      </c>
      <c r="S524">
        <v>8000000</v>
      </c>
      <c r="T524">
        <v>-2236328.4900000002</v>
      </c>
      <c r="U524" t="s">
        <v>68</v>
      </c>
      <c r="V524" t="s">
        <v>1418</v>
      </c>
      <c r="W524" s="9">
        <v>60602298</v>
      </c>
      <c r="X524" t="s">
        <v>1822</v>
      </c>
      <c r="Y524" s="1">
        <v>46077</v>
      </c>
      <c r="Z524" s="1">
        <v>46137</v>
      </c>
      <c r="AA524" s="2">
        <v>1561</v>
      </c>
      <c r="AB524" s="2">
        <v>1322.88</v>
      </c>
      <c r="AC524" s="2">
        <v>238.12</v>
      </c>
      <c r="AD524" s="2">
        <v>1561</v>
      </c>
      <c r="AE524" t="s">
        <v>1823</v>
      </c>
      <c r="AF524" t="s">
        <v>72</v>
      </c>
      <c r="AG524">
        <v>-59</v>
      </c>
      <c r="AH524" t="s">
        <v>117</v>
      </c>
      <c r="AI524" t="s">
        <v>74</v>
      </c>
      <c r="AJ524" t="s">
        <v>75</v>
      </c>
      <c r="AK524" t="s">
        <v>76</v>
      </c>
      <c r="AL524" t="s">
        <v>118</v>
      </c>
      <c r="AM524" t="s">
        <v>78</v>
      </c>
      <c r="AN524" t="s">
        <v>979</v>
      </c>
      <c r="AO524" t="s">
        <v>119</v>
      </c>
      <c r="AP524" t="s">
        <v>46</v>
      </c>
      <c r="AQ524" t="s">
        <v>81</v>
      </c>
      <c r="AR524" t="str">
        <f t="shared" si="16"/>
        <v>60602298.STATAM</v>
      </c>
      <c r="AS524">
        <f t="shared" si="17"/>
        <v>8158303.190000006</v>
      </c>
      <c r="AT524" t="s">
        <v>82</v>
      </c>
    </row>
    <row r="525" spans="1:46" x14ac:dyDescent="0.35">
      <c r="A525" t="s">
        <v>52</v>
      </c>
      <c r="B525" t="s">
        <v>53</v>
      </c>
      <c r="C525" t="s">
        <v>54</v>
      </c>
      <c r="D525" t="s">
        <v>55</v>
      </c>
      <c r="E525" t="s">
        <v>56</v>
      </c>
      <c r="F525" t="s">
        <v>1462</v>
      </c>
      <c r="G525" t="s">
        <v>1534</v>
      </c>
      <c r="H525" t="s">
        <v>56</v>
      </c>
      <c r="I525" t="s">
        <v>1824</v>
      </c>
      <c r="J525" t="s">
        <v>61</v>
      </c>
      <c r="K525" t="s">
        <v>640</v>
      </c>
      <c r="L525" t="s">
        <v>1465</v>
      </c>
      <c r="M525" t="s">
        <v>56</v>
      </c>
      <c r="N525" t="s">
        <v>252</v>
      </c>
      <c r="O525" t="s">
        <v>1466</v>
      </c>
      <c r="P525" t="s">
        <v>1467</v>
      </c>
      <c r="Q525" t="s">
        <v>87</v>
      </c>
      <c r="R525" t="s">
        <v>248</v>
      </c>
      <c r="S525">
        <v>8000000</v>
      </c>
      <c r="T525">
        <v>-2236328.4900000002</v>
      </c>
      <c r="U525" t="s">
        <v>68</v>
      </c>
      <c r="V525" t="s">
        <v>1418</v>
      </c>
      <c r="W525" s="9">
        <v>60602298</v>
      </c>
      <c r="X525" t="s">
        <v>1825</v>
      </c>
      <c r="Y525" s="1">
        <v>46077</v>
      </c>
      <c r="Z525" s="1">
        <v>46137</v>
      </c>
      <c r="AA525" s="2">
        <v>93.88</v>
      </c>
      <c r="AB525" s="2">
        <v>79.56</v>
      </c>
      <c r="AC525" s="2">
        <v>14.32</v>
      </c>
      <c r="AD525" s="2">
        <v>93.88</v>
      </c>
      <c r="AE525" t="s">
        <v>1826</v>
      </c>
      <c r="AF525" t="s">
        <v>72</v>
      </c>
      <c r="AG525">
        <v>-59</v>
      </c>
      <c r="AH525" t="s">
        <v>117</v>
      </c>
      <c r="AI525" t="s">
        <v>74</v>
      </c>
      <c r="AJ525" t="s">
        <v>75</v>
      </c>
      <c r="AK525" t="s">
        <v>76</v>
      </c>
      <c r="AL525" t="s">
        <v>118</v>
      </c>
      <c r="AM525" t="s">
        <v>78</v>
      </c>
      <c r="AN525" t="s">
        <v>979</v>
      </c>
      <c r="AO525" t="s">
        <v>119</v>
      </c>
      <c r="AP525" t="s">
        <v>46</v>
      </c>
      <c r="AQ525" t="s">
        <v>81</v>
      </c>
      <c r="AR525" t="str">
        <f t="shared" si="16"/>
        <v>60602298.STATAM</v>
      </c>
      <c r="AS525">
        <f t="shared" si="17"/>
        <v>8158303.190000006</v>
      </c>
      <c r="AT525" t="s">
        <v>82</v>
      </c>
    </row>
    <row r="526" spans="1:46" x14ac:dyDescent="0.35">
      <c r="A526" t="s">
        <v>52</v>
      </c>
      <c r="B526" t="s">
        <v>53</v>
      </c>
      <c r="C526" t="s">
        <v>54</v>
      </c>
      <c r="D526" t="s">
        <v>55</v>
      </c>
      <c r="E526" t="s">
        <v>56</v>
      </c>
      <c r="F526" t="s">
        <v>1462</v>
      </c>
      <c r="G526" t="s">
        <v>1827</v>
      </c>
      <c r="H526" t="s">
        <v>56</v>
      </c>
      <c r="I526" t="s">
        <v>1828</v>
      </c>
      <c r="J526" t="s">
        <v>61</v>
      </c>
      <c r="K526" t="s">
        <v>640</v>
      </c>
      <c r="L526" t="s">
        <v>1465</v>
      </c>
      <c r="M526" t="s">
        <v>56</v>
      </c>
      <c r="N526" t="s">
        <v>1189</v>
      </c>
      <c r="O526" t="s">
        <v>1466</v>
      </c>
      <c r="P526" t="s">
        <v>1467</v>
      </c>
      <c r="Q526" t="s">
        <v>87</v>
      </c>
      <c r="R526" t="s">
        <v>248</v>
      </c>
      <c r="S526">
        <v>8000000</v>
      </c>
      <c r="T526">
        <v>-2236328.4900000002</v>
      </c>
      <c r="U526" t="s">
        <v>68</v>
      </c>
      <c r="V526" t="s">
        <v>1418</v>
      </c>
      <c r="W526" s="9">
        <v>60602298</v>
      </c>
      <c r="X526" t="s">
        <v>1829</v>
      </c>
      <c r="Y526" s="1">
        <v>46077</v>
      </c>
      <c r="Z526" s="1">
        <v>46137</v>
      </c>
      <c r="AA526" s="2">
        <v>79126.080000000002</v>
      </c>
      <c r="AB526" s="2">
        <v>67056</v>
      </c>
      <c r="AC526" s="2">
        <v>12070.08</v>
      </c>
      <c r="AD526" s="2">
        <v>79126.080000000002</v>
      </c>
      <c r="AE526" t="s">
        <v>1830</v>
      </c>
      <c r="AF526" t="s">
        <v>72</v>
      </c>
      <c r="AG526">
        <v>-59</v>
      </c>
      <c r="AH526" t="s">
        <v>117</v>
      </c>
      <c r="AI526" t="s">
        <v>74</v>
      </c>
      <c r="AJ526" t="s">
        <v>75</v>
      </c>
      <c r="AK526" t="s">
        <v>76</v>
      </c>
      <c r="AL526" t="s">
        <v>118</v>
      </c>
      <c r="AM526" t="s">
        <v>78</v>
      </c>
      <c r="AN526" t="s">
        <v>979</v>
      </c>
      <c r="AO526" t="s">
        <v>119</v>
      </c>
      <c r="AP526" t="s">
        <v>46</v>
      </c>
      <c r="AQ526" t="s">
        <v>81</v>
      </c>
      <c r="AR526" t="str">
        <f t="shared" si="16"/>
        <v>60602298.STATAM</v>
      </c>
      <c r="AS526">
        <f t="shared" si="17"/>
        <v>8158303.190000006</v>
      </c>
      <c r="AT526" t="s">
        <v>82</v>
      </c>
    </row>
    <row r="527" spans="1:46" x14ac:dyDescent="0.35">
      <c r="A527" t="s">
        <v>52</v>
      </c>
      <c r="B527" t="s">
        <v>53</v>
      </c>
      <c r="C527" t="s">
        <v>54</v>
      </c>
      <c r="D527" t="s">
        <v>55</v>
      </c>
      <c r="E527" t="s">
        <v>56</v>
      </c>
      <c r="F527" t="s">
        <v>1831</v>
      </c>
      <c r="G527" t="s">
        <v>56</v>
      </c>
      <c r="H527" t="s">
        <v>56</v>
      </c>
      <c r="I527" t="s">
        <v>1832</v>
      </c>
      <c r="J527" t="s">
        <v>61</v>
      </c>
      <c r="K527" t="s">
        <v>640</v>
      </c>
      <c r="L527" t="s">
        <v>56</v>
      </c>
      <c r="M527" t="s">
        <v>56</v>
      </c>
      <c r="N527" t="s">
        <v>56</v>
      </c>
      <c r="O527" t="s">
        <v>1833</v>
      </c>
      <c r="P527" t="s">
        <v>1834</v>
      </c>
      <c r="Q527" t="s">
        <v>87</v>
      </c>
      <c r="R527" t="s">
        <v>67</v>
      </c>
      <c r="S527">
        <v>17429471</v>
      </c>
      <c r="T527">
        <v>18929471</v>
      </c>
      <c r="U527" t="s">
        <v>68</v>
      </c>
      <c r="V527" t="s">
        <v>1418</v>
      </c>
      <c r="W527" s="9">
        <v>60602851</v>
      </c>
      <c r="X527" t="s">
        <v>1835</v>
      </c>
      <c r="Y527" s="1">
        <v>45987</v>
      </c>
      <c r="Z527" s="1">
        <v>45987</v>
      </c>
      <c r="AA527" s="2">
        <v>-1500000</v>
      </c>
      <c r="AB527" s="2">
        <v>-1500000</v>
      </c>
      <c r="AC527" s="2">
        <v>0</v>
      </c>
      <c r="AD527" s="2">
        <v>-1500000</v>
      </c>
      <c r="AE527" t="s">
        <v>1835</v>
      </c>
      <c r="AF527" t="s">
        <v>72</v>
      </c>
      <c r="AG527">
        <v>91</v>
      </c>
      <c r="AH527" t="s">
        <v>91</v>
      </c>
      <c r="AI527" t="s">
        <v>74</v>
      </c>
      <c r="AJ527" t="s">
        <v>75</v>
      </c>
      <c r="AK527" t="s">
        <v>102</v>
      </c>
      <c r="AL527" t="s">
        <v>77</v>
      </c>
      <c r="AM527" t="s">
        <v>103</v>
      </c>
      <c r="AN527" t="s">
        <v>738</v>
      </c>
      <c r="AO527" t="s">
        <v>80</v>
      </c>
      <c r="AP527" t="e">
        <v>#N/A</v>
      </c>
      <c r="AQ527" t="s">
        <v>105</v>
      </c>
      <c r="AR527" t="str">
        <f t="shared" si="16"/>
        <v>60602851.STATEQ</v>
      </c>
      <c r="AS527">
        <f t="shared" si="17"/>
        <v>-1500000</v>
      </c>
      <c r="AT527" t="s">
        <v>93</v>
      </c>
    </row>
    <row r="528" spans="1:46" x14ac:dyDescent="0.35">
      <c r="A528" t="s">
        <v>52</v>
      </c>
      <c r="B528" t="s">
        <v>53</v>
      </c>
      <c r="C528" t="s">
        <v>54</v>
      </c>
      <c r="D528" t="s">
        <v>55</v>
      </c>
      <c r="E528" t="s">
        <v>56</v>
      </c>
      <c r="F528" t="s">
        <v>1836</v>
      </c>
      <c r="G528" t="s">
        <v>56</v>
      </c>
      <c r="H528" t="s">
        <v>56</v>
      </c>
      <c r="I528" t="s">
        <v>1837</v>
      </c>
      <c r="J528" t="s">
        <v>61</v>
      </c>
      <c r="K528" t="s">
        <v>62</v>
      </c>
      <c r="L528" t="s">
        <v>56</v>
      </c>
      <c r="M528" t="s">
        <v>56</v>
      </c>
      <c r="N528" t="s">
        <v>56</v>
      </c>
      <c r="O528" t="s">
        <v>1838</v>
      </c>
      <c r="P528" t="s">
        <v>1839</v>
      </c>
      <c r="Q528" t="s">
        <v>87</v>
      </c>
      <c r="R528" t="s">
        <v>88</v>
      </c>
      <c r="T528">
        <v>299.68</v>
      </c>
      <c r="U528" t="s">
        <v>68</v>
      </c>
      <c r="V528" t="s">
        <v>1418</v>
      </c>
      <c r="W528" s="9">
        <v>60603608</v>
      </c>
      <c r="X528" t="s">
        <v>1840</v>
      </c>
      <c r="Y528" s="1">
        <v>45985</v>
      </c>
      <c r="Z528" s="1">
        <v>45985</v>
      </c>
      <c r="AA528" s="2">
        <v>-41418</v>
      </c>
      <c r="AB528" s="2">
        <v>-41418</v>
      </c>
      <c r="AC528" s="2">
        <v>0</v>
      </c>
      <c r="AD528" s="2">
        <v>-299.68</v>
      </c>
      <c r="AE528" t="s">
        <v>1840</v>
      </c>
      <c r="AF528" t="s">
        <v>72</v>
      </c>
      <c r="AG528">
        <v>93</v>
      </c>
      <c r="AH528" t="s">
        <v>91</v>
      </c>
      <c r="AI528" t="s">
        <v>74</v>
      </c>
      <c r="AJ528" t="s">
        <v>75</v>
      </c>
      <c r="AK528" t="s">
        <v>102</v>
      </c>
      <c r="AL528" t="s">
        <v>77</v>
      </c>
      <c r="AM528" t="s">
        <v>103</v>
      </c>
      <c r="AN528" t="s">
        <v>738</v>
      </c>
      <c r="AO528" t="s">
        <v>80</v>
      </c>
      <c r="AP528" t="e">
        <v>#N/A</v>
      </c>
      <c r="AQ528" t="s">
        <v>105</v>
      </c>
      <c r="AR528" t="str">
        <f t="shared" si="16"/>
        <v>60603608.STATEQ</v>
      </c>
      <c r="AS528">
        <f t="shared" si="17"/>
        <v>-299.68</v>
      </c>
      <c r="AT528" t="s">
        <v>93</v>
      </c>
    </row>
    <row r="529" spans="1:46" x14ac:dyDescent="0.35">
      <c r="A529" t="s">
        <v>52</v>
      </c>
      <c r="B529" t="s">
        <v>53</v>
      </c>
      <c r="C529" t="s">
        <v>54</v>
      </c>
      <c r="D529" t="s">
        <v>55</v>
      </c>
      <c r="E529" t="s">
        <v>56</v>
      </c>
      <c r="F529" t="s">
        <v>1841</v>
      </c>
      <c r="G529" t="s">
        <v>1842</v>
      </c>
      <c r="H529" t="s">
        <v>59</v>
      </c>
      <c r="I529" t="s">
        <v>1843</v>
      </c>
      <c r="J529" t="s">
        <v>61</v>
      </c>
      <c r="K529" t="s">
        <v>640</v>
      </c>
      <c r="L529" t="s">
        <v>56</v>
      </c>
      <c r="M529" t="s">
        <v>56</v>
      </c>
      <c r="N529" t="s">
        <v>63</v>
      </c>
      <c r="O529" t="s">
        <v>1844</v>
      </c>
      <c r="P529" t="s">
        <v>1845</v>
      </c>
      <c r="Q529" t="s">
        <v>1846</v>
      </c>
      <c r="R529" t="s">
        <v>379</v>
      </c>
      <c r="S529">
        <v>500000</v>
      </c>
      <c r="T529">
        <v>-364975.21</v>
      </c>
      <c r="U529" t="s">
        <v>68</v>
      </c>
      <c r="V529" t="s">
        <v>1418</v>
      </c>
      <c r="W529" s="9">
        <v>60604105</v>
      </c>
      <c r="X529" t="s">
        <v>1847</v>
      </c>
      <c r="Y529" s="1">
        <v>46015</v>
      </c>
      <c r="Z529" s="1">
        <v>46060</v>
      </c>
      <c r="AA529" s="2">
        <v>577283.14</v>
      </c>
      <c r="AB529" s="2">
        <v>489223</v>
      </c>
      <c r="AC529" s="2">
        <v>88060.14</v>
      </c>
      <c r="AD529" s="2">
        <v>130435.23</v>
      </c>
      <c r="AE529" t="s">
        <v>1848</v>
      </c>
      <c r="AF529" t="s">
        <v>72</v>
      </c>
      <c r="AG529">
        <v>18</v>
      </c>
      <c r="AH529" t="s">
        <v>73</v>
      </c>
      <c r="AI529" t="s">
        <v>74</v>
      </c>
      <c r="AJ529" t="s">
        <v>75</v>
      </c>
      <c r="AK529" t="s">
        <v>76</v>
      </c>
      <c r="AL529" t="s">
        <v>77</v>
      </c>
      <c r="AM529" t="s">
        <v>78</v>
      </c>
      <c r="AN529" t="s">
        <v>92</v>
      </c>
      <c r="AO529" t="s">
        <v>80</v>
      </c>
      <c r="AP529" t="s">
        <v>46</v>
      </c>
      <c r="AQ529" t="s">
        <v>81</v>
      </c>
      <c r="AR529" t="str">
        <f t="shared" si="16"/>
        <v>60604105.STATAM</v>
      </c>
      <c r="AS529">
        <f t="shared" si="17"/>
        <v>864975.21</v>
      </c>
      <c r="AT529" t="s">
        <v>82</v>
      </c>
    </row>
    <row r="530" spans="1:46" x14ac:dyDescent="0.35">
      <c r="A530" t="s">
        <v>52</v>
      </c>
      <c r="B530" t="s">
        <v>53</v>
      </c>
      <c r="C530" t="s">
        <v>54</v>
      </c>
      <c r="D530" t="s">
        <v>55</v>
      </c>
      <c r="E530" t="s">
        <v>56</v>
      </c>
      <c r="F530" t="s">
        <v>1841</v>
      </c>
      <c r="G530" t="s">
        <v>1842</v>
      </c>
      <c r="H530" t="s">
        <v>59</v>
      </c>
      <c r="I530" t="s">
        <v>1843</v>
      </c>
      <c r="J530" t="s">
        <v>61</v>
      </c>
      <c r="K530" t="s">
        <v>640</v>
      </c>
      <c r="L530" t="s">
        <v>56</v>
      </c>
      <c r="M530" t="s">
        <v>56</v>
      </c>
      <c r="N530" t="s">
        <v>63</v>
      </c>
      <c r="O530" t="s">
        <v>1844</v>
      </c>
      <c r="P530" t="s">
        <v>1845</v>
      </c>
      <c r="Q530" t="s">
        <v>1846</v>
      </c>
      <c r="R530" t="s">
        <v>379</v>
      </c>
      <c r="S530">
        <v>500000</v>
      </c>
      <c r="T530">
        <v>-364975.21</v>
      </c>
      <c r="U530" t="s">
        <v>68</v>
      </c>
      <c r="V530" t="s">
        <v>1418</v>
      </c>
      <c r="W530" s="9">
        <v>60604105</v>
      </c>
      <c r="X530" t="s">
        <v>1849</v>
      </c>
      <c r="Y530" s="1">
        <v>46051</v>
      </c>
      <c r="Z530" s="1">
        <v>46096</v>
      </c>
      <c r="AA530" s="2">
        <v>734539.98</v>
      </c>
      <c r="AB530" s="2">
        <v>622491.5</v>
      </c>
      <c r="AC530" s="2">
        <v>112048.48</v>
      </c>
      <c r="AD530" s="2">
        <v>734539.98</v>
      </c>
      <c r="AE530" t="s">
        <v>1850</v>
      </c>
      <c r="AF530" t="s">
        <v>72</v>
      </c>
      <c r="AG530">
        <v>-18</v>
      </c>
      <c r="AH530" t="s">
        <v>117</v>
      </c>
      <c r="AI530" t="s">
        <v>74</v>
      </c>
      <c r="AJ530" t="s">
        <v>75</v>
      </c>
      <c r="AK530" t="s">
        <v>76</v>
      </c>
      <c r="AL530" t="s">
        <v>118</v>
      </c>
      <c r="AM530" t="s">
        <v>78</v>
      </c>
      <c r="AN530" t="s">
        <v>92</v>
      </c>
      <c r="AO530" t="s">
        <v>119</v>
      </c>
      <c r="AP530" t="s">
        <v>46</v>
      </c>
      <c r="AQ530" t="s">
        <v>81</v>
      </c>
      <c r="AR530" t="str">
        <f t="shared" si="16"/>
        <v>60604105.STATAM</v>
      </c>
      <c r="AS530">
        <f t="shared" si="17"/>
        <v>864975.21</v>
      </c>
      <c r="AT530" t="s">
        <v>82</v>
      </c>
    </row>
    <row r="531" spans="1:46" x14ac:dyDescent="0.35">
      <c r="A531" t="s">
        <v>52</v>
      </c>
      <c r="B531" t="s">
        <v>53</v>
      </c>
      <c r="C531" t="s">
        <v>54</v>
      </c>
      <c r="D531" t="s">
        <v>55</v>
      </c>
      <c r="E531" t="s">
        <v>56</v>
      </c>
      <c r="F531" t="s">
        <v>1851</v>
      </c>
      <c r="G531" t="s">
        <v>1852</v>
      </c>
      <c r="H531" t="s">
        <v>56</v>
      </c>
      <c r="I531" t="s">
        <v>1853</v>
      </c>
      <c r="J531" t="s">
        <v>56</v>
      </c>
      <c r="K531" t="s">
        <v>640</v>
      </c>
      <c r="L531" t="s">
        <v>56</v>
      </c>
      <c r="M531" t="s">
        <v>56</v>
      </c>
      <c r="N531" t="s">
        <v>244</v>
      </c>
      <c r="O531" t="s">
        <v>64</v>
      </c>
      <c r="P531" t="s">
        <v>65</v>
      </c>
      <c r="Q531" t="s">
        <v>641</v>
      </c>
      <c r="R531" t="s">
        <v>248</v>
      </c>
      <c r="S531">
        <v>2000000</v>
      </c>
      <c r="T531">
        <v>-8586451.8699999992</v>
      </c>
      <c r="U531" t="s">
        <v>68</v>
      </c>
      <c r="V531" t="s">
        <v>1418</v>
      </c>
      <c r="W531" s="9">
        <v>60604267</v>
      </c>
      <c r="X531" t="s">
        <v>1854</v>
      </c>
      <c r="Y531" s="1">
        <v>46050</v>
      </c>
      <c r="Z531" s="1">
        <v>46110</v>
      </c>
      <c r="AA531" s="2">
        <v>722438.48</v>
      </c>
      <c r="AB531" s="2">
        <v>612236</v>
      </c>
      <c r="AC531" s="2">
        <v>110202.48</v>
      </c>
      <c r="AD531" s="2">
        <v>722438.48</v>
      </c>
      <c r="AE531" t="s">
        <v>1855</v>
      </c>
      <c r="AF531" t="s">
        <v>72</v>
      </c>
      <c r="AG531">
        <v>-32</v>
      </c>
      <c r="AH531" t="s">
        <v>117</v>
      </c>
      <c r="AI531" t="s">
        <v>74</v>
      </c>
      <c r="AJ531" t="s">
        <v>75</v>
      </c>
      <c r="AK531" t="s">
        <v>76</v>
      </c>
      <c r="AL531" t="s">
        <v>118</v>
      </c>
      <c r="AM531" t="s">
        <v>78</v>
      </c>
      <c r="AN531" t="s">
        <v>79</v>
      </c>
      <c r="AO531" t="s">
        <v>119</v>
      </c>
      <c r="AP531" t="s">
        <v>46</v>
      </c>
      <c r="AQ531" t="s">
        <v>81</v>
      </c>
      <c r="AR531" t="str">
        <f t="shared" si="16"/>
        <v>60604267.STATAM</v>
      </c>
      <c r="AS531">
        <f t="shared" si="17"/>
        <v>4323560.3899999997</v>
      </c>
      <c r="AT531" t="s">
        <v>82</v>
      </c>
    </row>
    <row r="532" spans="1:46" x14ac:dyDescent="0.35">
      <c r="A532" t="s">
        <v>52</v>
      </c>
      <c r="B532" t="s">
        <v>53</v>
      </c>
      <c r="C532" t="s">
        <v>54</v>
      </c>
      <c r="D532" t="s">
        <v>55</v>
      </c>
      <c r="E532" t="s">
        <v>56</v>
      </c>
      <c r="F532" t="s">
        <v>1851</v>
      </c>
      <c r="G532" t="s">
        <v>1856</v>
      </c>
      <c r="H532" t="s">
        <v>56</v>
      </c>
      <c r="I532" t="s">
        <v>1857</v>
      </c>
      <c r="J532" t="s">
        <v>56</v>
      </c>
      <c r="K532" t="s">
        <v>640</v>
      </c>
      <c r="L532" t="s">
        <v>1858</v>
      </c>
      <c r="M532" t="s">
        <v>56</v>
      </c>
      <c r="N532" t="s">
        <v>244</v>
      </c>
      <c r="O532" t="s">
        <v>64</v>
      </c>
      <c r="P532" t="s">
        <v>65</v>
      </c>
      <c r="Q532" t="s">
        <v>1486</v>
      </c>
      <c r="R532" t="s">
        <v>248</v>
      </c>
      <c r="S532">
        <v>2000000</v>
      </c>
      <c r="T532">
        <v>-8586451.8699999992</v>
      </c>
      <c r="U532" t="s">
        <v>68</v>
      </c>
      <c r="V532" t="s">
        <v>1418</v>
      </c>
      <c r="W532" s="9">
        <v>60604267</v>
      </c>
      <c r="X532" t="s">
        <v>1859</v>
      </c>
      <c r="Y532" s="1">
        <v>46060</v>
      </c>
      <c r="Z532" s="1">
        <v>46120</v>
      </c>
      <c r="AA532" s="2">
        <v>577558.07999999996</v>
      </c>
      <c r="AB532" s="2">
        <v>489456</v>
      </c>
      <c r="AC532" s="2">
        <v>88102.080000000002</v>
      </c>
      <c r="AD532" s="2">
        <v>577558.07999999996</v>
      </c>
      <c r="AE532" t="s">
        <v>1860</v>
      </c>
      <c r="AF532" t="s">
        <v>72</v>
      </c>
      <c r="AG532">
        <v>-42</v>
      </c>
      <c r="AH532" t="s">
        <v>117</v>
      </c>
      <c r="AI532" t="s">
        <v>74</v>
      </c>
      <c r="AJ532" t="s">
        <v>75</v>
      </c>
      <c r="AK532" t="s">
        <v>76</v>
      </c>
      <c r="AL532" t="s">
        <v>118</v>
      </c>
      <c r="AM532" t="s">
        <v>78</v>
      </c>
      <c r="AN532" t="s">
        <v>79</v>
      </c>
      <c r="AO532" t="s">
        <v>119</v>
      </c>
      <c r="AP532" t="s">
        <v>46</v>
      </c>
      <c r="AQ532" t="s">
        <v>81</v>
      </c>
      <c r="AR532" t="str">
        <f t="shared" si="16"/>
        <v>60604267.STATAM</v>
      </c>
      <c r="AS532">
        <f t="shared" si="17"/>
        <v>4323560.3899999997</v>
      </c>
      <c r="AT532" t="s">
        <v>82</v>
      </c>
    </row>
    <row r="533" spans="1:46" x14ac:dyDescent="0.35">
      <c r="A533" t="s">
        <v>52</v>
      </c>
      <c r="B533" t="s">
        <v>53</v>
      </c>
      <c r="C533" t="s">
        <v>54</v>
      </c>
      <c r="D533" t="s">
        <v>55</v>
      </c>
      <c r="E533" t="s">
        <v>56</v>
      </c>
      <c r="F533" t="s">
        <v>1851</v>
      </c>
      <c r="G533" t="s">
        <v>1856</v>
      </c>
      <c r="H533" t="s">
        <v>56</v>
      </c>
      <c r="I533" t="s">
        <v>1857</v>
      </c>
      <c r="J533" t="s">
        <v>56</v>
      </c>
      <c r="K533" t="s">
        <v>640</v>
      </c>
      <c r="L533" t="s">
        <v>1858</v>
      </c>
      <c r="M533" t="s">
        <v>56</v>
      </c>
      <c r="N533" t="s">
        <v>263</v>
      </c>
      <c r="O533" t="s">
        <v>64</v>
      </c>
      <c r="P533" t="s">
        <v>65</v>
      </c>
      <c r="Q533" t="s">
        <v>1486</v>
      </c>
      <c r="R533" t="s">
        <v>248</v>
      </c>
      <c r="S533">
        <v>2000000</v>
      </c>
      <c r="T533">
        <v>-8586451.8699999992</v>
      </c>
      <c r="U533" t="s">
        <v>68</v>
      </c>
      <c r="V533" t="s">
        <v>1418</v>
      </c>
      <c r="W533" s="9">
        <v>60604267</v>
      </c>
      <c r="X533" t="s">
        <v>1859</v>
      </c>
      <c r="Y533" s="1">
        <v>46060</v>
      </c>
      <c r="Z533" s="1">
        <v>46120</v>
      </c>
      <c r="AA533" s="2">
        <v>259447.78</v>
      </c>
      <c r="AB533" s="2">
        <v>219871</v>
      </c>
      <c r="AC533" s="2">
        <v>39576.78</v>
      </c>
      <c r="AD533" s="2">
        <v>259447.78</v>
      </c>
      <c r="AE533" t="s">
        <v>1861</v>
      </c>
      <c r="AF533" t="s">
        <v>72</v>
      </c>
      <c r="AG533">
        <v>-42</v>
      </c>
      <c r="AH533" t="s">
        <v>117</v>
      </c>
      <c r="AI533" t="s">
        <v>74</v>
      </c>
      <c r="AJ533" t="s">
        <v>75</v>
      </c>
      <c r="AK533" t="s">
        <v>76</v>
      </c>
      <c r="AL533" t="s">
        <v>118</v>
      </c>
      <c r="AM533" t="s">
        <v>78</v>
      </c>
      <c r="AN533" t="s">
        <v>79</v>
      </c>
      <c r="AO533" t="s">
        <v>119</v>
      </c>
      <c r="AP533" t="s">
        <v>46</v>
      </c>
      <c r="AQ533" t="s">
        <v>81</v>
      </c>
      <c r="AR533" t="str">
        <f t="shared" si="16"/>
        <v>60604267.STATAM</v>
      </c>
      <c r="AS533">
        <f t="shared" si="17"/>
        <v>4323560.3899999997</v>
      </c>
      <c r="AT533" t="s">
        <v>82</v>
      </c>
    </row>
    <row r="534" spans="1:46" x14ac:dyDescent="0.35">
      <c r="A534" t="s">
        <v>52</v>
      </c>
      <c r="B534" t="s">
        <v>53</v>
      </c>
      <c r="C534" t="s">
        <v>54</v>
      </c>
      <c r="D534" t="s">
        <v>55</v>
      </c>
      <c r="E534" t="s">
        <v>56</v>
      </c>
      <c r="F534" t="s">
        <v>1851</v>
      </c>
      <c r="G534" t="s">
        <v>1862</v>
      </c>
      <c r="H534" t="s">
        <v>56</v>
      </c>
      <c r="I534" t="s">
        <v>1863</v>
      </c>
      <c r="J534" t="s">
        <v>56</v>
      </c>
      <c r="K534" t="s">
        <v>640</v>
      </c>
      <c r="L534" t="s">
        <v>1864</v>
      </c>
      <c r="M534" t="s">
        <v>56</v>
      </c>
      <c r="N534" t="s">
        <v>252</v>
      </c>
      <c r="O534" t="s">
        <v>64</v>
      </c>
      <c r="P534" t="s">
        <v>65</v>
      </c>
      <c r="Q534" t="s">
        <v>114</v>
      </c>
      <c r="R534" t="s">
        <v>248</v>
      </c>
      <c r="S534">
        <v>2000000</v>
      </c>
      <c r="T534">
        <v>-8586451.8699999992</v>
      </c>
      <c r="U534" t="s">
        <v>68</v>
      </c>
      <c r="V534" t="s">
        <v>1418</v>
      </c>
      <c r="W534" s="9">
        <v>60604267</v>
      </c>
      <c r="X534" t="s">
        <v>1865</v>
      </c>
      <c r="Y534" s="1">
        <v>46060</v>
      </c>
      <c r="Z534" s="1">
        <v>46120</v>
      </c>
      <c r="AA534" s="2">
        <v>2106.8000000000002</v>
      </c>
      <c r="AB534" s="2">
        <v>1785.42</v>
      </c>
      <c r="AC534" s="2">
        <v>321.38</v>
      </c>
      <c r="AD534" s="2">
        <v>2106.8000000000002</v>
      </c>
      <c r="AE534" t="s">
        <v>1866</v>
      </c>
      <c r="AF534" t="s">
        <v>72</v>
      </c>
      <c r="AG534">
        <v>-42</v>
      </c>
      <c r="AH534" t="s">
        <v>117</v>
      </c>
      <c r="AI534" t="s">
        <v>74</v>
      </c>
      <c r="AJ534" t="s">
        <v>75</v>
      </c>
      <c r="AK534" t="s">
        <v>76</v>
      </c>
      <c r="AL534" t="s">
        <v>118</v>
      </c>
      <c r="AM534" t="s">
        <v>78</v>
      </c>
      <c r="AN534" t="s">
        <v>79</v>
      </c>
      <c r="AO534" t="s">
        <v>119</v>
      </c>
      <c r="AP534" t="s">
        <v>46</v>
      </c>
      <c r="AQ534" t="s">
        <v>81</v>
      </c>
      <c r="AR534" t="str">
        <f t="shared" si="16"/>
        <v>60604267.STATAM</v>
      </c>
      <c r="AS534">
        <f t="shared" si="17"/>
        <v>4323560.3899999997</v>
      </c>
      <c r="AT534" t="s">
        <v>82</v>
      </c>
    </row>
    <row r="535" spans="1:46" x14ac:dyDescent="0.35">
      <c r="A535" t="s">
        <v>52</v>
      </c>
      <c r="B535" t="s">
        <v>53</v>
      </c>
      <c r="C535" t="s">
        <v>54</v>
      </c>
      <c r="D535" t="s">
        <v>55</v>
      </c>
      <c r="E535" t="s">
        <v>56</v>
      </c>
      <c r="F535" t="s">
        <v>1851</v>
      </c>
      <c r="G535" t="s">
        <v>1862</v>
      </c>
      <c r="H535" t="s">
        <v>56</v>
      </c>
      <c r="I535" t="s">
        <v>1863</v>
      </c>
      <c r="J535" t="s">
        <v>56</v>
      </c>
      <c r="K535" t="s">
        <v>640</v>
      </c>
      <c r="L535" t="s">
        <v>1864</v>
      </c>
      <c r="M535" t="s">
        <v>56</v>
      </c>
      <c r="N535" t="s">
        <v>244</v>
      </c>
      <c r="O535" t="s">
        <v>64</v>
      </c>
      <c r="P535" t="s">
        <v>65</v>
      </c>
      <c r="Q535" t="s">
        <v>114</v>
      </c>
      <c r="R535" t="s">
        <v>248</v>
      </c>
      <c r="S535">
        <v>2000000</v>
      </c>
      <c r="T535">
        <v>-8586451.8699999992</v>
      </c>
      <c r="U535" t="s">
        <v>68</v>
      </c>
      <c r="V535" t="s">
        <v>1418</v>
      </c>
      <c r="W535" s="9">
        <v>60604267</v>
      </c>
      <c r="X535" t="s">
        <v>1865</v>
      </c>
      <c r="Y535" s="1">
        <v>46060</v>
      </c>
      <c r="Z535" s="1">
        <v>46120</v>
      </c>
      <c r="AA535" s="2">
        <v>340190.46</v>
      </c>
      <c r="AB535" s="2">
        <v>288297</v>
      </c>
      <c r="AC535" s="2">
        <v>51893.46</v>
      </c>
      <c r="AD535" s="2">
        <v>340190.46</v>
      </c>
      <c r="AE535" t="s">
        <v>1867</v>
      </c>
      <c r="AF535" t="s">
        <v>72</v>
      </c>
      <c r="AG535">
        <v>-42</v>
      </c>
      <c r="AH535" t="s">
        <v>117</v>
      </c>
      <c r="AI535" t="s">
        <v>74</v>
      </c>
      <c r="AJ535" t="s">
        <v>75</v>
      </c>
      <c r="AK535" t="s">
        <v>76</v>
      </c>
      <c r="AL535" t="s">
        <v>118</v>
      </c>
      <c r="AM535" t="s">
        <v>78</v>
      </c>
      <c r="AN535" t="s">
        <v>79</v>
      </c>
      <c r="AO535" t="s">
        <v>119</v>
      </c>
      <c r="AP535" t="s">
        <v>46</v>
      </c>
      <c r="AQ535" t="s">
        <v>81</v>
      </c>
      <c r="AR535" t="str">
        <f t="shared" si="16"/>
        <v>60604267.STATAM</v>
      </c>
      <c r="AS535">
        <f t="shared" si="17"/>
        <v>4323560.3899999997</v>
      </c>
      <c r="AT535" t="s">
        <v>82</v>
      </c>
    </row>
    <row r="536" spans="1:46" x14ac:dyDescent="0.35">
      <c r="A536" t="s">
        <v>52</v>
      </c>
      <c r="B536" t="s">
        <v>53</v>
      </c>
      <c r="C536" t="s">
        <v>54</v>
      </c>
      <c r="D536" t="s">
        <v>55</v>
      </c>
      <c r="E536" t="s">
        <v>56</v>
      </c>
      <c r="F536" t="s">
        <v>1851</v>
      </c>
      <c r="G536" t="s">
        <v>1868</v>
      </c>
      <c r="H536" t="s">
        <v>56</v>
      </c>
      <c r="I536" t="s">
        <v>1869</v>
      </c>
      <c r="J536" t="s">
        <v>56</v>
      </c>
      <c r="K536" t="s">
        <v>640</v>
      </c>
      <c r="L536" t="s">
        <v>1465</v>
      </c>
      <c r="M536" t="s">
        <v>56</v>
      </c>
      <c r="N536" t="s">
        <v>263</v>
      </c>
      <c r="O536" t="s">
        <v>64</v>
      </c>
      <c r="P536" t="s">
        <v>65</v>
      </c>
      <c r="Q536" t="s">
        <v>444</v>
      </c>
      <c r="R536" t="s">
        <v>248</v>
      </c>
      <c r="S536">
        <v>2000000</v>
      </c>
      <c r="T536">
        <v>-8586451.8699999992</v>
      </c>
      <c r="U536" t="s">
        <v>68</v>
      </c>
      <c r="V536" t="s">
        <v>1418</v>
      </c>
      <c r="W536" s="9">
        <v>60604267</v>
      </c>
      <c r="X536" t="s">
        <v>1870</v>
      </c>
      <c r="Y536" s="1">
        <v>46060</v>
      </c>
      <c r="Z536" s="1">
        <v>46120</v>
      </c>
      <c r="AA536" s="2">
        <v>82405.240000000005</v>
      </c>
      <c r="AB536" s="2">
        <v>69834.960000000006</v>
      </c>
      <c r="AC536" s="2">
        <v>12570.28</v>
      </c>
      <c r="AD536" s="2">
        <v>82405.240000000005</v>
      </c>
      <c r="AE536" t="s">
        <v>1871</v>
      </c>
      <c r="AF536" t="s">
        <v>72</v>
      </c>
      <c r="AG536">
        <v>-42</v>
      </c>
      <c r="AH536" t="s">
        <v>117</v>
      </c>
      <c r="AI536" t="s">
        <v>74</v>
      </c>
      <c r="AJ536" t="s">
        <v>75</v>
      </c>
      <c r="AK536" t="s">
        <v>76</v>
      </c>
      <c r="AL536" t="s">
        <v>118</v>
      </c>
      <c r="AM536" t="s">
        <v>78</v>
      </c>
      <c r="AN536" t="s">
        <v>79</v>
      </c>
      <c r="AO536" t="s">
        <v>119</v>
      </c>
      <c r="AP536" t="s">
        <v>46</v>
      </c>
      <c r="AQ536" t="s">
        <v>81</v>
      </c>
      <c r="AR536" t="str">
        <f t="shared" si="16"/>
        <v>60604267.STATAM</v>
      </c>
      <c r="AS536">
        <f t="shared" si="17"/>
        <v>4323560.3899999997</v>
      </c>
      <c r="AT536" t="s">
        <v>82</v>
      </c>
    </row>
    <row r="537" spans="1:46" x14ac:dyDescent="0.35">
      <c r="A537" t="s">
        <v>52</v>
      </c>
      <c r="B537" t="s">
        <v>53</v>
      </c>
      <c r="C537" t="s">
        <v>54</v>
      </c>
      <c r="D537" t="s">
        <v>55</v>
      </c>
      <c r="E537" t="s">
        <v>56</v>
      </c>
      <c r="F537" t="s">
        <v>1851</v>
      </c>
      <c r="G537" t="s">
        <v>1868</v>
      </c>
      <c r="H537" t="s">
        <v>56</v>
      </c>
      <c r="I537" t="s">
        <v>1869</v>
      </c>
      <c r="J537" t="s">
        <v>56</v>
      </c>
      <c r="K537" t="s">
        <v>640</v>
      </c>
      <c r="L537" t="s">
        <v>1465</v>
      </c>
      <c r="M537" t="s">
        <v>56</v>
      </c>
      <c r="N537" t="s">
        <v>252</v>
      </c>
      <c r="O537" t="s">
        <v>64</v>
      </c>
      <c r="P537" t="s">
        <v>65</v>
      </c>
      <c r="Q537" t="s">
        <v>444</v>
      </c>
      <c r="R537" t="s">
        <v>248</v>
      </c>
      <c r="S537">
        <v>2000000</v>
      </c>
      <c r="T537">
        <v>-8586451.8699999992</v>
      </c>
      <c r="U537" t="s">
        <v>68</v>
      </c>
      <c r="V537" t="s">
        <v>1418</v>
      </c>
      <c r="W537" s="9">
        <v>60604267</v>
      </c>
      <c r="X537" t="s">
        <v>1870</v>
      </c>
      <c r="Y537" s="1">
        <v>46060</v>
      </c>
      <c r="Z537" s="1">
        <v>46120</v>
      </c>
      <c r="AA537" s="2">
        <v>8416.14</v>
      </c>
      <c r="AB537" s="2">
        <v>7132.32</v>
      </c>
      <c r="AC537" s="2">
        <v>1283.82</v>
      </c>
      <c r="AD537" s="2">
        <v>8416.14</v>
      </c>
      <c r="AE537" t="s">
        <v>1872</v>
      </c>
      <c r="AF537" t="s">
        <v>72</v>
      </c>
      <c r="AG537">
        <v>-42</v>
      </c>
      <c r="AH537" t="s">
        <v>117</v>
      </c>
      <c r="AI537" t="s">
        <v>74</v>
      </c>
      <c r="AJ537" t="s">
        <v>75</v>
      </c>
      <c r="AK537" t="s">
        <v>76</v>
      </c>
      <c r="AL537" t="s">
        <v>118</v>
      </c>
      <c r="AM537" t="s">
        <v>78</v>
      </c>
      <c r="AN537" t="s">
        <v>79</v>
      </c>
      <c r="AO537" t="s">
        <v>119</v>
      </c>
      <c r="AP537" t="s">
        <v>46</v>
      </c>
      <c r="AQ537" t="s">
        <v>81</v>
      </c>
      <c r="AR537" t="str">
        <f t="shared" si="16"/>
        <v>60604267.STATAM</v>
      </c>
      <c r="AS537">
        <f t="shared" si="17"/>
        <v>4323560.3899999997</v>
      </c>
      <c r="AT537" t="s">
        <v>82</v>
      </c>
    </row>
    <row r="538" spans="1:46" x14ac:dyDescent="0.35">
      <c r="A538" t="s">
        <v>52</v>
      </c>
      <c r="B538" t="s">
        <v>53</v>
      </c>
      <c r="C538" t="s">
        <v>54</v>
      </c>
      <c r="D538" t="s">
        <v>55</v>
      </c>
      <c r="E538" t="s">
        <v>56</v>
      </c>
      <c r="F538" t="s">
        <v>1851</v>
      </c>
      <c r="G538" t="s">
        <v>1868</v>
      </c>
      <c r="H538" t="s">
        <v>56</v>
      </c>
      <c r="I538" t="s">
        <v>1869</v>
      </c>
      <c r="J538" t="s">
        <v>56</v>
      </c>
      <c r="K538" t="s">
        <v>640</v>
      </c>
      <c r="L538" t="s">
        <v>1465</v>
      </c>
      <c r="M538" t="s">
        <v>56</v>
      </c>
      <c r="N538" t="s">
        <v>1384</v>
      </c>
      <c r="O538" t="s">
        <v>64</v>
      </c>
      <c r="P538" t="s">
        <v>65</v>
      </c>
      <c r="Q538" t="s">
        <v>444</v>
      </c>
      <c r="R538" t="s">
        <v>248</v>
      </c>
      <c r="S538">
        <v>2000000</v>
      </c>
      <c r="T538">
        <v>-8586451.8699999992</v>
      </c>
      <c r="U538" t="s">
        <v>68</v>
      </c>
      <c r="V538" t="s">
        <v>1418</v>
      </c>
      <c r="W538" s="9">
        <v>60604267</v>
      </c>
      <c r="X538" t="s">
        <v>1870</v>
      </c>
      <c r="Y538" s="1">
        <v>46060</v>
      </c>
      <c r="Z538" s="1">
        <v>46120</v>
      </c>
      <c r="AA538" s="2">
        <v>14866.3</v>
      </c>
      <c r="AB538" s="2">
        <v>12598.56</v>
      </c>
      <c r="AC538" s="2">
        <v>2267.7399999999998</v>
      </c>
      <c r="AD538" s="2">
        <v>14866.3</v>
      </c>
      <c r="AE538" t="s">
        <v>1873</v>
      </c>
      <c r="AF538" t="s">
        <v>72</v>
      </c>
      <c r="AG538">
        <v>-42</v>
      </c>
      <c r="AH538" t="s">
        <v>117</v>
      </c>
      <c r="AI538" t="s">
        <v>74</v>
      </c>
      <c r="AJ538" t="s">
        <v>75</v>
      </c>
      <c r="AK538" t="s">
        <v>76</v>
      </c>
      <c r="AL538" t="s">
        <v>118</v>
      </c>
      <c r="AM538" t="s">
        <v>78</v>
      </c>
      <c r="AN538" t="s">
        <v>79</v>
      </c>
      <c r="AO538" t="s">
        <v>119</v>
      </c>
      <c r="AP538" t="s">
        <v>46</v>
      </c>
      <c r="AQ538" t="s">
        <v>81</v>
      </c>
      <c r="AR538" t="str">
        <f t="shared" si="16"/>
        <v>60604267.STATAM</v>
      </c>
      <c r="AS538">
        <f t="shared" si="17"/>
        <v>4323560.3899999997</v>
      </c>
      <c r="AT538" t="s">
        <v>82</v>
      </c>
    </row>
    <row r="539" spans="1:46" x14ac:dyDescent="0.35">
      <c r="A539" t="s">
        <v>52</v>
      </c>
      <c r="B539" t="s">
        <v>53</v>
      </c>
      <c r="C539" t="s">
        <v>54</v>
      </c>
      <c r="D539" t="s">
        <v>55</v>
      </c>
      <c r="E539" t="s">
        <v>56</v>
      </c>
      <c r="F539" t="s">
        <v>1851</v>
      </c>
      <c r="G539" t="s">
        <v>1874</v>
      </c>
      <c r="H539" t="s">
        <v>56</v>
      </c>
      <c r="I539" t="s">
        <v>1875</v>
      </c>
      <c r="J539" t="s">
        <v>56</v>
      </c>
      <c r="K539" t="s">
        <v>640</v>
      </c>
      <c r="L539" t="s">
        <v>1465</v>
      </c>
      <c r="M539" t="s">
        <v>56</v>
      </c>
      <c r="N539" t="s">
        <v>1384</v>
      </c>
      <c r="O539" t="s">
        <v>64</v>
      </c>
      <c r="P539" t="s">
        <v>65</v>
      </c>
      <c r="Q539" t="s">
        <v>444</v>
      </c>
      <c r="R539" t="s">
        <v>248</v>
      </c>
      <c r="S539">
        <v>2000000</v>
      </c>
      <c r="T539">
        <v>-8586451.8699999992</v>
      </c>
      <c r="U539" t="s">
        <v>68</v>
      </c>
      <c r="V539" t="s">
        <v>1418</v>
      </c>
      <c r="W539" s="9">
        <v>60604267</v>
      </c>
      <c r="X539" t="s">
        <v>1876</v>
      </c>
      <c r="Y539" s="1">
        <v>46060</v>
      </c>
      <c r="Z539" s="1">
        <v>46120</v>
      </c>
      <c r="AA539" s="2">
        <v>225052.53</v>
      </c>
      <c r="AB539" s="2">
        <v>190722.48</v>
      </c>
      <c r="AC539" s="2">
        <v>34330.050000000003</v>
      </c>
      <c r="AD539" s="2">
        <v>225052.53</v>
      </c>
      <c r="AE539" t="s">
        <v>1877</v>
      </c>
      <c r="AF539" t="s">
        <v>72</v>
      </c>
      <c r="AG539">
        <v>-42</v>
      </c>
      <c r="AH539" t="s">
        <v>117</v>
      </c>
      <c r="AI539" t="s">
        <v>74</v>
      </c>
      <c r="AJ539" t="s">
        <v>75</v>
      </c>
      <c r="AK539" t="s">
        <v>76</v>
      </c>
      <c r="AL539" t="s">
        <v>118</v>
      </c>
      <c r="AM539" t="s">
        <v>78</v>
      </c>
      <c r="AN539" t="s">
        <v>79</v>
      </c>
      <c r="AO539" t="s">
        <v>119</v>
      </c>
      <c r="AP539" t="s">
        <v>46</v>
      </c>
      <c r="AQ539" t="s">
        <v>81</v>
      </c>
      <c r="AR539" t="str">
        <f t="shared" si="16"/>
        <v>60604267.STATAM</v>
      </c>
      <c r="AS539">
        <f t="shared" si="17"/>
        <v>4323560.3899999997</v>
      </c>
      <c r="AT539" t="s">
        <v>82</v>
      </c>
    </row>
    <row r="540" spans="1:46" x14ac:dyDescent="0.35">
      <c r="A540" t="s">
        <v>52</v>
      </c>
      <c r="B540" t="s">
        <v>53</v>
      </c>
      <c r="C540" t="s">
        <v>54</v>
      </c>
      <c r="D540" t="s">
        <v>55</v>
      </c>
      <c r="E540" t="s">
        <v>56</v>
      </c>
      <c r="F540" t="s">
        <v>1851</v>
      </c>
      <c r="G540" t="s">
        <v>1878</v>
      </c>
      <c r="H540" t="s">
        <v>56</v>
      </c>
      <c r="I540" t="s">
        <v>1879</v>
      </c>
      <c r="J540" t="s">
        <v>56</v>
      </c>
      <c r="K540" t="s">
        <v>640</v>
      </c>
      <c r="L540" t="s">
        <v>1880</v>
      </c>
      <c r="M540" t="s">
        <v>56</v>
      </c>
      <c r="N540" t="s">
        <v>252</v>
      </c>
      <c r="O540" t="s">
        <v>64</v>
      </c>
      <c r="P540" t="s">
        <v>65</v>
      </c>
      <c r="Q540" t="s">
        <v>444</v>
      </c>
      <c r="R540" t="s">
        <v>248</v>
      </c>
      <c r="S540">
        <v>2000000</v>
      </c>
      <c r="T540">
        <v>-8586451.8699999992</v>
      </c>
      <c r="U540" t="s">
        <v>68</v>
      </c>
      <c r="V540" t="s">
        <v>1418</v>
      </c>
      <c r="W540" s="9">
        <v>60604267</v>
      </c>
      <c r="X540" t="s">
        <v>1881</v>
      </c>
      <c r="Y540" s="1">
        <v>46063</v>
      </c>
      <c r="Z540" s="1">
        <v>46123</v>
      </c>
      <c r="AA540" s="2">
        <v>31724.35</v>
      </c>
      <c r="AB540" s="2">
        <v>26885.040000000001</v>
      </c>
      <c r="AC540" s="2">
        <v>4839.3100000000004</v>
      </c>
      <c r="AD540" s="2">
        <v>31724.35</v>
      </c>
      <c r="AE540" t="s">
        <v>1882</v>
      </c>
      <c r="AF540" t="s">
        <v>72</v>
      </c>
      <c r="AG540">
        <v>-45</v>
      </c>
      <c r="AH540" t="s">
        <v>117</v>
      </c>
      <c r="AI540" t="s">
        <v>74</v>
      </c>
      <c r="AJ540" t="s">
        <v>75</v>
      </c>
      <c r="AK540" t="s">
        <v>76</v>
      </c>
      <c r="AL540" t="s">
        <v>118</v>
      </c>
      <c r="AM540" t="s">
        <v>78</v>
      </c>
      <c r="AN540" t="s">
        <v>79</v>
      </c>
      <c r="AO540" t="s">
        <v>119</v>
      </c>
      <c r="AP540" t="s">
        <v>46</v>
      </c>
      <c r="AQ540" t="s">
        <v>81</v>
      </c>
      <c r="AR540" t="str">
        <f t="shared" si="16"/>
        <v>60604267.STATAM</v>
      </c>
      <c r="AS540">
        <f t="shared" si="17"/>
        <v>4323560.3899999997</v>
      </c>
      <c r="AT540" t="s">
        <v>82</v>
      </c>
    </row>
    <row r="541" spans="1:46" x14ac:dyDescent="0.35">
      <c r="A541" t="s">
        <v>52</v>
      </c>
      <c r="B541" t="s">
        <v>53</v>
      </c>
      <c r="C541" t="s">
        <v>54</v>
      </c>
      <c r="D541" t="s">
        <v>55</v>
      </c>
      <c r="E541" t="s">
        <v>56</v>
      </c>
      <c r="F541" t="s">
        <v>1851</v>
      </c>
      <c r="G541" t="s">
        <v>1883</v>
      </c>
      <c r="H541" t="s">
        <v>56</v>
      </c>
      <c r="I541" t="s">
        <v>1884</v>
      </c>
      <c r="J541" t="s">
        <v>56</v>
      </c>
      <c r="K541" t="s">
        <v>640</v>
      </c>
      <c r="L541" t="s">
        <v>1663</v>
      </c>
      <c r="M541" t="s">
        <v>56</v>
      </c>
      <c r="N541" t="s">
        <v>252</v>
      </c>
      <c r="O541" t="s">
        <v>64</v>
      </c>
      <c r="P541" t="s">
        <v>65</v>
      </c>
      <c r="Q541" t="s">
        <v>444</v>
      </c>
      <c r="R541" t="s">
        <v>248</v>
      </c>
      <c r="S541">
        <v>2000000</v>
      </c>
      <c r="T541">
        <v>-8586451.8699999992</v>
      </c>
      <c r="U541" t="s">
        <v>68</v>
      </c>
      <c r="V541" t="s">
        <v>1418</v>
      </c>
      <c r="W541" s="9">
        <v>60604267</v>
      </c>
      <c r="X541" t="s">
        <v>1885</v>
      </c>
      <c r="Y541" s="1">
        <v>46063</v>
      </c>
      <c r="Z541" s="1">
        <v>46123</v>
      </c>
      <c r="AA541" s="2">
        <v>6850.54</v>
      </c>
      <c r="AB541" s="2">
        <v>5805.54</v>
      </c>
      <c r="AC541" s="2">
        <v>1045</v>
      </c>
      <c r="AD541" s="2">
        <v>6850.54</v>
      </c>
      <c r="AE541" t="s">
        <v>1886</v>
      </c>
      <c r="AF541" t="s">
        <v>72</v>
      </c>
      <c r="AG541">
        <v>-45</v>
      </c>
      <c r="AH541" t="s">
        <v>117</v>
      </c>
      <c r="AI541" t="s">
        <v>74</v>
      </c>
      <c r="AJ541" t="s">
        <v>75</v>
      </c>
      <c r="AK541" t="s">
        <v>76</v>
      </c>
      <c r="AL541" t="s">
        <v>118</v>
      </c>
      <c r="AM541" t="s">
        <v>78</v>
      </c>
      <c r="AN541" t="s">
        <v>79</v>
      </c>
      <c r="AO541" t="s">
        <v>119</v>
      </c>
      <c r="AP541" t="s">
        <v>46</v>
      </c>
      <c r="AQ541" t="s">
        <v>81</v>
      </c>
      <c r="AR541" t="str">
        <f t="shared" si="16"/>
        <v>60604267.STATAM</v>
      </c>
      <c r="AS541">
        <f t="shared" si="17"/>
        <v>4323560.3899999997</v>
      </c>
      <c r="AT541" t="s">
        <v>82</v>
      </c>
    </row>
    <row r="542" spans="1:46" x14ac:dyDescent="0.35">
      <c r="A542" t="s">
        <v>52</v>
      </c>
      <c r="B542" t="s">
        <v>53</v>
      </c>
      <c r="C542" t="s">
        <v>54</v>
      </c>
      <c r="D542" t="s">
        <v>55</v>
      </c>
      <c r="E542" t="s">
        <v>56</v>
      </c>
      <c r="F542" t="s">
        <v>1851</v>
      </c>
      <c r="G542" t="s">
        <v>1868</v>
      </c>
      <c r="H542" t="s">
        <v>56</v>
      </c>
      <c r="I542" t="s">
        <v>1887</v>
      </c>
      <c r="J542" t="s">
        <v>56</v>
      </c>
      <c r="K542" t="s">
        <v>640</v>
      </c>
      <c r="L542" t="s">
        <v>1465</v>
      </c>
      <c r="M542" t="s">
        <v>56</v>
      </c>
      <c r="N542" t="s">
        <v>252</v>
      </c>
      <c r="O542" t="s">
        <v>64</v>
      </c>
      <c r="P542" t="s">
        <v>65</v>
      </c>
      <c r="Q542" t="s">
        <v>444</v>
      </c>
      <c r="R542" t="s">
        <v>248</v>
      </c>
      <c r="S542">
        <v>2000000</v>
      </c>
      <c r="T542">
        <v>-8586451.8699999992</v>
      </c>
      <c r="U542" t="s">
        <v>68</v>
      </c>
      <c r="V542" t="s">
        <v>1418</v>
      </c>
      <c r="W542" s="9">
        <v>60604267</v>
      </c>
      <c r="X542" t="s">
        <v>1888</v>
      </c>
      <c r="Y542" s="1">
        <v>46067</v>
      </c>
      <c r="Z542" s="1">
        <v>46127</v>
      </c>
      <c r="AA542" s="2">
        <v>5367.77</v>
      </c>
      <c r="AB542" s="2">
        <v>4548.96</v>
      </c>
      <c r="AC542" s="2">
        <v>818.81</v>
      </c>
      <c r="AD542" s="2">
        <v>5367.77</v>
      </c>
      <c r="AE542" t="s">
        <v>1889</v>
      </c>
      <c r="AF542" t="s">
        <v>72</v>
      </c>
      <c r="AG542">
        <v>-49</v>
      </c>
      <c r="AH542" t="s">
        <v>117</v>
      </c>
      <c r="AI542" t="s">
        <v>74</v>
      </c>
      <c r="AJ542" t="s">
        <v>75</v>
      </c>
      <c r="AK542" t="s">
        <v>76</v>
      </c>
      <c r="AL542" t="s">
        <v>118</v>
      </c>
      <c r="AM542" t="s">
        <v>78</v>
      </c>
      <c r="AN542" t="s">
        <v>79</v>
      </c>
      <c r="AO542" t="s">
        <v>119</v>
      </c>
      <c r="AP542" t="s">
        <v>46</v>
      </c>
      <c r="AQ542" t="s">
        <v>81</v>
      </c>
      <c r="AR542" t="str">
        <f t="shared" si="16"/>
        <v>60604267.STATAM</v>
      </c>
      <c r="AS542">
        <f t="shared" si="17"/>
        <v>4323560.3899999997</v>
      </c>
      <c r="AT542" t="s">
        <v>82</v>
      </c>
    </row>
    <row r="543" spans="1:46" x14ac:dyDescent="0.35">
      <c r="A543" t="s">
        <v>52</v>
      </c>
      <c r="B543" t="s">
        <v>53</v>
      </c>
      <c r="C543" t="s">
        <v>54</v>
      </c>
      <c r="D543" t="s">
        <v>55</v>
      </c>
      <c r="E543" t="s">
        <v>56</v>
      </c>
      <c r="F543" t="s">
        <v>1851</v>
      </c>
      <c r="G543" t="s">
        <v>1890</v>
      </c>
      <c r="H543" t="s">
        <v>56</v>
      </c>
      <c r="I543" t="s">
        <v>1891</v>
      </c>
      <c r="J543" t="s">
        <v>56</v>
      </c>
      <c r="K543" t="s">
        <v>640</v>
      </c>
      <c r="L543" t="s">
        <v>1892</v>
      </c>
      <c r="M543" t="s">
        <v>56</v>
      </c>
      <c r="N543" t="s">
        <v>261</v>
      </c>
      <c r="O543" t="s">
        <v>64</v>
      </c>
      <c r="P543" t="s">
        <v>65</v>
      </c>
      <c r="Q543" t="s">
        <v>114</v>
      </c>
      <c r="R543" t="s">
        <v>248</v>
      </c>
      <c r="S543">
        <v>2000000</v>
      </c>
      <c r="T543">
        <v>-8586451.8699999992</v>
      </c>
      <c r="U543" t="s">
        <v>68</v>
      </c>
      <c r="V543" t="s">
        <v>1418</v>
      </c>
      <c r="W543" s="9">
        <v>60604267</v>
      </c>
      <c r="X543" t="s">
        <v>1893</v>
      </c>
      <c r="Y543" s="1">
        <v>46067</v>
      </c>
      <c r="Z543" s="1">
        <v>46127</v>
      </c>
      <c r="AA543" s="2">
        <v>167319.51999999999</v>
      </c>
      <c r="AB543" s="2">
        <v>141796.20000000001</v>
      </c>
      <c r="AC543" s="2">
        <v>25523.32</v>
      </c>
      <c r="AD543" s="2">
        <v>167319.51999999999</v>
      </c>
      <c r="AE543" t="s">
        <v>1894</v>
      </c>
      <c r="AF543" t="s">
        <v>72</v>
      </c>
      <c r="AG543">
        <v>-49</v>
      </c>
      <c r="AH543" t="s">
        <v>117</v>
      </c>
      <c r="AI543" t="s">
        <v>74</v>
      </c>
      <c r="AJ543" t="s">
        <v>75</v>
      </c>
      <c r="AK543" t="s">
        <v>76</v>
      </c>
      <c r="AL543" t="s">
        <v>118</v>
      </c>
      <c r="AM543" t="s">
        <v>78</v>
      </c>
      <c r="AN543" t="s">
        <v>79</v>
      </c>
      <c r="AO543" t="s">
        <v>119</v>
      </c>
      <c r="AP543" t="s">
        <v>46</v>
      </c>
      <c r="AQ543" t="s">
        <v>81</v>
      </c>
      <c r="AR543" t="str">
        <f t="shared" si="16"/>
        <v>60604267.STATAM</v>
      </c>
      <c r="AS543">
        <f t="shared" si="17"/>
        <v>4323560.3899999997</v>
      </c>
      <c r="AT543" t="s">
        <v>82</v>
      </c>
    </row>
    <row r="544" spans="1:46" x14ac:dyDescent="0.35">
      <c r="A544" t="s">
        <v>52</v>
      </c>
      <c r="B544" t="s">
        <v>53</v>
      </c>
      <c r="C544" t="s">
        <v>54</v>
      </c>
      <c r="D544" t="s">
        <v>55</v>
      </c>
      <c r="E544" t="s">
        <v>56</v>
      </c>
      <c r="F544" t="s">
        <v>1851</v>
      </c>
      <c r="G544" t="s">
        <v>1895</v>
      </c>
      <c r="H544" t="s">
        <v>56</v>
      </c>
      <c r="I544" t="s">
        <v>1896</v>
      </c>
      <c r="J544" t="s">
        <v>56</v>
      </c>
      <c r="K544" t="s">
        <v>640</v>
      </c>
      <c r="L544" t="s">
        <v>1897</v>
      </c>
      <c r="M544" t="s">
        <v>56</v>
      </c>
      <c r="N544" t="s">
        <v>252</v>
      </c>
      <c r="O544" t="s">
        <v>64</v>
      </c>
      <c r="P544" t="s">
        <v>65</v>
      </c>
      <c r="Q544" t="s">
        <v>114</v>
      </c>
      <c r="R544" t="s">
        <v>248</v>
      </c>
      <c r="S544">
        <v>2000000</v>
      </c>
      <c r="T544">
        <v>-8586451.8699999992</v>
      </c>
      <c r="U544" t="s">
        <v>68</v>
      </c>
      <c r="V544" t="s">
        <v>1418</v>
      </c>
      <c r="W544" s="9">
        <v>60604267</v>
      </c>
      <c r="X544" t="s">
        <v>1898</v>
      </c>
      <c r="Y544" s="1">
        <v>46067</v>
      </c>
      <c r="Z544" s="1">
        <v>46127</v>
      </c>
      <c r="AA544" s="2">
        <v>1771.77</v>
      </c>
      <c r="AB544" s="2">
        <v>1501.5</v>
      </c>
      <c r="AC544" s="2">
        <v>270.27</v>
      </c>
      <c r="AD544" s="2">
        <v>1771.77</v>
      </c>
      <c r="AE544" t="s">
        <v>1899</v>
      </c>
      <c r="AF544" t="s">
        <v>72</v>
      </c>
      <c r="AG544">
        <v>-49</v>
      </c>
      <c r="AH544" t="s">
        <v>117</v>
      </c>
      <c r="AI544" t="s">
        <v>74</v>
      </c>
      <c r="AJ544" t="s">
        <v>75</v>
      </c>
      <c r="AK544" t="s">
        <v>76</v>
      </c>
      <c r="AL544" t="s">
        <v>118</v>
      </c>
      <c r="AM544" t="s">
        <v>78</v>
      </c>
      <c r="AN544" t="s">
        <v>79</v>
      </c>
      <c r="AO544" t="s">
        <v>119</v>
      </c>
      <c r="AP544" t="s">
        <v>46</v>
      </c>
      <c r="AQ544" t="s">
        <v>81</v>
      </c>
      <c r="AR544" t="str">
        <f t="shared" si="16"/>
        <v>60604267.STATAM</v>
      </c>
      <c r="AS544">
        <f t="shared" si="17"/>
        <v>4323560.3899999997</v>
      </c>
      <c r="AT544" t="s">
        <v>82</v>
      </c>
    </row>
    <row r="545" spans="1:46" x14ac:dyDescent="0.35">
      <c r="A545" t="s">
        <v>52</v>
      </c>
      <c r="B545" t="s">
        <v>53</v>
      </c>
      <c r="C545" t="s">
        <v>54</v>
      </c>
      <c r="D545" t="s">
        <v>55</v>
      </c>
      <c r="E545" t="s">
        <v>56</v>
      </c>
      <c r="F545" t="s">
        <v>1851</v>
      </c>
      <c r="G545" t="s">
        <v>1900</v>
      </c>
      <c r="H545" t="s">
        <v>56</v>
      </c>
      <c r="I545" t="s">
        <v>1901</v>
      </c>
      <c r="J545" t="s">
        <v>56</v>
      </c>
      <c r="K545" t="s">
        <v>640</v>
      </c>
      <c r="L545" t="s">
        <v>1897</v>
      </c>
      <c r="M545" t="s">
        <v>56</v>
      </c>
      <c r="N545" t="s">
        <v>252</v>
      </c>
      <c r="O545" t="s">
        <v>64</v>
      </c>
      <c r="P545" t="s">
        <v>65</v>
      </c>
      <c r="Q545" t="s">
        <v>114</v>
      </c>
      <c r="R545" t="s">
        <v>248</v>
      </c>
      <c r="S545">
        <v>2000000</v>
      </c>
      <c r="T545">
        <v>-8586451.8699999992</v>
      </c>
      <c r="U545" t="s">
        <v>68</v>
      </c>
      <c r="V545" t="s">
        <v>1418</v>
      </c>
      <c r="W545" s="9">
        <v>60604267</v>
      </c>
      <c r="X545" t="s">
        <v>1902</v>
      </c>
      <c r="Y545" s="1">
        <v>46067</v>
      </c>
      <c r="Z545" s="1">
        <v>46127</v>
      </c>
      <c r="AA545" s="2">
        <v>20686.91</v>
      </c>
      <c r="AB545" s="2">
        <v>17531.28</v>
      </c>
      <c r="AC545" s="2">
        <v>3155.63</v>
      </c>
      <c r="AD545" s="2">
        <v>20686.91</v>
      </c>
      <c r="AE545" t="s">
        <v>1903</v>
      </c>
      <c r="AF545" t="s">
        <v>72</v>
      </c>
      <c r="AG545">
        <v>-49</v>
      </c>
      <c r="AH545" t="s">
        <v>117</v>
      </c>
      <c r="AI545" t="s">
        <v>74</v>
      </c>
      <c r="AJ545" t="s">
        <v>75</v>
      </c>
      <c r="AK545" t="s">
        <v>76</v>
      </c>
      <c r="AL545" t="s">
        <v>118</v>
      </c>
      <c r="AM545" t="s">
        <v>78</v>
      </c>
      <c r="AN545" t="s">
        <v>79</v>
      </c>
      <c r="AO545" t="s">
        <v>119</v>
      </c>
      <c r="AP545" t="s">
        <v>46</v>
      </c>
      <c r="AQ545" t="s">
        <v>81</v>
      </c>
      <c r="AR545" t="str">
        <f t="shared" si="16"/>
        <v>60604267.STATAM</v>
      </c>
      <c r="AS545">
        <f t="shared" si="17"/>
        <v>4323560.3899999997</v>
      </c>
      <c r="AT545" t="s">
        <v>82</v>
      </c>
    </row>
    <row r="546" spans="1:46" x14ac:dyDescent="0.35">
      <c r="A546" t="s">
        <v>52</v>
      </c>
      <c r="B546" t="s">
        <v>53</v>
      </c>
      <c r="C546" t="s">
        <v>54</v>
      </c>
      <c r="D546" t="s">
        <v>55</v>
      </c>
      <c r="E546" t="s">
        <v>56</v>
      </c>
      <c r="F546" t="s">
        <v>1851</v>
      </c>
      <c r="G546" t="s">
        <v>1904</v>
      </c>
      <c r="H546" t="s">
        <v>56</v>
      </c>
      <c r="I546" t="s">
        <v>1905</v>
      </c>
      <c r="J546" t="s">
        <v>56</v>
      </c>
      <c r="K546" t="s">
        <v>640</v>
      </c>
      <c r="L546" t="s">
        <v>1897</v>
      </c>
      <c r="M546" t="s">
        <v>56</v>
      </c>
      <c r="N546" t="s">
        <v>295</v>
      </c>
      <c r="O546" t="s">
        <v>64</v>
      </c>
      <c r="P546" t="s">
        <v>65</v>
      </c>
      <c r="Q546" t="s">
        <v>114</v>
      </c>
      <c r="R546" t="s">
        <v>248</v>
      </c>
      <c r="S546">
        <v>2000000</v>
      </c>
      <c r="T546">
        <v>-8586451.8699999992</v>
      </c>
      <c r="U546" t="s">
        <v>68</v>
      </c>
      <c r="V546" t="s">
        <v>1418</v>
      </c>
      <c r="W546" s="9">
        <v>60604267</v>
      </c>
      <c r="X546" t="s">
        <v>1906</v>
      </c>
      <c r="Y546" s="1">
        <v>46071</v>
      </c>
      <c r="Z546" s="1">
        <v>46131</v>
      </c>
      <c r="AA546" s="2">
        <v>10710.69</v>
      </c>
      <c r="AB546" s="2">
        <v>9076.86</v>
      </c>
      <c r="AC546" s="2">
        <v>1633.83</v>
      </c>
      <c r="AD546" s="2">
        <v>10710.69</v>
      </c>
      <c r="AE546" t="s">
        <v>1907</v>
      </c>
      <c r="AF546" t="s">
        <v>72</v>
      </c>
      <c r="AG546">
        <v>-53</v>
      </c>
      <c r="AH546" t="s">
        <v>117</v>
      </c>
      <c r="AI546" t="s">
        <v>74</v>
      </c>
      <c r="AJ546" t="s">
        <v>75</v>
      </c>
      <c r="AK546" t="s">
        <v>76</v>
      </c>
      <c r="AL546" t="s">
        <v>118</v>
      </c>
      <c r="AM546" t="s">
        <v>78</v>
      </c>
      <c r="AN546" t="s">
        <v>79</v>
      </c>
      <c r="AO546" t="s">
        <v>119</v>
      </c>
      <c r="AP546" t="s">
        <v>46</v>
      </c>
      <c r="AQ546" t="s">
        <v>81</v>
      </c>
      <c r="AR546" t="str">
        <f t="shared" si="16"/>
        <v>60604267.STATAM</v>
      </c>
      <c r="AS546">
        <f t="shared" si="17"/>
        <v>4323560.3899999997</v>
      </c>
      <c r="AT546" t="s">
        <v>82</v>
      </c>
    </row>
    <row r="547" spans="1:46" x14ac:dyDescent="0.35">
      <c r="A547" t="s">
        <v>52</v>
      </c>
      <c r="B547" t="s">
        <v>53</v>
      </c>
      <c r="C547" t="s">
        <v>54</v>
      </c>
      <c r="D547" t="s">
        <v>55</v>
      </c>
      <c r="E547" t="s">
        <v>56</v>
      </c>
      <c r="F547" t="s">
        <v>1851</v>
      </c>
      <c r="G547" t="s">
        <v>1908</v>
      </c>
      <c r="H547" t="s">
        <v>56</v>
      </c>
      <c r="I547" t="s">
        <v>1909</v>
      </c>
      <c r="J547" t="s">
        <v>56</v>
      </c>
      <c r="K547" t="s">
        <v>640</v>
      </c>
      <c r="L547" t="s">
        <v>1897</v>
      </c>
      <c r="M547" t="s">
        <v>56</v>
      </c>
      <c r="N547" t="s">
        <v>244</v>
      </c>
      <c r="O547" t="s">
        <v>64</v>
      </c>
      <c r="P547" t="s">
        <v>65</v>
      </c>
      <c r="Q547" t="s">
        <v>114</v>
      </c>
      <c r="R547" t="s">
        <v>248</v>
      </c>
      <c r="S547">
        <v>2000000</v>
      </c>
      <c r="T547">
        <v>-8586451.8699999992</v>
      </c>
      <c r="U547" t="s">
        <v>68</v>
      </c>
      <c r="V547" t="s">
        <v>1418</v>
      </c>
      <c r="W547" s="9">
        <v>60604267</v>
      </c>
      <c r="X547" t="s">
        <v>1910</v>
      </c>
      <c r="Y547" s="1">
        <v>46077</v>
      </c>
      <c r="Z547" s="1">
        <v>46137</v>
      </c>
      <c r="AA547" s="2">
        <v>396480</v>
      </c>
      <c r="AB547" s="2">
        <v>336000</v>
      </c>
      <c r="AC547" s="2">
        <v>60480</v>
      </c>
      <c r="AD547" s="2">
        <v>396480</v>
      </c>
      <c r="AE547" t="s">
        <v>1911</v>
      </c>
      <c r="AF547" t="s">
        <v>72</v>
      </c>
      <c r="AG547">
        <v>-59</v>
      </c>
      <c r="AH547" t="s">
        <v>117</v>
      </c>
      <c r="AI547" t="s">
        <v>74</v>
      </c>
      <c r="AJ547" t="s">
        <v>75</v>
      </c>
      <c r="AK547" t="s">
        <v>76</v>
      </c>
      <c r="AL547" t="s">
        <v>118</v>
      </c>
      <c r="AM547" t="s">
        <v>78</v>
      </c>
      <c r="AN547" t="s">
        <v>79</v>
      </c>
      <c r="AO547" t="s">
        <v>119</v>
      </c>
      <c r="AP547" t="s">
        <v>46</v>
      </c>
      <c r="AQ547" t="s">
        <v>81</v>
      </c>
      <c r="AR547" t="str">
        <f t="shared" si="16"/>
        <v>60604267.STATAM</v>
      </c>
      <c r="AS547">
        <f t="shared" si="17"/>
        <v>4323560.3899999997</v>
      </c>
      <c r="AT547" t="s">
        <v>82</v>
      </c>
    </row>
    <row r="548" spans="1:46" x14ac:dyDescent="0.35">
      <c r="A548" t="s">
        <v>52</v>
      </c>
      <c r="B548" t="s">
        <v>53</v>
      </c>
      <c r="C548" t="s">
        <v>54</v>
      </c>
      <c r="D548" t="s">
        <v>55</v>
      </c>
      <c r="E548" t="s">
        <v>56</v>
      </c>
      <c r="F548" t="s">
        <v>1851</v>
      </c>
      <c r="G548" t="s">
        <v>1908</v>
      </c>
      <c r="H548" t="s">
        <v>56</v>
      </c>
      <c r="I548" t="s">
        <v>1909</v>
      </c>
      <c r="J548" t="s">
        <v>56</v>
      </c>
      <c r="K548" t="s">
        <v>640</v>
      </c>
      <c r="L548" t="s">
        <v>1897</v>
      </c>
      <c r="M548" t="s">
        <v>56</v>
      </c>
      <c r="N548" t="s">
        <v>1912</v>
      </c>
      <c r="O548" t="s">
        <v>64</v>
      </c>
      <c r="P548" t="s">
        <v>65</v>
      </c>
      <c r="Q548" t="s">
        <v>114</v>
      </c>
      <c r="R548" t="s">
        <v>248</v>
      </c>
      <c r="S548">
        <v>2000000</v>
      </c>
      <c r="T548">
        <v>-8586451.8699999992</v>
      </c>
      <c r="U548" t="s">
        <v>68</v>
      </c>
      <c r="V548" t="s">
        <v>1418</v>
      </c>
      <c r="W548" s="9">
        <v>60604267</v>
      </c>
      <c r="X548" t="s">
        <v>1910</v>
      </c>
      <c r="Y548" s="1">
        <v>46077</v>
      </c>
      <c r="Z548" s="1">
        <v>46137</v>
      </c>
      <c r="AA548" s="2">
        <v>438960</v>
      </c>
      <c r="AB548" s="2">
        <v>372000</v>
      </c>
      <c r="AC548" s="2">
        <v>66960</v>
      </c>
      <c r="AD548" s="2">
        <v>438960</v>
      </c>
      <c r="AE548" t="s">
        <v>1913</v>
      </c>
      <c r="AF548" t="s">
        <v>72</v>
      </c>
      <c r="AG548">
        <v>-59</v>
      </c>
      <c r="AH548" t="s">
        <v>117</v>
      </c>
      <c r="AI548" t="s">
        <v>74</v>
      </c>
      <c r="AJ548" t="s">
        <v>75</v>
      </c>
      <c r="AK548" t="s">
        <v>76</v>
      </c>
      <c r="AL548" t="s">
        <v>118</v>
      </c>
      <c r="AM548" t="s">
        <v>78</v>
      </c>
      <c r="AN548" t="s">
        <v>79</v>
      </c>
      <c r="AO548" t="s">
        <v>119</v>
      </c>
      <c r="AP548" t="s">
        <v>46</v>
      </c>
      <c r="AQ548" t="s">
        <v>81</v>
      </c>
      <c r="AR548" t="str">
        <f t="shared" si="16"/>
        <v>60604267.STATAM</v>
      </c>
      <c r="AS548">
        <f t="shared" si="17"/>
        <v>4323560.3899999997</v>
      </c>
      <c r="AT548" t="s">
        <v>82</v>
      </c>
    </row>
    <row r="549" spans="1:46" x14ac:dyDescent="0.35">
      <c r="A549" t="s">
        <v>52</v>
      </c>
      <c r="B549" t="s">
        <v>53</v>
      </c>
      <c r="C549" t="s">
        <v>54</v>
      </c>
      <c r="D549" t="s">
        <v>55</v>
      </c>
      <c r="E549" t="s">
        <v>56</v>
      </c>
      <c r="F549" t="s">
        <v>1851</v>
      </c>
      <c r="G549" t="s">
        <v>1914</v>
      </c>
      <c r="H549" t="s">
        <v>56</v>
      </c>
      <c r="I549" t="s">
        <v>1915</v>
      </c>
      <c r="J549" t="s">
        <v>56</v>
      </c>
      <c r="K549" t="s">
        <v>640</v>
      </c>
      <c r="L549" t="s">
        <v>1897</v>
      </c>
      <c r="M549" t="s">
        <v>56</v>
      </c>
      <c r="N549" t="s">
        <v>252</v>
      </c>
      <c r="O549" t="s">
        <v>64</v>
      </c>
      <c r="P549" t="s">
        <v>65</v>
      </c>
      <c r="Q549" t="s">
        <v>114</v>
      </c>
      <c r="R549" t="s">
        <v>248</v>
      </c>
      <c r="S549">
        <v>2000000</v>
      </c>
      <c r="T549">
        <v>-8586451.8699999992</v>
      </c>
      <c r="U549" t="s">
        <v>68</v>
      </c>
      <c r="V549" t="s">
        <v>1418</v>
      </c>
      <c r="W549" s="9">
        <v>60604267</v>
      </c>
      <c r="X549" t="s">
        <v>1916</v>
      </c>
      <c r="Y549" s="1">
        <v>46077</v>
      </c>
      <c r="Z549" s="1">
        <v>46137</v>
      </c>
      <c r="AA549" s="2">
        <v>22352.83</v>
      </c>
      <c r="AB549" s="2">
        <v>18943.080000000002</v>
      </c>
      <c r="AC549" s="2">
        <v>3409.75</v>
      </c>
      <c r="AD549" s="2">
        <v>22352.83</v>
      </c>
      <c r="AE549" t="s">
        <v>1917</v>
      </c>
      <c r="AF549" t="s">
        <v>72</v>
      </c>
      <c r="AG549">
        <v>-59</v>
      </c>
      <c r="AH549" t="s">
        <v>117</v>
      </c>
      <c r="AI549" t="s">
        <v>74</v>
      </c>
      <c r="AJ549" t="s">
        <v>75</v>
      </c>
      <c r="AK549" t="s">
        <v>76</v>
      </c>
      <c r="AL549" t="s">
        <v>118</v>
      </c>
      <c r="AM549" t="s">
        <v>78</v>
      </c>
      <c r="AN549" t="s">
        <v>79</v>
      </c>
      <c r="AO549" t="s">
        <v>119</v>
      </c>
      <c r="AP549" t="s">
        <v>46</v>
      </c>
      <c r="AQ549" t="s">
        <v>81</v>
      </c>
      <c r="AR549" t="str">
        <f t="shared" si="16"/>
        <v>60604267.STATAM</v>
      </c>
      <c r="AS549">
        <f t="shared" si="17"/>
        <v>4323560.3899999997</v>
      </c>
      <c r="AT549" t="s">
        <v>82</v>
      </c>
    </row>
    <row r="550" spans="1:46" x14ac:dyDescent="0.35">
      <c r="A550" t="s">
        <v>52</v>
      </c>
      <c r="B550" t="s">
        <v>53</v>
      </c>
      <c r="C550" t="s">
        <v>54</v>
      </c>
      <c r="D550" t="s">
        <v>55</v>
      </c>
      <c r="E550" t="s">
        <v>56</v>
      </c>
      <c r="F550" t="s">
        <v>1851</v>
      </c>
      <c r="G550" t="s">
        <v>1914</v>
      </c>
      <c r="H550" t="s">
        <v>56</v>
      </c>
      <c r="I550" t="s">
        <v>1915</v>
      </c>
      <c r="J550" t="s">
        <v>56</v>
      </c>
      <c r="K550" t="s">
        <v>640</v>
      </c>
      <c r="L550" t="s">
        <v>1897</v>
      </c>
      <c r="M550" t="s">
        <v>56</v>
      </c>
      <c r="N550" t="s">
        <v>261</v>
      </c>
      <c r="O550" t="s">
        <v>64</v>
      </c>
      <c r="P550" t="s">
        <v>65</v>
      </c>
      <c r="Q550" t="s">
        <v>114</v>
      </c>
      <c r="R550" t="s">
        <v>248</v>
      </c>
      <c r="S550">
        <v>2000000</v>
      </c>
      <c r="T550">
        <v>-8586451.8699999992</v>
      </c>
      <c r="U550" t="s">
        <v>68</v>
      </c>
      <c r="V550" t="s">
        <v>1418</v>
      </c>
      <c r="W550" s="9">
        <v>60604267</v>
      </c>
      <c r="X550" t="s">
        <v>1916</v>
      </c>
      <c r="Y550" s="1">
        <v>46077</v>
      </c>
      <c r="Z550" s="1">
        <v>46137</v>
      </c>
      <c r="AA550" s="2">
        <v>342656.64</v>
      </c>
      <c r="AB550" s="2">
        <v>290386.98</v>
      </c>
      <c r="AC550" s="2">
        <v>52269.66</v>
      </c>
      <c r="AD550" s="2">
        <v>342656.64</v>
      </c>
      <c r="AE550" t="s">
        <v>1918</v>
      </c>
      <c r="AF550" t="s">
        <v>72</v>
      </c>
      <c r="AG550">
        <v>-59</v>
      </c>
      <c r="AH550" t="s">
        <v>117</v>
      </c>
      <c r="AI550" t="s">
        <v>74</v>
      </c>
      <c r="AJ550" t="s">
        <v>75</v>
      </c>
      <c r="AK550" t="s">
        <v>76</v>
      </c>
      <c r="AL550" t="s">
        <v>118</v>
      </c>
      <c r="AM550" t="s">
        <v>78</v>
      </c>
      <c r="AN550" t="s">
        <v>79</v>
      </c>
      <c r="AO550" t="s">
        <v>119</v>
      </c>
      <c r="AP550" t="s">
        <v>46</v>
      </c>
      <c r="AQ550" t="s">
        <v>81</v>
      </c>
      <c r="AR550" t="str">
        <f t="shared" si="16"/>
        <v>60604267.STATAM</v>
      </c>
      <c r="AS550">
        <f t="shared" si="17"/>
        <v>4323560.3899999997</v>
      </c>
      <c r="AT550" t="s">
        <v>82</v>
      </c>
    </row>
    <row r="551" spans="1:46" x14ac:dyDescent="0.35">
      <c r="A551" t="s">
        <v>52</v>
      </c>
      <c r="B551" t="s">
        <v>53</v>
      </c>
      <c r="C551" t="s">
        <v>54</v>
      </c>
      <c r="D551" t="s">
        <v>55</v>
      </c>
      <c r="E551" t="s">
        <v>56</v>
      </c>
      <c r="F551" t="s">
        <v>1851</v>
      </c>
      <c r="G551" t="s">
        <v>1919</v>
      </c>
      <c r="H551" t="s">
        <v>56</v>
      </c>
      <c r="I551" t="s">
        <v>1920</v>
      </c>
      <c r="J551" t="s">
        <v>56</v>
      </c>
      <c r="K551" t="s">
        <v>640</v>
      </c>
      <c r="L551" t="s">
        <v>1921</v>
      </c>
      <c r="M551" t="s">
        <v>56</v>
      </c>
      <c r="N551" t="s">
        <v>655</v>
      </c>
      <c r="O551" t="s">
        <v>64</v>
      </c>
      <c r="P551" t="s">
        <v>65</v>
      </c>
      <c r="Q551" t="s">
        <v>114</v>
      </c>
      <c r="R551" t="s">
        <v>248</v>
      </c>
      <c r="S551">
        <v>2000000</v>
      </c>
      <c r="T551">
        <v>-8586451.8699999992</v>
      </c>
      <c r="U551" t="s">
        <v>68</v>
      </c>
      <c r="V551" t="s">
        <v>1418</v>
      </c>
      <c r="W551" s="9">
        <v>60604267</v>
      </c>
      <c r="X551" t="s">
        <v>1922</v>
      </c>
      <c r="Y551" s="1">
        <v>46077</v>
      </c>
      <c r="Z551" s="1">
        <v>46137</v>
      </c>
      <c r="AA551" s="2">
        <v>60543.44</v>
      </c>
      <c r="AB551" s="2">
        <v>51308</v>
      </c>
      <c r="AC551" s="2">
        <v>9235.44</v>
      </c>
      <c r="AD551" s="2">
        <v>60543.44</v>
      </c>
      <c r="AE551" t="s">
        <v>1923</v>
      </c>
      <c r="AF551" t="s">
        <v>72</v>
      </c>
      <c r="AG551">
        <v>-59</v>
      </c>
      <c r="AH551" t="s">
        <v>117</v>
      </c>
      <c r="AI551" t="s">
        <v>74</v>
      </c>
      <c r="AJ551" t="s">
        <v>75</v>
      </c>
      <c r="AK551" t="s">
        <v>76</v>
      </c>
      <c r="AL551" t="s">
        <v>118</v>
      </c>
      <c r="AM551" t="s">
        <v>78</v>
      </c>
      <c r="AN551" t="s">
        <v>79</v>
      </c>
      <c r="AO551" t="s">
        <v>119</v>
      </c>
      <c r="AP551" t="s">
        <v>46</v>
      </c>
      <c r="AQ551" t="s">
        <v>81</v>
      </c>
      <c r="AR551" t="str">
        <f t="shared" si="16"/>
        <v>60604267.STATAM</v>
      </c>
      <c r="AS551">
        <f t="shared" si="17"/>
        <v>4323560.3899999997</v>
      </c>
      <c r="AT551" t="s">
        <v>82</v>
      </c>
    </row>
    <row r="552" spans="1:46" x14ac:dyDescent="0.35">
      <c r="A552" t="s">
        <v>52</v>
      </c>
      <c r="B552" t="s">
        <v>53</v>
      </c>
      <c r="C552" t="s">
        <v>54</v>
      </c>
      <c r="D552" t="s">
        <v>55</v>
      </c>
      <c r="E552" t="s">
        <v>56</v>
      </c>
      <c r="F552" t="s">
        <v>1851</v>
      </c>
      <c r="G552" t="s">
        <v>1900</v>
      </c>
      <c r="H552" t="s">
        <v>56</v>
      </c>
      <c r="I552" t="s">
        <v>1924</v>
      </c>
      <c r="J552" t="s">
        <v>56</v>
      </c>
      <c r="K552" t="s">
        <v>640</v>
      </c>
      <c r="L552" t="s">
        <v>1897</v>
      </c>
      <c r="M552" t="s">
        <v>56</v>
      </c>
      <c r="N552" t="s">
        <v>1384</v>
      </c>
      <c r="O552" t="s">
        <v>64</v>
      </c>
      <c r="P552" t="s">
        <v>65</v>
      </c>
      <c r="Q552" t="s">
        <v>114</v>
      </c>
      <c r="R552" t="s">
        <v>248</v>
      </c>
      <c r="S552">
        <v>2000000</v>
      </c>
      <c r="T552">
        <v>-8586451.8699999992</v>
      </c>
      <c r="U552" t="s">
        <v>68</v>
      </c>
      <c r="V552" t="s">
        <v>1418</v>
      </c>
      <c r="W552" s="9">
        <v>60604267</v>
      </c>
      <c r="X552" t="s">
        <v>1925</v>
      </c>
      <c r="Y552" s="1">
        <v>46077</v>
      </c>
      <c r="Z552" s="1">
        <v>46137</v>
      </c>
      <c r="AA552" s="2">
        <v>3688.96</v>
      </c>
      <c r="AB552" s="2">
        <v>3126.24</v>
      </c>
      <c r="AC552" s="2">
        <v>562.72</v>
      </c>
      <c r="AD552" s="2">
        <v>3688.96</v>
      </c>
      <c r="AE552" t="s">
        <v>1926</v>
      </c>
      <c r="AF552" t="s">
        <v>72</v>
      </c>
      <c r="AG552">
        <v>-59</v>
      </c>
      <c r="AH552" t="s">
        <v>117</v>
      </c>
      <c r="AI552" t="s">
        <v>74</v>
      </c>
      <c r="AJ552" t="s">
        <v>75</v>
      </c>
      <c r="AK552" t="s">
        <v>76</v>
      </c>
      <c r="AL552" t="s">
        <v>118</v>
      </c>
      <c r="AM552" t="s">
        <v>78</v>
      </c>
      <c r="AN552" t="s">
        <v>79</v>
      </c>
      <c r="AO552" t="s">
        <v>119</v>
      </c>
      <c r="AP552" t="s">
        <v>46</v>
      </c>
      <c r="AQ552" t="s">
        <v>81</v>
      </c>
      <c r="AR552" t="str">
        <f t="shared" si="16"/>
        <v>60604267.STATAM</v>
      </c>
      <c r="AS552">
        <f t="shared" si="17"/>
        <v>4323560.3899999997</v>
      </c>
      <c r="AT552" t="s">
        <v>82</v>
      </c>
    </row>
    <row r="553" spans="1:46" x14ac:dyDescent="0.35">
      <c r="A553" t="s">
        <v>52</v>
      </c>
      <c r="B553" t="s">
        <v>53</v>
      </c>
      <c r="C553" t="s">
        <v>54</v>
      </c>
      <c r="D553" t="s">
        <v>55</v>
      </c>
      <c r="E553" t="s">
        <v>56</v>
      </c>
      <c r="F553" t="s">
        <v>1851</v>
      </c>
      <c r="G553" t="s">
        <v>1868</v>
      </c>
      <c r="H553" t="s">
        <v>56</v>
      </c>
      <c r="I553" t="s">
        <v>1927</v>
      </c>
      <c r="J553" t="s">
        <v>56</v>
      </c>
      <c r="K553" t="s">
        <v>640</v>
      </c>
      <c r="L553" t="s">
        <v>1465</v>
      </c>
      <c r="M553" t="s">
        <v>56</v>
      </c>
      <c r="N553" t="s">
        <v>1384</v>
      </c>
      <c r="O553" t="s">
        <v>64</v>
      </c>
      <c r="P553" t="s">
        <v>65</v>
      </c>
      <c r="Q553" t="s">
        <v>444</v>
      </c>
      <c r="R553" t="s">
        <v>248</v>
      </c>
      <c r="S553">
        <v>2000000</v>
      </c>
      <c r="T553">
        <v>-8586451.8699999992</v>
      </c>
      <c r="U553" t="s">
        <v>68</v>
      </c>
      <c r="V553" t="s">
        <v>1418</v>
      </c>
      <c r="W553" s="9">
        <v>60604267</v>
      </c>
      <c r="X553" t="s">
        <v>1928</v>
      </c>
      <c r="Y553" s="1">
        <v>46077</v>
      </c>
      <c r="Z553" s="1">
        <v>46137</v>
      </c>
      <c r="AA553" s="2">
        <v>81444.36</v>
      </c>
      <c r="AB553" s="2">
        <v>69020.639999999999</v>
      </c>
      <c r="AC553" s="2">
        <v>12423.72</v>
      </c>
      <c r="AD553" s="2">
        <v>81444.36</v>
      </c>
      <c r="AE553" t="s">
        <v>1929</v>
      </c>
      <c r="AF553" t="s">
        <v>72</v>
      </c>
      <c r="AG553">
        <v>-59</v>
      </c>
      <c r="AH553" t="s">
        <v>117</v>
      </c>
      <c r="AI553" t="s">
        <v>74</v>
      </c>
      <c r="AJ553" t="s">
        <v>75</v>
      </c>
      <c r="AK553" t="s">
        <v>76</v>
      </c>
      <c r="AL553" t="s">
        <v>118</v>
      </c>
      <c r="AM553" t="s">
        <v>78</v>
      </c>
      <c r="AN553" t="s">
        <v>79</v>
      </c>
      <c r="AO553" t="s">
        <v>119</v>
      </c>
      <c r="AP553" t="s">
        <v>46</v>
      </c>
      <c r="AQ553" t="s">
        <v>81</v>
      </c>
      <c r="AR553" t="str">
        <f t="shared" si="16"/>
        <v>60604267.STATAM</v>
      </c>
      <c r="AS553">
        <f t="shared" si="17"/>
        <v>4323560.3899999997</v>
      </c>
      <c r="AT553" t="s">
        <v>82</v>
      </c>
    </row>
    <row r="554" spans="1:46" x14ac:dyDescent="0.35">
      <c r="A554" t="s">
        <v>52</v>
      </c>
      <c r="B554" t="s">
        <v>53</v>
      </c>
      <c r="C554" t="s">
        <v>54</v>
      </c>
      <c r="D554" t="s">
        <v>55</v>
      </c>
      <c r="E554" t="s">
        <v>56</v>
      </c>
      <c r="F554" t="s">
        <v>1851</v>
      </c>
      <c r="G554" t="s">
        <v>1930</v>
      </c>
      <c r="H554" t="s">
        <v>56</v>
      </c>
      <c r="I554" t="s">
        <v>1931</v>
      </c>
      <c r="J554" t="s">
        <v>56</v>
      </c>
      <c r="K554" t="s">
        <v>640</v>
      </c>
      <c r="L554" t="s">
        <v>1858</v>
      </c>
      <c r="M554" t="s">
        <v>56</v>
      </c>
      <c r="N554" t="s">
        <v>254</v>
      </c>
      <c r="O554" t="s">
        <v>64</v>
      </c>
      <c r="P554" t="s">
        <v>65</v>
      </c>
      <c r="Q554" t="s">
        <v>1486</v>
      </c>
      <c r="R554" t="s">
        <v>248</v>
      </c>
      <c r="S554">
        <v>2000000</v>
      </c>
      <c r="T554">
        <v>-8586451.8699999992</v>
      </c>
      <c r="U554" t="s">
        <v>68</v>
      </c>
      <c r="V554" t="s">
        <v>1418</v>
      </c>
      <c r="W554" s="9">
        <v>60604267</v>
      </c>
      <c r="X554" t="s">
        <v>1932</v>
      </c>
      <c r="Y554" s="1">
        <v>46077</v>
      </c>
      <c r="Z554" s="1">
        <v>46137</v>
      </c>
      <c r="AA554" s="2">
        <v>272471.44</v>
      </c>
      <c r="AB554" s="2">
        <v>230908</v>
      </c>
      <c r="AC554" s="2">
        <v>41563.440000000002</v>
      </c>
      <c r="AD554" s="2">
        <v>272471.44</v>
      </c>
      <c r="AE554" t="s">
        <v>1933</v>
      </c>
      <c r="AF554" t="s">
        <v>72</v>
      </c>
      <c r="AG554">
        <v>-59</v>
      </c>
      <c r="AH554" t="s">
        <v>117</v>
      </c>
      <c r="AI554" t="s">
        <v>74</v>
      </c>
      <c r="AJ554" t="s">
        <v>75</v>
      </c>
      <c r="AK554" t="s">
        <v>76</v>
      </c>
      <c r="AL554" t="s">
        <v>118</v>
      </c>
      <c r="AM554" t="s">
        <v>78</v>
      </c>
      <c r="AN554" t="s">
        <v>79</v>
      </c>
      <c r="AO554" t="s">
        <v>119</v>
      </c>
      <c r="AP554" t="s">
        <v>46</v>
      </c>
      <c r="AQ554" t="s">
        <v>81</v>
      </c>
      <c r="AR554" t="str">
        <f t="shared" si="16"/>
        <v>60604267.STATAM</v>
      </c>
      <c r="AS554">
        <f t="shared" si="17"/>
        <v>4323560.3899999997</v>
      </c>
      <c r="AT554" t="s">
        <v>82</v>
      </c>
    </row>
    <row r="555" spans="1:46" x14ac:dyDescent="0.35">
      <c r="A555" t="s">
        <v>52</v>
      </c>
      <c r="B555" t="s">
        <v>53</v>
      </c>
      <c r="C555" t="s">
        <v>54</v>
      </c>
      <c r="D555" t="s">
        <v>55</v>
      </c>
      <c r="E555" t="s">
        <v>56</v>
      </c>
      <c r="F555" t="s">
        <v>1851</v>
      </c>
      <c r="G555" t="s">
        <v>1934</v>
      </c>
      <c r="H555" t="s">
        <v>56</v>
      </c>
      <c r="I555" t="s">
        <v>1935</v>
      </c>
      <c r="J555" t="s">
        <v>61</v>
      </c>
      <c r="K555" t="s">
        <v>640</v>
      </c>
      <c r="L555" t="s">
        <v>1858</v>
      </c>
      <c r="M555" t="s">
        <v>56</v>
      </c>
      <c r="N555" t="s">
        <v>252</v>
      </c>
      <c r="O555" t="s">
        <v>64</v>
      </c>
      <c r="P555" t="s">
        <v>65</v>
      </c>
      <c r="Q555" t="s">
        <v>87</v>
      </c>
      <c r="R555" t="s">
        <v>248</v>
      </c>
      <c r="S555">
        <v>2000000</v>
      </c>
      <c r="T555">
        <v>-8586451.8699999992</v>
      </c>
      <c r="U555" t="s">
        <v>68</v>
      </c>
      <c r="V555" t="s">
        <v>1418</v>
      </c>
      <c r="W555" s="9">
        <v>60604267</v>
      </c>
      <c r="X555" t="s">
        <v>1936</v>
      </c>
      <c r="Y555" s="1">
        <v>46077</v>
      </c>
      <c r="Z555" s="1">
        <v>46137</v>
      </c>
      <c r="AA555" s="2">
        <v>150397.97</v>
      </c>
      <c r="AB555" s="2">
        <v>127455.9</v>
      </c>
      <c r="AC555" s="2">
        <v>22942.07</v>
      </c>
      <c r="AD555" s="2">
        <v>150397.97</v>
      </c>
      <c r="AE555" t="s">
        <v>1937</v>
      </c>
      <c r="AF555" t="s">
        <v>72</v>
      </c>
      <c r="AG555">
        <v>-59</v>
      </c>
      <c r="AH555" t="s">
        <v>117</v>
      </c>
      <c r="AI555" t="s">
        <v>74</v>
      </c>
      <c r="AJ555" t="s">
        <v>75</v>
      </c>
      <c r="AK555" t="s">
        <v>76</v>
      </c>
      <c r="AL555" t="s">
        <v>118</v>
      </c>
      <c r="AM555" t="s">
        <v>78</v>
      </c>
      <c r="AN555" t="s">
        <v>79</v>
      </c>
      <c r="AO555" t="s">
        <v>119</v>
      </c>
      <c r="AP555" t="s">
        <v>46</v>
      </c>
      <c r="AQ555" t="s">
        <v>81</v>
      </c>
      <c r="AR555" t="str">
        <f t="shared" si="16"/>
        <v>60604267.STATAM</v>
      </c>
      <c r="AS555">
        <f t="shared" si="17"/>
        <v>4323560.3899999997</v>
      </c>
      <c r="AT555" t="s">
        <v>82</v>
      </c>
    </row>
    <row r="556" spans="1:46" x14ac:dyDescent="0.35">
      <c r="A556" t="s">
        <v>52</v>
      </c>
      <c r="B556" t="s">
        <v>53</v>
      </c>
      <c r="C556" t="s">
        <v>54</v>
      </c>
      <c r="D556" t="s">
        <v>55</v>
      </c>
      <c r="E556" t="s">
        <v>56</v>
      </c>
      <c r="F556" t="s">
        <v>1851</v>
      </c>
      <c r="G556" t="s">
        <v>1934</v>
      </c>
      <c r="H556" t="s">
        <v>56</v>
      </c>
      <c r="I556" t="s">
        <v>1935</v>
      </c>
      <c r="J556" t="s">
        <v>61</v>
      </c>
      <c r="K556" t="s">
        <v>640</v>
      </c>
      <c r="L556" t="s">
        <v>1858</v>
      </c>
      <c r="M556" t="s">
        <v>56</v>
      </c>
      <c r="N556" t="s">
        <v>261</v>
      </c>
      <c r="O556" t="s">
        <v>64</v>
      </c>
      <c r="P556" t="s">
        <v>65</v>
      </c>
      <c r="Q556" t="s">
        <v>87</v>
      </c>
      <c r="R556" t="s">
        <v>248</v>
      </c>
      <c r="S556">
        <v>2000000</v>
      </c>
      <c r="T556">
        <v>-8586451.8699999992</v>
      </c>
      <c r="U556" t="s">
        <v>68</v>
      </c>
      <c r="V556" t="s">
        <v>1418</v>
      </c>
      <c r="W556" s="9">
        <v>60604267</v>
      </c>
      <c r="X556" t="s">
        <v>1936</v>
      </c>
      <c r="Y556" s="1">
        <v>46077</v>
      </c>
      <c r="Z556" s="1">
        <v>46137</v>
      </c>
      <c r="AA556" s="2">
        <v>77651.39</v>
      </c>
      <c r="AB556" s="2">
        <v>65806.259999999995</v>
      </c>
      <c r="AC556" s="2">
        <v>11845.13</v>
      </c>
      <c r="AD556" s="2">
        <v>77651.39</v>
      </c>
      <c r="AE556" t="s">
        <v>1938</v>
      </c>
      <c r="AF556" t="s">
        <v>72</v>
      </c>
      <c r="AG556">
        <v>-59</v>
      </c>
      <c r="AH556" t="s">
        <v>117</v>
      </c>
      <c r="AI556" t="s">
        <v>74</v>
      </c>
      <c r="AJ556" t="s">
        <v>75</v>
      </c>
      <c r="AK556" t="s">
        <v>76</v>
      </c>
      <c r="AL556" t="s">
        <v>118</v>
      </c>
      <c r="AM556" t="s">
        <v>78</v>
      </c>
      <c r="AN556" t="s">
        <v>79</v>
      </c>
      <c r="AO556" t="s">
        <v>119</v>
      </c>
      <c r="AP556" t="s">
        <v>46</v>
      </c>
      <c r="AQ556" t="s">
        <v>81</v>
      </c>
      <c r="AR556" t="str">
        <f t="shared" si="16"/>
        <v>60604267.STATAM</v>
      </c>
      <c r="AS556">
        <f t="shared" si="17"/>
        <v>4323560.3899999997</v>
      </c>
      <c r="AT556" t="s">
        <v>82</v>
      </c>
    </row>
    <row r="557" spans="1:46" x14ac:dyDescent="0.35">
      <c r="A557" t="s">
        <v>52</v>
      </c>
      <c r="B557" t="s">
        <v>53</v>
      </c>
      <c r="C557" t="s">
        <v>54</v>
      </c>
      <c r="D557" t="s">
        <v>55</v>
      </c>
      <c r="E557" t="s">
        <v>56</v>
      </c>
      <c r="F557" t="s">
        <v>1851</v>
      </c>
      <c r="G557" t="s">
        <v>1939</v>
      </c>
      <c r="H557" t="s">
        <v>56</v>
      </c>
      <c r="I557" t="s">
        <v>1940</v>
      </c>
      <c r="J557" t="s">
        <v>56</v>
      </c>
      <c r="K557" t="s">
        <v>640</v>
      </c>
      <c r="L557" t="s">
        <v>56</v>
      </c>
      <c r="M557" t="s">
        <v>56</v>
      </c>
      <c r="N557" t="s">
        <v>680</v>
      </c>
      <c r="O557" t="s">
        <v>64</v>
      </c>
      <c r="P557" t="s">
        <v>65</v>
      </c>
      <c r="Q557" t="s">
        <v>444</v>
      </c>
      <c r="R557" t="s">
        <v>248</v>
      </c>
      <c r="S557">
        <v>2000000</v>
      </c>
      <c r="T557">
        <v>-8586451.8699999992</v>
      </c>
      <c r="U557" t="s">
        <v>68</v>
      </c>
      <c r="V557" t="s">
        <v>1418</v>
      </c>
      <c r="W557" s="9">
        <v>60604267</v>
      </c>
      <c r="X557" t="s">
        <v>1941</v>
      </c>
      <c r="Y557" s="1">
        <v>46077</v>
      </c>
      <c r="Z557" s="1">
        <v>46137</v>
      </c>
      <c r="AA557" s="2">
        <v>22630.16</v>
      </c>
      <c r="AB557" s="2">
        <v>19178.099999999999</v>
      </c>
      <c r="AC557" s="2">
        <v>3452.06</v>
      </c>
      <c r="AD557" s="2">
        <v>22630.16</v>
      </c>
      <c r="AE557" t="s">
        <v>1942</v>
      </c>
      <c r="AF557" t="s">
        <v>72</v>
      </c>
      <c r="AG557">
        <v>-59</v>
      </c>
      <c r="AH557" t="s">
        <v>117</v>
      </c>
      <c r="AI557" t="s">
        <v>74</v>
      </c>
      <c r="AJ557" t="s">
        <v>127</v>
      </c>
      <c r="AK557" t="s">
        <v>334</v>
      </c>
      <c r="AL557" t="s">
        <v>118</v>
      </c>
      <c r="AM557" t="s">
        <v>78</v>
      </c>
      <c r="AN557" t="s">
        <v>79</v>
      </c>
      <c r="AO557" t="s">
        <v>119</v>
      </c>
      <c r="AP557" t="s">
        <v>46</v>
      </c>
      <c r="AQ557" t="s">
        <v>335</v>
      </c>
      <c r="AR557" t="str">
        <f t="shared" si="16"/>
        <v>60604267.SPMINAM</v>
      </c>
      <c r="AS557">
        <f t="shared" si="17"/>
        <v>22630.16</v>
      </c>
      <c r="AT557" t="s">
        <v>82</v>
      </c>
    </row>
    <row r="558" spans="1:46" x14ac:dyDescent="0.35">
      <c r="A558" t="s">
        <v>52</v>
      </c>
      <c r="B558" t="s">
        <v>53</v>
      </c>
      <c r="C558" t="s">
        <v>54</v>
      </c>
      <c r="D558" t="s">
        <v>55</v>
      </c>
      <c r="E558" t="s">
        <v>56</v>
      </c>
      <c r="F558" t="s">
        <v>1943</v>
      </c>
      <c r="G558" t="s">
        <v>56</v>
      </c>
      <c r="H558" t="s">
        <v>56</v>
      </c>
      <c r="I558" t="s">
        <v>1944</v>
      </c>
      <c r="J558" t="s">
        <v>61</v>
      </c>
      <c r="K558" t="s">
        <v>62</v>
      </c>
      <c r="L558" t="s">
        <v>56</v>
      </c>
      <c r="M558" t="s">
        <v>56</v>
      </c>
      <c r="N558" t="s">
        <v>56</v>
      </c>
      <c r="O558" t="s">
        <v>406</v>
      </c>
      <c r="P558" t="s">
        <v>407</v>
      </c>
      <c r="Q558" t="s">
        <v>87</v>
      </c>
      <c r="R558" t="s">
        <v>88</v>
      </c>
      <c r="T558">
        <v>1004.11</v>
      </c>
      <c r="U558" t="s">
        <v>68</v>
      </c>
      <c r="V558" t="s">
        <v>1945</v>
      </c>
      <c r="W558" s="9">
        <v>60604203</v>
      </c>
      <c r="X558" t="s">
        <v>1946</v>
      </c>
      <c r="Y558" s="1">
        <v>45945</v>
      </c>
      <c r="Z558" s="1">
        <v>45945</v>
      </c>
      <c r="AA558" s="2">
        <v>-312853</v>
      </c>
      <c r="AB558" s="2">
        <v>-312853</v>
      </c>
      <c r="AC558" s="2">
        <v>0</v>
      </c>
      <c r="AD558" s="2">
        <v>-1004.11</v>
      </c>
      <c r="AE558" t="s">
        <v>1946</v>
      </c>
      <c r="AF558" t="s">
        <v>72</v>
      </c>
      <c r="AG558">
        <v>133</v>
      </c>
      <c r="AH558" t="s">
        <v>91</v>
      </c>
      <c r="AI558" t="s">
        <v>74</v>
      </c>
      <c r="AJ558" t="s">
        <v>75</v>
      </c>
      <c r="AK558" t="s">
        <v>76</v>
      </c>
      <c r="AL558" t="s">
        <v>77</v>
      </c>
      <c r="AM558" t="s">
        <v>78</v>
      </c>
      <c r="AN558" t="s">
        <v>104</v>
      </c>
      <c r="AO558" t="s">
        <v>80</v>
      </c>
      <c r="AP558" t="e">
        <v>#N/A</v>
      </c>
      <c r="AQ558" t="s">
        <v>81</v>
      </c>
      <c r="AR558" t="str">
        <f t="shared" si="16"/>
        <v>60604203.STATAM</v>
      </c>
      <c r="AS558">
        <f t="shared" si="17"/>
        <v>-1004.11</v>
      </c>
      <c r="AT558" t="s">
        <v>93</v>
      </c>
    </row>
    <row r="559" spans="1:46" x14ac:dyDescent="0.35">
      <c r="A559" t="s">
        <v>52</v>
      </c>
      <c r="B559" t="s">
        <v>53</v>
      </c>
      <c r="C559" t="s">
        <v>54</v>
      </c>
      <c r="D559" t="s">
        <v>55</v>
      </c>
      <c r="E559" t="s">
        <v>56</v>
      </c>
      <c r="F559" t="s">
        <v>1947</v>
      </c>
      <c r="G559" t="s">
        <v>1948</v>
      </c>
      <c r="H559" t="s">
        <v>56</v>
      </c>
      <c r="I559" t="s">
        <v>1949</v>
      </c>
      <c r="J559" t="s">
        <v>476</v>
      </c>
      <c r="K559" t="s">
        <v>640</v>
      </c>
      <c r="L559" t="s">
        <v>56</v>
      </c>
      <c r="M559" t="s">
        <v>56</v>
      </c>
      <c r="N559" t="s">
        <v>244</v>
      </c>
      <c r="O559" t="s">
        <v>1950</v>
      </c>
      <c r="P559" t="s">
        <v>1951</v>
      </c>
      <c r="Q559" t="s">
        <v>641</v>
      </c>
      <c r="R559" t="s">
        <v>248</v>
      </c>
      <c r="S559">
        <v>8000000</v>
      </c>
      <c r="T559">
        <v>-5391770.46</v>
      </c>
      <c r="U559" t="s">
        <v>68</v>
      </c>
      <c r="V559" t="s">
        <v>1952</v>
      </c>
      <c r="W559" s="9">
        <v>60602386</v>
      </c>
      <c r="X559" t="s">
        <v>1953</v>
      </c>
      <c r="Y559" s="1">
        <v>46010</v>
      </c>
      <c r="Z559" s="1">
        <v>46070</v>
      </c>
      <c r="AA559" s="2">
        <v>240662.18</v>
      </c>
      <c r="AB559" s="2">
        <v>203951</v>
      </c>
      <c r="AC559" s="2">
        <v>36711.18</v>
      </c>
      <c r="AD559" s="2">
        <v>240662.18</v>
      </c>
      <c r="AE559" t="s">
        <v>1954</v>
      </c>
      <c r="AF559" t="s">
        <v>72</v>
      </c>
      <c r="AG559">
        <v>8</v>
      </c>
      <c r="AH559" t="s">
        <v>73</v>
      </c>
      <c r="AI559" t="s">
        <v>74</v>
      </c>
      <c r="AJ559" t="s">
        <v>75</v>
      </c>
      <c r="AK559" t="s">
        <v>76</v>
      </c>
      <c r="AL559" t="s">
        <v>77</v>
      </c>
      <c r="AM559" t="s">
        <v>78</v>
      </c>
      <c r="AN559" t="s">
        <v>979</v>
      </c>
      <c r="AO559" t="s">
        <v>80</v>
      </c>
      <c r="AP559" t="s">
        <v>46</v>
      </c>
      <c r="AQ559" t="s">
        <v>81</v>
      </c>
      <c r="AR559" t="str">
        <f t="shared" si="16"/>
        <v>60602386.STATAM</v>
      </c>
      <c r="AS559">
        <f t="shared" si="17"/>
        <v>11383038.910000008</v>
      </c>
      <c r="AT559" t="s">
        <v>82</v>
      </c>
    </row>
    <row r="560" spans="1:46" x14ac:dyDescent="0.35">
      <c r="A560" t="s">
        <v>52</v>
      </c>
      <c r="B560" t="s">
        <v>53</v>
      </c>
      <c r="C560" t="s">
        <v>54</v>
      </c>
      <c r="D560" t="s">
        <v>55</v>
      </c>
      <c r="E560" t="s">
        <v>56</v>
      </c>
      <c r="F560" t="s">
        <v>1947</v>
      </c>
      <c r="G560" t="s">
        <v>1955</v>
      </c>
      <c r="H560" t="s">
        <v>56</v>
      </c>
      <c r="I560" t="s">
        <v>1956</v>
      </c>
      <c r="J560" t="s">
        <v>61</v>
      </c>
      <c r="K560" t="s">
        <v>640</v>
      </c>
      <c r="L560" t="s">
        <v>56</v>
      </c>
      <c r="M560" t="s">
        <v>56</v>
      </c>
      <c r="N560" t="s">
        <v>682</v>
      </c>
      <c r="O560" t="s">
        <v>1950</v>
      </c>
      <c r="P560" t="s">
        <v>1951</v>
      </c>
      <c r="Q560" t="s">
        <v>87</v>
      </c>
      <c r="R560" t="s">
        <v>248</v>
      </c>
      <c r="S560">
        <v>8000000</v>
      </c>
      <c r="T560">
        <v>-5391770.46</v>
      </c>
      <c r="U560" t="s">
        <v>68</v>
      </c>
      <c r="V560" t="s">
        <v>1952</v>
      </c>
      <c r="W560" s="9">
        <v>60602386</v>
      </c>
      <c r="X560" t="s">
        <v>1957</v>
      </c>
      <c r="Y560" s="1">
        <v>46010</v>
      </c>
      <c r="Z560" s="1">
        <v>46070</v>
      </c>
      <c r="AA560" s="2">
        <v>13016.3</v>
      </c>
      <c r="AB560" s="2">
        <v>11030.76</v>
      </c>
      <c r="AC560" s="2">
        <v>1985.54</v>
      </c>
      <c r="AD560" s="2">
        <v>13016.3</v>
      </c>
      <c r="AE560" t="s">
        <v>1958</v>
      </c>
      <c r="AF560" t="s">
        <v>72</v>
      </c>
      <c r="AG560">
        <v>8</v>
      </c>
      <c r="AH560" t="s">
        <v>73</v>
      </c>
      <c r="AI560" t="s">
        <v>74</v>
      </c>
      <c r="AJ560" t="s">
        <v>127</v>
      </c>
      <c r="AK560" t="s">
        <v>334</v>
      </c>
      <c r="AL560" t="s">
        <v>77</v>
      </c>
      <c r="AM560" t="s">
        <v>78</v>
      </c>
      <c r="AN560" t="s">
        <v>979</v>
      </c>
      <c r="AO560" t="s">
        <v>80</v>
      </c>
      <c r="AP560" t="s">
        <v>46</v>
      </c>
      <c r="AQ560" t="s">
        <v>335</v>
      </c>
      <c r="AR560" t="str">
        <f t="shared" si="16"/>
        <v>60602386.SPMINAM</v>
      </c>
      <c r="AS560">
        <f t="shared" si="17"/>
        <v>1015972.39</v>
      </c>
      <c r="AT560" t="s">
        <v>82</v>
      </c>
    </row>
    <row r="561" spans="1:46" x14ac:dyDescent="0.35">
      <c r="A561" t="s">
        <v>52</v>
      </c>
      <c r="B561" t="s">
        <v>53</v>
      </c>
      <c r="C561" t="s">
        <v>54</v>
      </c>
      <c r="D561" t="s">
        <v>55</v>
      </c>
      <c r="E561" t="s">
        <v>56</v>
      </c>
      <c r="F561" t="s">
        <v>1947</v>
      </c>
      <c r="G561" t="s">
        <v>1959</v>
      </c>
      <c r="H561" t="s">
        <v>56</v>
      </c>
      <c r="I561" t="s">
        <v>1960</v>
      </c>
      <c r="J561" t="s">
        <v>61</v>
      </c>
      <c r="K561" t="s">
        <v>640</v>
      </c>
      <c r="L561" t="s">
        <v>56</v>
      </c>
      <c r="M561" t="s">
        <v>56</v>
      </c>
      <c r="N561" t="s">
        <v>1384</v>
      </c>
      <c r="O561" t="s">
        <v>1950</v>
      </c>
      <c r="P561" t="s">
        <v>1951</v>
      </c>
      <c r="Q561" t="s">
        <v>87</v>
      </c>
      <c r="R561" t="s">
        <v>248</v>
      </c>
      <c r="S561">
        <v>8000000</v>
      </c>
      <c r="T561">
        <v>-5391770.46</v>
      </c>
      <c r="U561" t="s">
        <v>68</v>
      </c>
      <c r="V561" t="s">
        <v>1952</v>
      </c>
      <c r="W561" s="9">
        <v>60602386</v>
      </c>
      <c r="X561" t="s">
        <v>1961</v>
      </c>
      <c r="Y561" s="1">
        <v>46015</v>
      </c>
      <c r="Z561" s="1">
        <v>46075</v>
      </c>
      <c r="AA561" s="2">
        <v>254358.44</v>
      </c>
      <c r="AB561" s="2">
        <v>215558</v>
      </c>
      <c r="AC561" s="2">
        <v>38800.44</v>
      </c>
      <c r="AD561" s="2">
        <v>254358.44</v>
      </c>
      <c r="AE561" t="s">
        <v>1962</v>
      </c>
      <c r="AF561" t="s">
        <v>72</v>
      </c>
      <c r="AG561">
        <v>3</v>
      </c>
      <c r="AH561" t="s">
        <v>73</v>
      </c>
      <c r="AI561" t="s">
        <v>74</v>
      </c>
      <c r="AJ561" t="s">
        <v>75</v>
      </c>
      <c r="AK561" t="s">
        <v>76</v>
      </c>
      <c r="AL561" t="s">
        <v>77</v>
      </c>
      <c r="AM561" t="s">
        <v>78</v>
      </c>
      <c r="AN561" t="s">
        <v>979</v>
      </c>
      <c r="AO561" t="s">
        <v>80</v>
      </c>
      <c r="AP561" t="s">
        <v>46</v>
      </c>
      <c r="AQ561" t="s">
        <v>81</v>
      </c>
      <c r="AR561" t="str">
        <f t="shared" si="16"/>
        <v>60602386.STATAM</v>
      </c>
      <c r="AS561">
        <f t="shared" si="17"/>
        <v>11383038.910000008</v>
      </c>
      <c r="AT561" t="s">
        <v>82</v>
      </c>
    </row>
    <row r="562" spans="1:46" x14ac:dyDescent="0.35">
      <c r="A562" t="s">
        <v>52</v>
      </c>
      <c r="B562" t="s">
        <v>53</v>
      </c>
      <c r="C562" t="s">
        <v>54</v>
      </c>
      <c r="D562" t="s">
        <v>55</v>
      </c>
      <c r="E562" t="s">
        <v>56</v>
      </c>
      <c r="F562" t="s">
        <v>1947</v>
      </c>
      <c r="G562" t="s">
        <v>1963</v>
      </c>
      <c r="H562" t="s">
        <v>56</v>
      </c>
      <c r="I562" t="s">
        <v>1964</v>
      </c>
      <c r="J562" t="s">
        <v>476</v>
      </c>
      <c r="K562" t="s">
        <v>640</v>
      </c>
      <c r="L562" t="s">
        <v>56</v>
      </c>
      <c r="M562" t="s">
        <v>56</v>
      </c>
      <c r="N562" t="s">
        <v>254</v>
      </c>
      <c r="O562" t="s">
        <v>1950</v>
      </c>
      <c r="P562" t="s">
        <v>1951</v>
      </c>
      <c r="Q562" t="s">
        <v>641</v>
      </c>
      <c r="R562" t="s">
        <v>248</v>
      </c>
      <c r="S562">
        <v>8000000</v>
      </c>
      <c r="T562">
        <v>-5391770.46</v>
      </c>
      <c r="U562" t="s">
        <v>68</v>
      </c>
      <c r="V562" t="s">
        <v>1952</v>
      </c>
      <c r="W562" s="9">
        <v>60602386</v>
      </c>
      <c r="X562" t="s">
        <v>1965</v>
      </c>
      <c r="Y562" s="1">
        <v>46015</v>
      </c>
      <c r="Z562" s="1">
        <v>46075</v>
      </c>
      <c r="AA562" s="2">
        <v>377795.88</v>
      </c>
      <c r="AB562" s="2">
        <v>320166</v>
      </c>
      <c r="AC562" s="2">
        <v>57629.88</v>
      </c>
      <c r="AD562" s="2">
        <v>377795.88</v>
      </c>
      <c r="AE562" t="s">
        <v>1966</v>
      </c>
      <c r="AF562" t="s">
        <v>72</v>
      </c>
      <c r="AG562">
        <v>3</v>
      </c>
      <c r="AH562" t="s">
        <v>73</v>
      </c>
      <c r="AI562" t="s">
        <v>74</v>
      </c>
      <c r="AJ562" t="s">
        <v>75</v>
      </c>
      <c r="AK562" t="s">
        <v>76</v>
      </c>
      <c r="AL562" t="s">
        <v>77</v>
      </c>
      <c r="AM562" t="s">
        <v>78</v>
      </c>
      <c r="AN562" t="s">
        <v>979</v>
      </c>
      <c r="AO562" t="s">
        <v>80</v>
      </c>
      <c r="AP562" t="s">
        <v>46</v>
      </c>
      <c r="AQ562" t="s">
        <v>81</v>
      </c>
      <c r="AR562" t="str">
        <f t="shared" si="16"/>
        <v>60602386.STATAM</v>
      </c>
      <c r="AS562">
        <f t="shared" si="17"/>
        <v>11383038.910000008</v>
      </c>
      <c r="AT562" t="s">
        <v>82</v>
      </c>
    </row>
    <row r="563" spans="1:46" x14ac:dyDescent="0.35">
      <c r="A563" t="s">
        <v>52</v>
      </c>
      <c r="B563" t="s">
        <v>53</v>
      </c>
      <c r="C563" t="s">
        <v>54</v>
      </c>
      <c r="D563" t="s">
        <v>55</v>
      </c>
      <c r="E563" t="s">
        <v>56</v>
      </c>
      <c r="F563" t="s">
        <v>1947</v>
      </c>
      <c r="G563" t="s">
        <v>1963</v>
      </c>
      <c r="H563" t="s">
        <v>56</v>
      </c>
      <c r="I563" t="s">
        <v>1964</v>
      </c>
      <c r="J563" t="s">
        <v>476</v>
      </c>
      <c r="K563" t="s">
        <v>640</v>
      </c>
      <c r="L563" t="s">
        <v>56</v>
      </c>
      <c r="M563" t="s">
        <v>56</v>
      </c>
      <c r="N563" t="s">
        <v>244</v>
      </c>
      <c r="O563" t="s">
        <v>1950</v>
      </c>
      <c r="P563" t="s">
        <v>1951</v>
      </c>
      <c r="Q563" t="s">
        <v>641</v>
      </c>
      <c r="R563" t="s">
        <v>248</v>
      </c>
      <c r="S563">
        <v>8000000</v>
      </c>
      <c r="T563">
        <v>-5391770.46</v>
      </c>
      <c r="U563" t="s">
        <v>68</v>
      </c>
      <c r="V563" t="s">
        <v>1952</v>
      </c>
      <c r="W563" s="9">
        <v>60602386</v>
      </c>
      <c r="X563" t="s">
        <v>1965</v>
      </c>
      <c r="Y563" s="1">
        <v>46015</v>
      </c>
      <c r="Z563" s="1">
        <v>46075</v>
      </c>
      <c r="AA563" s="2">
        <v>132709.88</v>
      </c>
      <c r="AB563" s="2">
        <v>112466</v>
      </c>
      <c r="AC563" s="2">
        <v>20243.88</v>
      </c>
      <c r="AD563" s="2">
        <v>132709.88</v>
      </c>
      <c r="AE563" t="s">
        <v>1967</v>
      </c>
      <c r="AF563" t="s">
        <v>72</v>
      </c>
      <c r="AG563">
        <v>3</v>
      </c>
      <c r="AH563" t="s">
        <v>73</v>
      </c>
      <c r="AI563" t="s">
        <v>74</v>
      </c>
      <c r="AJ563" t="s">
        <v>75</v>
      </c>
      <c r="AK563" t="s">
        <v>76</v>
      </c>
      <c r="AL563" t="s">
        <v>77</v>
      </c>
      <c r="AM563" t="s">
        <v>78</v>
      </c>
      <c r="AN563" t="s">
        <v>979</v>
      </c>
      <c r="AO563" t="s">
        <v>80</v>
      </c>
      <c r="AP563" t="s">
        <v>46</v>
      </c>
      <c r="AQ563" t="s">
        <v>81</v>
      </c>
      <c r="AR563" t="str">
        <f t="shared" si="16"/>
        <v>60602386.STATAM</v>
      </c>
      <c r="AS563">
        <f t="shared" si="17"/>
        <v>11383038.910000008</v>
      </c>
      <c r="AT563" t="s">
        <v>82</v>
      </c>
    </row>
    <row r="564" spans="1:46" x14ac:dyDescent="0.35">
      <c r="A564" t="s">
        <v>52</v>
      </c>
      <c r="B564" t="s">
        <v>53</v>
      </c>
      <c r="C564" t="s">
        <v>54</v>
      </c>
      <c r="D564" t="s">
        <v>55</v>
      </c>
      <c r="E564" t="s">
        <v>56</v>
      </c>
      <c r="F564" t="s">
        <v>1947</v>
      </c>
      <c r="G564" t="s">
        <v>1968</v>
      </c>
      <c r="H564" t="s">
        <v>56</v>
      </c>
      <c r="I564" t="s">
        <v>1969</v>
      </c>
      <c r="J564" t="s">
        <v>61</v>
      </c>
      <c r="K564" t="s">
        <v>640</v>
      </c>
      <c r="L564" t="s">
        <v>56</v>
      </c>
      <c r="M564" t="s">
        <v>56</v>
      </c>
      <c r="N564" t="s">
        <v>252</v>
      </c>
      <c r="O564" t="s">
        <v>1950</v>
      </c>
      <c r="P564" t="s">
        <v>1951</v>
      </c>
      <c r="Q564" t="s">
        <v>87</v>
      </c>
      <c r="R564" t="s">
        <v>248</v>
      </c>
      <c r="S564">
        <v>8000000</v>
      </c>
      <c r="T564">
        <v>-5391770.46</v>
      </c>
      <c r="U564" t="s">
        <v>68</v>
      </c>
      <c r="V564" t="s">
        <v>1952</v>
      </c>
      <c r="W564" s="9">
        <v>60602386</v>
      </c>
      <c r="X564" t="s">
        <v>1970</v>
      </c>
      <c r="Y564" s="1">
        <v>46015</v>
      </c>
      <c r="Z564" s="1">
        <v>46075</v>
      </c>
      <c r="AA564" s="2">
        <v>5075.09</v>
      </c>
      <c r="AB564" s="2">
        <v>4300.92</v>
      </c>
      <c r="AC564" s="2">
        <v>774.17</v>
      </c>
      <c r="AD564" s="2">
        <v>5075.09</v>
      </c>
      <c r="AE564" t="s">
        <v>1971</v>
      </c>
      <c r="AF564" t="s">
        <v>72</v>
      </c>
      <c r="AG564">
        <v>3</v>
      </c>
      <c r="AH564" t="s">
        <v>73</v>
      </c>
      <c r="AI564" t="s">
        <v>74</v>
      </c>
      <c r="AJ564" t="s">
        <v>75</v>
      </c>
      <c r="AK564" t="s">
        <v>76</v>
      </c>
      <c r="AL564" t="s">
        <v>77</v>
      </c>
      <c r="AM564" t="s">
        <v>78</v>
      </c>
      <c r="AN564" t="s">
        <v>979</v>
      </c>
      <c r="AO564" t="s">
        <v>80</v>
      </c>
      <c r="AP564" t="s">
        <v>46</v>
      </c>
      <c r="AQ564" t="s">
        <v>81</v>
      </c>
      <c r="AR564" t="str">
        <f t="shared" si="16"/>
        <v>60602386.STATAM</v>
      </c>
      <c r="AS564">
        <f t="shared" si="17"/>
        <v>11383038.910000008</v>
      </c>
      <c r="AT564" t="s">
        <v>82</v>
      </c>
    </row>
    <row r="565" spans="1:46" x14ac:dyDescent="0.35">
      <c r="A565" t="s">
        <v>52</v>
      </c>
      <c r="B565" t="s">
        <v>53</v>
      </c>
      <c r="C565" t="s">
        <v>54</v>
      </c>
      <c r="D565" t="s">
        <v>55</v>
      </c>
      <c r="E565" t="s">
        <v>56</v>
      </c>
      <c r="F565" t="s">
        <v>1947</v>
      </c>
      <c r="G565" t="s">
        <v>1968</v>
      </c>
      <c r="H565" t="s">
        <v>56</v>
      </c>
      <c r="I565" t="s">
        <v>1969</v>
      </c>
      <c r="J565" t="s">
        <v>61</v>
      </c>
      <c r="K565" t="s">
        <v>640</v>
      </c>
      <c r="L565" t="s">
        <v>56</v>
      </c>
      <c r="M565" t="s">
        <v>56</v>
      </c>
      <c r="N565" t="s">
        <v>682</v>
      </c>
      <c r="O565" t="s">
        <v>1950</v>
      </c>
      <c r="P565" t="s">
        <v>1951</v>
      </c>
      <c r="Q565" t="s">
        <v>87</v>
      </c>
      <c r="R565" t="s">
        <v>248</v>
      </c>
      <c r="S565">
        <v>8000000</v>
      </c>
      <c r="T565">
        <v>-5391770.46</v>
      </c>
      <c r="U565" t="s">
        <v>68</v>
      </c>
      <c r="V565" t="s">
        <v>1952</v>
      </c>
      <c r="W565" s="9">
        <v>60602386</v>
      </c>
      <c r="X565" t="s">
        <v>1970</v>
      </c>
      <c r="Y565" s="1">
        <v>46015</v>
      </c>
      <c r="Z565" s="1">
        <v>46075</v>
      </c>
      <c r="AA565" s="2">
        <v>26588.52</v>
      </c>
      <c r="AB565" s="2">
        <v>22532.639999999999</v>
      </c>
      <c r="AC565" s="2">
        <v>4055.88</v>
      </c>
      <c r="AD565" s="2">
        <v>26588.52</v>
      </c>
      <c r="AE565" t="s">
        <v>1972</v>
      </c>
      <c r="AF565" t="s">
        <v>72</v>
      </c>
      <c r="AG565">
        <v>3</v>
      </c>
      <c r="AH565" t="s">
        <v>73</v>
      </c>
      <c r="AI565" t="s">
        <v>74</v>
      </c>
      <c r="AJ565" t="s">
        <v>127</v>
      </c>
      <c r="AK565" t="s">
        <v>334</v>
      </c>
      <c r="AL565" t="s">
        <v>77</v>
      </c>
      <c r="AM565" t="s">
        <v>78</v>
      </c>
      <c r="AN565" t="s">
        <v>979</v>
      </c>
      <c r="AO565" t="s">
        <v>80</v>
      </c>
      <c r="AP565" t="s">
        <v>46</v>
      </c>
      <c r="AQ565" t="s">
        <v>335</v>
      </c>
      <c r="AR565" t="str">
        <f t="shared" si="16"/>
        <v>60602386.SPMINAM</v>
      </c>
      <c r="AS565">
        <f t="shared" si="17"/>
        <v>1015972.39</v>
      </c>
      <c r="AT565" t="s">
        <v>82</v>
      </c>
    </row>
    <row r="566" spans="1:46" x14ac:dyDescent="0.35">
      <c r="A566" t="s">
        <v>52</v>
      </c>
      <c r="B566" t="s">
        <v>53</v>
      </c>
      <c r="C566" t="s">
        <v>54</v>
      </c>
      <c r="D566" t="s">
        <v>55</v>
      </c>
      <c r="E566" t="s">
        <v>56</v>
      </c>
      <c r="F566" t="s">
        <v>1947</v>
      </c>
      <c r="G566" t="s">
        <v>1968</v>
      </c>
      <c r="H566" t="s">
        <v>56</v>
      </c>
      <c r="I566" t="s">
        <v>1969</v>
      </c>
      <c r="J566" t="s">
        <v>61</v>
      </c>
      <c r="K566" t="s">
        <v>640</v>
      </c>
      <c r="L566" t="s">
        <v>56</v>
      </c>
      <c r="M566" t="s">
        <v>56</v>
      </c>
      <c r="N566" t="s">
        <v>655</v>
      </c>
      <c r="O566" t="s">
        <v>1950</v>
      </c>
      <c r="P566" t="s">
        <v>1951</v>
      </c>
      <c r="Q566" t="s">
        <v>87</v>
      </c>
      <c r="R566" t="s">
        <v>248</v>
      </c>
      <c r="S566">
        <v>8000000</v>
      </c>
      <c r="T566">
        <v>-5391770.46</v>
      </c>
      <c r="U566" t="s">
        <v>68</v>
      </c>
      <c r="V566" t="s">
        <v>1952</v>
      </c>
      <c r="W566" s="9">
        <v>60602386</v>
      </c>
      <c r="X566" t="s">
        <v>1970</v>
      </c>
      <c r="Y566" s="1">
        <v>46015</v>
      </c>
      <c r="Z566" s="1">
        <v>46075</v>
      </c>
      <c r="AA566" s="2">
        <v>1233.3399999999999</v>
      </c>
      <c r="AB566" s="2">
        <v>1045.2</v>
      </c>
      <c r="AC566" s="2">
        <v>188.14</v>
      </c>
      <c r="AD566" s="2">
        <v>1233.3399999999999</v>
      </c>
      <c r="AE566" t="s">
        <v>1973</v>
      </c>
      <c r="AF566" t="s">
        <v>72</v>
      </c>
      <c r="AG566">
        <v>3</v>
      </c>
      <c r="AH566" t="s">
        <v>73</v>
      </c>
      <c r="AI566" t="s">
        <v>74</v>
      </c>
      <c r="AJ566" t="s">
        <v>75</v>
      </c>
      <c r="AK566" t="s">
        <v>76</v>
      </c>
      <c r="AL566" t="s">
        <v>77</v>
      </c>
      <c r="AM566" t="s">
        <v>78</v>
      </c>
      <c r="AN566" t="s">
        <v>979</v>
      </c>
      <c r="AO566" t="s">
        <v>80</v>
      </c>
      <c r="AP566" t="s">
        <v>46</v>
      </c>
      <c r="AQ566" t="s">
        <v>81</v>
      </c>
      <c r="AR566" t="str">
        <f t="shared" si="16"/>
        <v>60602386.STATAM</v>
      </c>
      <c r="AS566">
        <f t="shared" si="17"/>
        <v>11383038.910000008</v>
      </c>
      <c r="AT566" t="s">
        <v>82</v>
      </c>
    </row>
    <row r="567" spans="1:46" x14ac:dyDescent="0.35">
      <c r="A567" t="s">
        <v>52</v>
      </c>
      <c r="B567" t="s">
        <v>53</v>
      </c>
      <c r="C567" t="s">
        <v>54</v>
      </c>
      <c r="D567" t="s">
        <v>55</v>
      </c>
      <c r="E567" t="s">
        <v>56</v>
      </c>
      <c r="F567" t="s">
        <v>1947</v>
      </c>
      <c r="G567" t="s">
        <v>1974</v>
      </c>
      <c r="H567" t="s">
        <v>56</v>
      </c>
      <c r="I567" t="s">
        <v>1975</v>
      </c>
      <c r="J567" t="s">
        <v>61</v>
      </c>
      <c r="K567" t="s">
        <v>640</v>
      </c>
      <c r="L567" t="s">
        <v>56</v>
      </c>
      <c r="M567" t="s">
        <v>56</v>
      </c>
      <c r="N567" t="s">
        <v>682</v>
      </c>
      <c r="O567" t="s">
        <v>1950</v>
      </c>
      <c r="P567" t="s">
        <v>1951</v>
      </c>
      <c r="Q567" t="s">
        <v>87</v>
      </c>
      <c r="R567" t="s">
        <v>248</v>
      </c>
      <c r="S567">
        <v>8000000</v>
      </c>
      <c r="T567">
        <v>-5391770.46</v>
      </c>
      <c r="U567" t="s">
        <v>68</v>
      </c>
      <c r="V567" t="s">
        <v>1952</v>
      </c>
      <c r="W567" s="9">
        <v>60602386</v>
      </c>
      <c r="X567" t="s">
        <v>1976</v>
      </c>
      <c r="Y567" s="1">
        <v>46015</v>
      </c>
      <c r="Z567" s="1">
        <v>46075</v>
      </c>
      <c r="AA567" s="2">
        <v>4233.84</v>
      </c>
      <c r="AB567" s="2">
        <v>3588</v>
      </c>
      <c r="AC567" s="2">
        <v>645.84</v>
      </c>
      <c r="AD567" s="2">
        <v>4233.84</v>
      </c>
      <c r="AE567" t="s">
        <v>1977</v>
      </c>
      <c r="AF567" t="s">
        <v>72</v>
      </c>
      <c r="AG567">
        <v>3</v>
      </c>
      <c r="AH567" t="s">
        <v>73</v>
      </c>
      <c r="AI567" t="s">
        <v>74</v>
      </c>
      <c r="AJ567" t="s">
        <v>127</v>
      </c>
      <c r="AK567" t="s">
        <v>334</v>
      </c>
      <c r="AL567" t="s">
        <v>77</v>
      </c>
      <c r="AM567" t="s">
        <v>78</v>
      </c>
      <c r="AN567" t="s">
        <v>979</v>
      </c>
      <c r="AO567" t="s">
        <v>80</v>
      </c>
      <c r="AP567" t="s">
        <v>46</v>
      </c>
      <c r="AQ567" t="s">
        <v>335</v>
      </c>
      <c r="AR567" t="str">
        <f t="shared" si="16"/>
        <v>60602386.SPMINAM</v>
      </c>
      <c r="AS567">
        <f t="shared" si="17"/>
        <v>1015972.39</v>
      </c>
      <c r="AT567" t="s">
        <v>82</v>
      </c>
    </row>
    <row r="568" spans="1:46" x14ac:dyDescent="0.35">
      <c r="A568" t="s">
        <v>52</v>
      </c>
      <c r="B568" t="s">
        <v>53</v>
      </c>
      <c r="C568" t="s">
        <v>54</v>
      </c>
      <c r="D568" t="s">
        <v>55</v>
      </c>
      <c r="E568" t="s">
        <v>56</v>
      </c>
      <c r="F568" t="s">
        <v>1947</v>
      </c>
      <c r="G568" t="s">
        <v>1978</v>
      </c>
      <c r="H568" t="s">
        <v>56</v>
      </c>
      <c r="I568" t="s">
        <v>1979</v>
      </c>
      <c r="J568" t="s">
        <v>61</v>
      </c>
      <c r="K568" t="s">
        <v>640</v>
      </c>
      <c r="L568" t="s">
        <v>56</v>
      </c>
      <c r="M568" t="s">
        <v>56</v>
      </c>
      <c r="N568" t="s">
        <v>254</v>
      </c>
      <c r="O568" t="s">
        <v>1950</v>
      </c>
      <c r="P568" t="s">
        <v>1951</v>
      </c>
      <c r="Q568" t="s">
        <v>87</v>
      </c>
      <c r="R568" t="s">
        <v>248</v>
      </c>
      <c r="S568">
        <v>8000000</v>
      </c>
      <c r="T568">
        <v>-5391770.46</v>
      </c>
      <c r="U568" t="s">
        <v>68</v>
      </c>
      <c r="V568" t="s">
        <v>1952</v>
      </c>
      <c r="W568" s="9">
        <v>60602386</v>
      </c>
      <c r="X568" t="s">
        <v>1980</v>
      </c>
      <c r="Y568" s="1">
        <v>46017</v>
      </c>
      <c r="Z568" s="1">
        <v>46077</v>
      </c>
      <c r="AA568" s="2">
        <v>482282.52</v>
      </c>
      <c r="AB568" s="2">
        <v>408714</v>
      </c>
      <c r="AC568" s="2">
        <v>73568.52</v>
      </c>
      <c r="AD568" s="2">
        <v>482282.52</v>
      </c>
      <c r="AE568" t="s">
        <v>1981</v>
      </c>
      <c r="AF568" t="s">
        <v>72</v>
      </c>
      <c r="AG568">
        <v>1</v>
      </c>
      <c r="AH568" t="s">
        <v>73</v>
      </c>
      <c r="AI568" t="s">
        <v>74</v>
      </c>
      <c r="AJ568" t="s">
        <v>75</v>
      </c>
      <c r="AK568" t="s">
        <v>76</v>
      </c>
      <c r="AL568" t="s">
        <v>77</v>
      </c>
      <c r="AM568" t="s">
        <v>78</v>
      </c>
      <c r="AN568" t="s">
        <v>979</v>
      </c>
      <c r="AO568" t="s">
        <v>80</v>
      </c>
      <c r="AP568" t="s">
        <v>46</v>
      </c>
      <c r="AQ568" t="s">
        <v>81</v>
      </c>
      <c r="AR568" t="str">
        <f t="shared" si="16"/>
        <v>60602386.STATAM</v>
      </c>
      <c r="AS568">
        <f t="shared" si="17"/>
        <v>11383038.910000008</v>
      </c>
      <c r="AT568" t="s">
        <v>82</v>
      </c>
    </row>
    <row r="569" spans="1:46" x14ac:dyDescent="0.35">
      <c r="A569" t="s">
        <v>52</v>
      </c>
      <c r="B569" t="s">
        <v>53</v>
      </c>
      <c r="C569" t="s">
        <v>54</v>
      </c>
      <c r="D569" t="s">
        <v>55</v>
      </c>
      <c r="E569" t="s">
        <v>56</v>
      </c>
      <c r="F569" t="s">
        <v>1947</v>
      </c>
      <c r="G569" t="s">
        <v>1982</v>
      </c>
      <c r="H569" t="s">
        <v>56</v>
      </c>
      <c r="I569" t="s">
        <v>1983</v>
      </c>
      <c r="J569" t="s">
        <v>476</v>
      </c>
      <c r="K569" t="s">
        <v>640</v>
      </c>
      <c r="L569" t="s">
        <v>56</v>
      </c>
      <c r="M569" t="s">
        <v>56</v>
      </c>
      <c r="N569" t="s">
        <v>244</v>
      </c>
      <c r="O569" t="s">
        <v>1950</v>
      </c>
      <c r="P569" t="s">
        <v>1951</v>
      </c>
      <c r="Q569" t="s">
        <v>641</v>
      </c>
      <c r="R569" t="s">
        <v>248</v>
      </c>
      <c r="S569">
        <v>8000000</v>
      </c>
      <c r="T569">
        <v>-5391770.46</v>
      </c>
      <c r="U569" t="s">
        <v>68</v>
      </c>
      <c r="V569" t="s">
        <v>1952</v>
      </c>
      <c r="W569" s="9">
        <v>60602386</v>
      </c>
      <c r="X569" t="s">
        <v>1984</v>
      </c>
      <c r="Y569" s="1">
        <v>46025</v>
      </c>
      <c r="Z569" s="1">
        <v>46085</v>
      </c>
      <c r="AA569" s="2">
        <v>1104019.8</v>
      </c>
      <c r="AB569" s="2">
        <v>935610</v>
      </c>
      <c r="AC569" s="2">
        <v>168409.8</v>
      </c>
      <c r="AD569" s="2">
        <v>1104019.8</v>
      </c>
      <c r="AE569" t="s">
        <v>1985</v>
      </c>
      <c r="AF569" t="s">
        <v>72</v>
      </c>
      <c r="AG569">
        <v>-7</v>
      </c>
      <c r="AH569" t="s">
        <v>117</v>
      </c>
      <c r="AI569" t="s">
        <v>74</v>
      </c>
      <c r="AJ569" t="s">
        <v>75</v>
      </c>
      <c r="AK569" t="s">
        <v>76</v>
      </c>
      <c r="AL569" t="s">
        <v>118</v>
      </c>
      <c r="AM569" t="s">
        <v>78</v>
      </c>
      <c r="AN569" t="s">
        <v>979</v>
      </c>
      <c r="AO569" t="s">
        <v>119</v>
      </c>
      <c r="AP569" t="s">
        <v>46</v>
      </c>
      <c r="AQ569" t="s">
        <v>81</v>
      </c>
      <c r="AR569" t="str">
        <f t="shared" si="16"/>
        <v>60602386.STATAM</v>
      </c>
      <c r="AS569">
        <f t="shared" si="17"/>
        <v>11383038.910000008</v>
      </c>
      <c r="AT569" t="s">
        <v>82</v>
      </c>
    </row>
    <row r="570" spans="1:46" x14ac:dyDescent="0.35">
      <c r="A570" t="s">
        <v>52</v>
      </c>
      <c r="B570" t="s">
        <v>53</v>
      </c>
      <c r="C570" t="s">
        <v>54</v>
      </c>
      <c r="D570" t="s">
        <v>55</v>
      </c>
      <c r="E570" t="s">
        <v>56</v>
      </c>
      <c r="F570" t="s">
        <v>1947</v>
      </c>
      <c r="G570" t="s">
        <v>1955</v>
      </c>
      <c r="H570" t="s">
        <v>56</v>
      </c>
      <c r="I570" t="s">
        <v>1986</v>
      </c>
      <c r="J570" t="s">
        <v>61</v>
      </c>
      <c r="K570" t="s">
        <v>640</v>
      </c>
      <c r="L570" t="s">
        <v>56</v>
      </c>
      <c r="M570" t="s">
        <v>56</v>
      </c>
      <c r="N570" t="s">
        <v>682</v>
      </c>
      <c r="O570" t="s">
        <v>1950</v>
      </c>
      <c r="P570" t="s">
        <v>1951</v>
      </c>
      <c r="Q570" t="s">
        <v>87</v>
      </c>
      <c r="R570" t="s">
        <v>248</v>
      </c>
      <c r="S570">
        <v>8000000</v>
      </c>
      <c r="T570">
        <v>-5391770.46</v>
      </c>
      <c r="U570" t="s">
        <v>68</v>
      </c>
      <c r="V570" t="s">
        <v>1952</v>
      </c>
      <c r="W570" s="9">
        <v>60602386</v>
      </c>
      <c r="X570" t="s">
        <v>1987</v>
      </c>
      <c r="Y570" s="1">
        <v>46025</v>
      </c>
      <c r="Z570" s="1">
        <v>46085</v>
      </c>
      <c r="AA570" s="2">
        <v>8949.0499999999993</v>
      </c>
      <c r="AB570" s="2">
        <v>7583.94</v>
      </c>
      <c r="AC570" s="2">
        <v>1365.11</v>
      </c>
      <c r="AD570" s="2">
        <v>8949.0499999999993</v>
      </c>
      <c r="AE570" t="s">
        <v>1988</v>
      </c>
      <c r="AF570" t="s">
        <v>72</v>
      </c>
      <c r="AG570">
        <v>-7</v>
      </c>
      <c r="AH570" t="s">
        <v>117</v>
      </c>
      <c r="AI570" t="s">
        <v>74</v>
      </c>
      <c r="AJ570" t="s">
        <v>127</v>
      </c>
      <c r="AK570" t="s">
        <v>334</v>
      </c>
      <c r="AL570" t="s">
        <v>118</v>
      </c>
      <c r="AM570" t="s">
        <v>78</v>
      </c>
      <c r="AN570" t="s">
        <v>979</v>
      </c>
      <c r="AO570" t="s">
        <v>119</v>
      </c>
      <c r="AP570" t="s">
        <v>46</v>
      </c>
      <c r="AQ570" t="s">
        <v>335</v>
      </c>
      <c r="AR570" t="str">
        <f t="shared" si="16"/>
        <v>60602386.SPMINAM</v>
      </c>
      <c r="AS570">
        <f t="shared" si="17"/>
        <v>1015972.39</v>
      </c>
      <c r="AT570" t="s">
        <v>82</v>
      </c>
    </row>
    <row r="571" spans="1:46" x14ac:dyDescent="0.35">
      <c r="A571" t="s">
        <v>52</v>
      </c>
      <c r="B571" t="s">
        <v>53</v>
      </c>
      <c r="C571" t="s">
        <v>54</v>
      </c>
      <c r="D571" t="s">
        <v>55</v>
      </c>
      <c r="E571" t="s">
        <v>56</v>
      </c>
      <c r="F571" t="s">
        <v>1947</v>
      </c>
      <c r="G571" t="s">
        <v>1989</v>
      </c>
      <c r="H571" t="s">
        <v>56</v>
      </c>
      <c r="I571" t="s">
        <v>1990</v>
      </c>
      <c r="J571" t="s">
        <v>476</v>
      </c>
      <c r="K571" t="s">
        <v>640</v>
      </c>
      <c r="L571" t="s">
        <v>56</v>
      </c>
      <c r="M571" t="s">
        <v>56</v>
      </c>
      <c r="N571" t="s">
        <v>254</v>
      </c>
      <c r="O571" t="s">
        <v>1950</v>
      </c>
      <c r="P571" t="s">
        <v>1951</v>
      </c>
      <c r="Q571" t="s">
        <v>641</v>
      </c>
      <c r="R571" t="s">
        <v>248</v>
      </c>
      <c r="S571">
        <v>8000000</v>
      </c>
      <c r="T571">
        <v>-5391770.46</v>
      </c>
      <c r="U571" t="s">
        <v>68</v>
      </c>
      <c r="V571" t="s">
        <v>1952</v>
      </c>
      <c r="W571" s="9">
        <v>60602386</v>
      </c>
      <c r="X571" t="s">
        <v>1991</v>
      </c>
      <c r="Y571" s="1">
        <v>46025</v>
      </c>
      <c r="Z571" s="1">
        <v>46085</v>
      </c>
      <c r="AA571" s="2">
        <v>267128.40000000002</v>
      </c>
      <c r="AB571" s="2">
        <v>226380</v>
      </c>
      <c r="AC571" s="2">
        <v>40748.400000000001</v>
      </c>
      <c r="AD571" s="2">
        <v>267128.40000000002</v>
      </c>
      <c r="AE571" t="s">
        <v>1992</v>
      </c>
      <c r="AF571" t="s">
        <v>72</v>
      </c>
      <c r="AG571">
        <v>-7</v>
      </c>
      <c r="AH571" t="s">
        <v>117</v>
      </c>
      <c r="AI571" t="s">
        <v>74</v>
      </c>
      <c r="AJ571" t="s">
        <v>75</v>
      </c>
      <c r="AK571" t="s">
        <v>76</v>
      </c>
      <c r="AL571" t="s">
        <v>118</v>
      </c>
      <c r="AM571" t="s">
        <v>78</v>
      </c>
      <c r="AN571" t="s">
        <v>979</v>
      </c>
      <c r="AO571" t="s">
        <v>119</v>
      </c>
      <c r="AP571" t="s">
        <v>46</v>
      </c>
      <c r="AQ571" t="s">
        <v>81</v>
      </c>
      <c r="AR571" t="str">
        <f t="shared" si="16"/>
        <v>60602386.STATAM</v>
      </c>
      <c r="AS571">
        <f t="shared" si="17"/>
        <v>11383038.910000008</v>
      </c>
      <c r="AT571" t="s">
        <v>82</v>
      </c>
    </row>
    <row r="572" spans="1:46" x14ac:dyDescent="0.35">
      <c r="A572" t="s">
        <v>52</v>
      </c>
      <c r="B572" t="s">
        <v>53</v>
      </c>
      <c r="C572" t="s">
        <v>54</v>
      </c>
      <c r="D572" t="s">
        <v>55</v>
      </c>
      <c r="E572" t="s">
        <v>56</v>
      </c>
      <c r="F572" t="s">
        <v>1947</v>
      </c>
      <c r="G572" t="s">
        <v>1989</v>
      </c>
      <c r="H572" t="s">
        <v>56</v>
      </c>
      <c r="I572" t="s">
        <v>1990</v>
      </c>
      <c r="J572" t="s">
        <v>476</v>
      </c>
      <c r="K572" t="s">
        <v>640</v>
      </c>
      <c r="L572" t="s">
        <v>56</v>
      </c>
      <c r="M572" t="s">
        <v>56</v>
      </c>
      <c r="N572" t="s">
        <v>244</v>
      </c>
      <c r="O572" t="s">
        <v>1950</v>
      </c>
      <c r="P572" t="s">
        <v>1951</v>
      </c>
      <c r="Q572" t="s">
        <v>641</v>
      </c>
      <c r="R572" t="s">
        <v>248</v>
      </c>
      <c r="S572">
        <v>8000000</v>
      </c>
      <c r="T572">
        <v>-5391770.46</v>
      </c>
      <c r="U572" t="s">
        <v>68</v>
      </c>
      <c r="V572" t="s">
        <v>1952</v>
      </c>
      <c r="W572" s="9">
        <v>60602386</v>
      </c>
      <c r="X572" t="s">
        <v>1991</v>
      </c>
      <c r="Y572" s="1">
        <v>46025</v>
      </c>
      <c r="Z572" s="1">
        <v>46085</v>
      </c>
      <c r="AA572" s="2">
        <v>66354.94</v>
      </c>
      <c r="AB572" s="2">
        <v>56233</v>
      </c>
      <c r="AC572" s="2">
        <v>10121.94</v>
      </c>
      <c r="AD572" s="2">
        <v>66354.94</v>
      </c>
      <c r="AE572" t="s">
        <v>1993</v>
      </c>
      <c r="AF572" t="s">
        <v>72</v>
      </c>
      <c r="AG572">
        <v>-7</v>
      </c>
      <c r="AH572" t="s">
        <v>117</v>
      </c>
      <c r="AI572" t="s">
        <v>74</v>
      </c>
      <c r="AJ572" t="s">
        <v>75</v>
      </c>
      <c r="AK572" t="s">
        <v>76</v>
      </c>
      <c r="AL572" t="s">
        <v>118</v>
      </c>
      <c r="AM572" t="s">
        <v>78</v>
      </c>
      <c r="AN572" t="s">
        <v>979</v>
      </c>
      <c r="AO572" t="s">
        <v>119</v>
      </c>
      <c r="AP572" t="s">
        <v>46</v>
      </c>
      <c r="AQ572" t="s">
        <v>81</v>
      </c>
      <c r="AR572" t="str">
        <f t="shared" si="16"/>
        <v>60602386.STATAM</v>
      </c>
      <c r="AS572">
        <f t="shared" si="17"/>
        <v>11383038.910000008</v>
      </c>
      <c r="AT572" t="s">
        <v>82</v>
      </c>
    </row>
    <row r="573" spans="1:46" x14ac:dyDescent="0.35">
      <c r="A573" t="s">
        <v>52</v>
      </c>
      <c r="B573" t="s">
        <v>53</v>
      </c>
      <c r="C573" t="s">
        <v>54</v>
      </c>
      <c r="D573" t="s">
        <v>55</v>
      </c>
      <c r="E573" t="s">
        <v>56</v>
      </c>
      <c r="F573" t="s">
        <v>1947</v>
      </c>
      <c r="G573" t="s">
        <v>1989</v>
      </c>
      <c r="H573" t="s">
        <v>56</v>
      </c>
      <c r="I573" t="s">
        <v>1990</v>
      </c>
      <c r="J573" t="s">
        <v>476</v>
      </c>
      <c r="K573" t="s">
        <v>640</v>
      </c>
      <c r="L573" t="s">
        <v>56</v>
      </c>
      <c r="M573" t="s">
        <v>56</v>
      </c>
      <c r="N573" t="s">
        <v>263</v>
      </c>
      <c r="O573" t="s">
        <v>1950</v>
      </c>
      <c r="P573" t="s">
        <v>1951</v>
      </c>
      <c r="Q573" t="s">
        <v>641</v>
      </c>
      <c r="R573" t="s">
        <v>248</v>
      </c>
      <c r="S573">
        <v>8000000</v>
      </c>
      <c r="T573">
        <v>-5391770.46</v>
      </c>
      <c r="U573" t="s">
        <v>68</v>
      </c>
      <c r="V573" t="s">
        <v>1952</v>
      </c>
      <c r="W573" s="9">
        <v>60602386</v>
      </c>
      <c r="X573" t="s">
        <v>1991</v>
      </c>
      <c r="Y573" s="1">
        <v>46025</v>
      </c>
      <c r="Z573" s="1">
        <v>46085</v>
      </c>
      <c r="AA573" s="2">
        <v>218049.84</v>
      </c>
      <c r="AB573" s="2">
        <v>184788</v>
      </c>
      <c r="AC573" s="2">
        <v>33261.839999999997</v>
      </c>
      <c r="AD573" s="2">
        <v>218049.84</v>
      </c>
      <c r="AE573" t="s">
        <v>1994</v>
      </c>
      <c r="AF573" t="s">
        <v>72</v>
      </c>
      <c r="AG573">
        <v>-7</v>
      </c>
      <c r="AH573" t="s">
        <v>117</v>
      </c>
      <c r="AI573" t="s">
        <v>74</v>
      </c>
      <c r="AJ573" t="s">
        <v>75</v>
      </c>
      <c r="AK573" t="s">
        <v>76</v>
      </c>
      <c r="AL573" t="s">
        <v>118</v>
      </c>
      <c r="AM573" t="s">
        <v>78</v>
      </c>
      <c r="AN573" t="s">
        <v>979</v>
      </c>
      <c r="AO573" t="s">
        <v>119</v>
      </c>
      <c r="AP573" t="s">
        <v>46</v>
      </c>
      <c r="AQ573" t="s">
        <v>81</v>
      </c>
      <c r="AR573" t="str">
        <f t="shared" si="16"/>
        <v>60602386.STATAM</v>
      </c>
      <c r="AS573">
        <f t="shared" si="17"/>
        <v>11383038.910000008</v>
      </c>
      <c r="AT573" t="s">
        <v>82</v>
      </c>
    </row>
    <row r="574" spans="1:46" x14ac:dyDescent="0.35">
      <c r="A574" t="s">
        <v>52</v>
      </c>
      <c r="B574" t="s">
        <v>53</v>
      </c>
      <c r="C574" t="s">
        <v>54</v>
      </c>
      <c r="D574" t="s">
        <v>55</v>
      </c>
      <c r="E574" t="s">
        <v>56</v>
      </c>
      <c r="F574" t="s">
        <v>1947</v>
      </c>
      <c r="G574" t="s">
        <v>1995</v>
      </c>
      <c r="H574" t="s">
        <v>56</v>
      </c>
      <c r="I574" t="s">
        <v>1996</v>
      </c>
      <c r="J574" t="s">
        <v>61</v>
      </c>
      <c r="K574" t="s">
        <v>640</v>
      </c>
      <c r="L574" t="s">
        <v>56</v>
      </c>
      <c r="M574" t="s">
        <v>56</v>
      </c>
      <c r="N574" t="s">
        <v>261</v>
      </c>
      <c r="O574" t="s">
        <v>1950</v>
      </c>
      <c r="P574" t="s">
        <v>1951</v>
      </c>
      <c r="Q574" t="s">
        <v>87</v>
      </c>
      <c r="R574" t="s">
        <v>248</v>
      </c>
      <c r="S574">
        <v>8000000</v>
      </c>
      <c r="T574">
        <v>-5391770.46</v>
      </c>
      <c r="U574" t="s">
        <v>68</v>
      </c>
      <c r="V574" t="s">
        <v>1952</v>
      </c>
      <c r="W574" s="9">
        <v>60602386</v>
      </c>
      <c r="X574" t="s">
        <v>1997</v>
      </c>
      <c r="Y574" s="1">
        <v>46025</v>
      </c>
      <c r="Z574" s="1">
        <v>46085</v>
      </c>
      <c r="AA574" s="2">
        <v>12354.53</v>
      </c>
      <c r="AB574" s="2">
        <v>10469.94</v>
      </c>
      <c r="AC574" s="2">
        <v>1884.59</v>
      </c>
      <c r="AD574" s="2">
        <v>12354.53</v>
      </c>
      <c r="AE574" t="s">
        <v>1998</v>
      </c>
      <c r="AF574" t="s">
        <v>72</v>
      </c>
      <c r="AG574">
        <v>-7</v>
      </c>
      <c r="AH574" t="s">
        <v>117</v>
      </c>
      <c r="AI574" t="s">
        <v>74</v>
      </c>
      <c r="AJ574" t="s">
        <v>75</v>
      </c>
      <c r="AK574" t="s">
        <v>76</v>
      </c>
      <c r="AL574" t="s">
        <v>118</v>
      </c>
      <c r="AM574" t="s">
        <v>78</v>
      </c>
      <c r="AN574" t="s">
        <v>979</v>
      </c>
      <c r="AO574" t="s">
        <v>119</v>
      </c>
      <c r="AP574" t="s">
        <v>46</v>
      </c>
      <c r="AQ574" t="s">
        <v>81</v>
      </c>
      <c r="AR574" t="str">
        <f t="shared" si="16"/>
        <v>60602386.STATAM</v>
      </c>
      <c r="AS574">
        <f t="shared" si="17"/>
        <v>11383038.910000008</v>
      </c>
      <c r="AT574" t="s">
        <v>82</v>
      </c>
    </row>
    <row r="575" spans="1:46" x14ac:dyDescent="0.35">
      <c r="A575" t="s">
        <v>52</v>
      </c>
      <c r="B575" t="s">
        <v>53</v>
      </c>
      <c r="C575" t="s">
        <v>54</v>
      </c>
      <c r="D575" t="s">
        <v>55</v>
      </c>
      <c r="E575" t="s">
        <v>56</v>
      </c>
      <c r="F575" t="s">
        <v>1947</v>
      </c>
      <c r="G575" t="s">
        <v>1968</v>
      </c>
      <c r="H575" t="s">
        <v>56</v>
      </c>
      <c r="I575" t="s">
        <v>1999</v>
      </c>
      <c r="J575" t="s">
        <v>61</v>
      </c>
      <c r="K575" t="s">
        <v>640</v>
      </c>
      <c r="L575" t="s">
        <v>56</v>
      </c>
      <c r="M575" t="s">
        <v>56</v>
      </c>
      <c r="N575" t="s">
        <v>1384</v>
      </c>
      <c r="O575" t="s">
        <v>1950</v>
      </c>
      <c r="P575" t="s">
        <v>1951</v>
      </c>
      <c r="Q575" t="s">
        <v>87</v>
      </c>
      <c r="R575" t="s">
        <v>248</v>
      </c>
      <c r="S575">
        <v>8000000</v>
      </c>
      <c r="T575">
        <v>-5391770.46</v>
      </c>
      <c r="U575" t="s">
        <v>68</v>
      </c>
      <c r="V575" t="s">
        <v>1952</v>
      </c>
      <c r="W575" s="9">
        <v>60602386</v>
      </c>
      <c r="X575" t="s">
        <v>2000</v>
      </c>
      <c r="Y575" s="1">
        <v>46025</v>
      </c>
      <c r="Z575" s="1">
        <v>46085</v>
      </c>
      <c r="AA575" s="2">
        <v>657.17</v>
      </c>
      <c r="AB575" s="2">
        <v>556.91999999999996</v>
      </c>
      <c r="AC575" s="2">
        <v>100.25</v>
      </c>
      <c r="AD575" s="2">
        <v>657.17</v>
      </c>
      <c r="AE575" t="s">
        <v>2001</v>
      </c>
      <c r="AF575" t="s">
        <v>72</v>
      </c>
      <c r="AG575">
        <v>-7</v>
      </c>
      <c r="AH575" t="s">
        <v>117</v>
      </c>
      <c r="AI575" t="s">
        <v>74</v>
      </c>
      <c r="AJ575" t="s">
        <v>75</v>
      </c>
      <c r="AK575" t="s">
        <v>76</v>
      </c>
      <c r="AL575" t="s">
        <v>118</v>
      </c>
      <c r="AM575" t="s">
        <v>78</v>
      </c>
      <c r="AN575" t="s">
        <v>979</v>
      </c>
      <c r="AO575" t="s">
        <v>119</v>
      </c>
      <c r="AP575" t="s">
        <v>46</v>
      </c>
      <c r="AQ575" t="s">
        <v>81</v>
      </c>
      <c r="AR575" t="str">
        <f t="shared" si="16"/>
        <v>60602386.STATAM</v>
      </c>
      <c r="AS575">
        <f t="shared" si="17"/>
        <v>11383038.910000008</v>
      </c>
      <c r="AT575" t="s">
        <v>82</v>
      </c>
    </row>
    <row r="576" spans="1:46" x14ac:dyDescent="0.35">
      <c r="A576" t="s">
        <v>52</v>
      </c>
      <c r="B576" t="s">
        <v>53</v>
      </c>
      <c r="C576" t="s">
        <v>54</v>
      </c>
      <c r="D576" t="s">
        <v>55</v>
      </c>
      <c r="E576" t="s">
        <v>56</v>
      </c>
      <c r="F576" t="s">
        <v>1947</v>
      </c>
      <c r="G576" t="s">
        <v>2002</v>
      </c>
      <c r="H576" t="s">
        <v>59</v>
      </c>
      <c r="I576" t="s">
        <v>2003</v>
      </c>
      <c r="J576" t="s">
        <v>61</v>
      </c>
      <c r="K576" t="s">
        <v>640</v>
      </c>
      <c r="L576" t="s">
        <v>56</v>
      </c>
      <c r="M576" t="s">
        <v>56</v>
      </c>
      <c r="N576" t="s">
        <v>63</v>
      </c>
      <c r="O576" t="s">
        <v>1950</v>
      </c>
      <c r="P576" t="s">
        <v>1951</v>
      </c>
      <c r="Q576" t="s">
        <v>2004</v>
      </c>
      <c r="R576" t="s">
        <v>248</v>
      </c>
      <c r="S576">
        <v>8000000</v>
      </c>
      <c r="T576">
        <v>-5391770.46</v>
      </c>
      <c r="U576" t="s">
        <v>68</v>
      </c>
      <c r="V576" t="s">
        <v>1952</v>
      </c>
      <c r="W576" s="9">
        <v>60602386</v>
      </c>
      <c r="X576" t="s">
        <v>2005</v>
      </c>
      <c r="Y576" s="1">
        <v>46037</v>
      </c>
      <c r="Z576" s="1">
        <v>46097</v>
      </c>
      <c r="AA576" s="2">
        <v>113398</v>
      </c>
      <c r="AB576" s="2">
        <v>96100</v>
      </c>
      <c r="AC576" s="2">
        <v>17298</v>
      </c>
      <c r="AD576" s="2">
        <v>113398</v>
      </c>
      <c r="AE576" t="s">
        <v>2006</v>
      </c>
      <c r="AF576" t="s">
        <v>72</v>
      </c>
      <c r="AG576">
        <v>-19</v>
      </c>
      <c r="AH576" t="s">
        <v>117</v>
      </c>
      <c r="AI576" t="s">
        <v>74</v>
      </c>
      <c r="AJ576" t="s">
        <v>75</v>
      </c>
      <c r="AK576" t="s">
        <v>76</v>
      </c>
      <c r="AL576" t="s">
        <v>118</v>
      </c>
      <c r="AM576" t="s">
        <v>78</v>
      </c>
      <c r="AN576" t="s">
        <v>979</v>
      </c>
      <c r="AO576" t="s">
        <v>119</v>
      </c>
      <c r="AP576" t="s">
        <v>46</v>
      </c>
      <c r="AQ576" t="s">
        <v>81</v>
      </c>
      <c r="AR576" t="str">
        <f t="shared" si="16"/>
        <v>60602386.STATAM</v>
      </c>
      <c r="AS576">
        <f t="shared" si="17"/>
        <v>11383038.910000008</v>
      </c>
      <c r="AT576" t="s">
        <v>82</v>
      </c>
    </row>
    <row r="577" spans="1:46" x14ac:dyDescent="0.35">
      <c r="A577" t="s">
        <v>52</v>
      </c>
      <c r="B577" t="s">
        <v>53</v>
      </c>
      <c r="C577" t="s">
        <v>54</v>
      </c>
      <c r="D577" t="s">
        <v>55</v>
      </c>
      <c r="E577" t="s">
        <v>56</v>
      </c>
      <c r="F577" t="s">
        <v>1947</v>
      </c>
      <c r="G577" t="s">
        <v>2007</v>
      </c>
      <c r="H577" t="s">
        <v>56</v>
      </c>
      <c r="I577" t="s">
        <v>2008</v>
      </c>
      <c r="J577" t="s">
        <v>61</v>
      </c>
      <c r="K577" t="s">
        <v>640</v>
      </c>
      <c r="L577" t="s">
        <v>56</v>
      </c>
      <c r="M577" t="s">
        <v>56</v>
      </c>
      <c r="N577" t="s">
        <v>263</v>
      </c>
      <c r="O577" t="s">
        <v>1950</v>
      </c>
      <c r="P577" t="s">
        <v>1951</v>
      </c>
      <c r="Q577" t="s">
        <v>87</v>
      </c>
      <c r="R577" t="s">
        <v>248</v>
      </c>
      <c r="S577">
        <v>8000000</v>
      </c>
      <c r="T577">
        <v>-5391770.46</v>
      </c>
      <c r="U577" t="s">
        <v>68</v>
      </c>
      <c r="V577" t="s">
        <v>1952</v>
      </c>
      <c r="W577" s="9">
        <v>60602386</v>
      </c>
      <c r="X577" t="s">
        <v>2009</v>
      </c>
      <c r="Y577" s="1">
        <v>46042</v>
      </c>
      <c r="Z577" s="1">
        <v>46102</v>
      </c>
      <c r="AA577" s="2">
        <v>134394.04999999999</v>
      </c>
      <c r="AB577" s="2">
        <v>113893.26</v>
      </c>
      <c r="AC577" s="2">
        <v>20500.79</v>
      </c>
      <c r="AD577" s="2">
        <v>134394.04999999999</v>
      </c>
      <c r="AE577" t="s">
        <v>2010</v>
      </c>
      <c r="AF577" t="s">
        <v>72</v>
      </c>
      <c r="AG577">
        <v>-24</v>
      </c>
      <c r="AH577" t="s">
        <v>117</v>
      </c>
      <c r="AI577" t="s">
        <v>74</v>
      </c>
      <c r="AJ577" t="s">
        <v>75</v>
      </c>
      <c r="AK577" t="s">
        <v>76</v>
      </c>
      <c r="AL577" t="s">
        <v>118</v>
      </c>
      <c r="AM577" t="s">
        <v>78</v>
      </c>
      <c r="AN577" t="s">
        <v>979</v>
      </c>
      <c r="AO577" t="s">
        <v>119</v>
      </c>
      <c r="AP577" t="s">
        <v>46</v>
      </c>
      <c r="AQ577" t="s">
        <v>81</v>
      </c>
      <c r="AR577" t="str">
        <f t="shared" si="16"/>
        <v>60602386.STATAM</v>
      </c>
      <c r="AS577">
        <f t="shared" si="17"/>
        <v>11383038.910000008</v>
      </c>
      <c r="AT577" t="s">
        <v>82</v>
      </c>
    </row>
    <row r="578" spans="1:46" x14ac:dyDescent="0.35">
      <c r="A578" t="s">
        <v>52</v>
      </c>
      <c r="B578" t="s">
        <v>53</v>
      </c>
      <c r="C578" t="s">
        <v>54</v>
      </c>
      <c r="D578" t="s">
        <v>55</v>
      </c>
      <c r="E578" t="s">
        <v>56</v>
      </c>
      <c r="F578" t="s">
        <v>1947</v>
      </c>
      <c r="G578" t="s">
        <v>2011</v>
      </c>
      <c r="H578" t="s">
        <v>56</v>
      </c>
      <c r="I578" t="s">
        <v>2012</v>
      </c>
      <c r="J578" t="s">
        <v>61</v>
      </c>
      <c r="K578" t="s">
        <v>640</v>
      </c>
      <c r="L578" t="s">
        <v>56</v>
      </c>
      <c r="M578" t="s">
        <v>56</v>
      </c>
      <c r="N578" t="s">
        <v>337</v>
      </c>
      <c r="O578" t="s">
        <v>1950</v>
      </c>
      <c r="P578" t="s">
        <v>1951</v>
      </c>
      <c r="Q578" t="s">
        <v>87</v>
      </c>
      <c r="R578" t="s">
        <v>248</v>
      </c>
      <c r="S578">
        <v>8000000</v>
      </c>
      <c r="T578">
        <v>-5391770.46</v>
      </c>
      <c r="U578" t="s">
        <v>68</v>
      </c>
      <c r="V578" t="s">
        <v>1952</v>
      </c>
      <c r="W578" s="9">
        <v>60602386</v>
      </c>
      <c r="X578" t="s">
        <v>2013</v>
      </c>
      <c r="Y578" s="1">
        <v>46042</v>
      </c>
      <c r="Z578" s="1">
        <v>46102</v>
      </c>
      <c r="AA578" s="2">
        <v>161360.28</v>
      </c>
      <c r="AB578" s="2">
        <v>136746</v>
      </c>
      <c r="AC578" s="2">
        <v>24614.28</v>
      </c>
      <c r="AD578" s="2">
        <v>161360.28</v>
      </c>
      <c r="AE578" t="s">
        <v>2014</v>
      </c>
      <c r="AF578" t="s">
        <v>72</v>
      </c>
      <c r="AG578">
        <v>-24</v>
      </c>
      <c r="AH578" t="s">
        <v>117</v>
      </c>
      <c r="AI578" t="s">
        <v>74</v>
      </c>
      <c r="AJ578" t="s">
        <v>127</v>
      </c>
      <c r="AK578" t="s">
        <v>334</v>
      </c>
      <c r="AL578" t="s">
        <v>118</v>
      </c>
      <c r="AM578" t="s">
        <v>78</v>
      </c>
      <c r="AN578" t="s">
        <v>979</v>
      </c>
      <c r="AO578" t="s">
        <v>119</v>
      </c>
      <c r="AP578" t="s">
        <v>46</v>
      </c>
      <c r="AQ578" t="s">
        <v>335</v>
      </c>
      <c r="AR578" t="str">
        <f t="shared" si="16"/>
        <v>60602386.SPMINAM</v>
      </c>
      <c r="AS578">
        <f t="shared" si="17"/>
        <v>1015972.39</v>
      </c>
      <c r="AT578" t="s">
        <v>82</v>
      </c>
    </row>
    <row r="579" spans="1:46" x14ac:dyDescent="0.35">
      <c r="A579" t="s">
        <v>52</v>
      </c>
      <c r="B579" t="s">
        <v>53</v>
      </c>
      <c r="C579" t="s">
        <v>54</v>
      </c>
      <c r="D579" t="s">
        <v>55</v>
      </c>
      <c r="E579" t="s">
        <v>56</v>
      </c>
      <c r="F579" t="s">
        <v>1947</v>
      </c>
      <c r="G579" t="s">
        <v>1995</v>
      </c>
      <c r="H579" t="s">
        <v>56</v>
      </c>
      <c r="I579" t="s">
        <v>2015</v>
      </c>
      <c r="J579" t="s">
        <v>61</v>
      </c>
      <c r="K579" t="s">
        <v>640</v>
      </c>
      <c r="L579" t="s">
        <v>56</v>
      </c>
      <c r="M579" t="s">
        <v>56</v>
      </c>
      <c r="N579" t="s">
        <v>295</v>
      </c>
      <c r="O579" t="s">
        <v>1950</v>
      </c>
      <c r="P579" t="s">
        <v>1951</v>
      </c>
      <c r="Q579" t="s">
        <v>87</v>
      </c>
      <c r="R579" t="s">
        <v>248</v>
      </c>
      <c r="S579">
        <v>8000000</v>
      </c>
      <c r="T579">
        <v>-5391770.46</v>
      </c>
      <c r="U579" t="s">
        <v>68</v>
      </c>
      <c r="V579" t="s">
        <v>1952</v>
      </c>
      <c r="W579" s="9">
        <v>60602386</v>
      </c>
      <c r="X579" t="s">
        <v>2016</v>
      </c>
      <c r="Y579" s="1">
        <v>46042</v>
      </c>
      <c r="Z579" s="1">
        <v>46102</v>
      </c>
      <c r="AA579" s="2">
        <v>6654.49</v>
      </c>
      <c r="AB579" s="2">
        <v>5639.4</v>
      </c>
      <c r="AC579" s="2">
        <v>1015.09</v>
      </c>
      <c r="AD579" s="2">
        <v>6654.49</v>
      </c>
      <c r="AE579" t="s">
        <v>2017</v>
      </c>
      <c r="AF579" t="s">
        <v>72</v>
      </c>
      <c r="AG579">
        <v>-24</v>
      </c>
      <c r="AH579" t="s">
        <v>117</v>
      </c>
      <c r="AI579" t="s">
        <v>74</v>
      </c>
      <c r="AJ579" t="s">
        <v>75</v>
      </c>
      <c r="AK579" t="s">
        <v>76</v>
      </c>
      <c r="AL579" t="s">
        <v>118</v>
      </c>
      <c r="AM579" t="s">
        <v>78</v>
      </c>
      <c r="AN579" t="s">
        <v>979</v>
      </c>
      <c r="AO579" t="s">
        <v>119</v>
      </c>
      <c r="AP579" t="s">
        <v>46</v>
      </c>
      <c r="AQ579" t="s">
        <v>81</v>
      </c>
      <c r="AR579" t="str">
        <f t="shared" si="16"/>
        <v>60602386.STATAM</v>
      </c>
      <c r="AS579">
        <f t="shared" si="17"/>
        <v>11383038.910000008</v>
      </c>
      <c r="AT579" t="s">
        <v>82</v>
      </c>
    </row>
    <row r="580" spans="1:46" x14ac:dyDescent="0.35">
      <c r="A580" t="s">
        <v>52</v>
      </c>
      <c r="B580" t="s">
        <v>53</v>
      </c>
      <c r="C580" t="s">
        <v>54</v>
      </c>
      <c r="D580" t="s">
        <v>55</v>
      </c>
      <c r="E580" t="s">
        <v>56</v>
      </c>
      <c r="F580" t="s">
        <v>1947</v>
      </c>
      <c r="G580" t="s">
        <v>1995</v>
      </c>
      <c r="H580" t="s">
        <v>56</v>
      </c>
      <c r="I580" t="s">
        <v>2015</v>
      </c>
      <c r="J580" t="s">
        <v>61</v>
      </c>
      <c r="K580" t="s">
        <v>640</v>
      </c>
      <c r="L580" t="s">
        <v>56</v>
      </c>
      <c r="M580" t="s">
        <v>56</v>
      </c>
      <c r="N580" t="s">
        <v>252</v>
      </c>
      <c r="O580" t="s">
        <v>1950</v>
      </c>
      <c r="P580" t="s">
        <v>1951</v>
      </c>
      <c r="Q580" t="s">
        <v>87</v>
      </c>
      <c r="R580" t="s">
        <v>248</v>
      </c>
      <c r="S580">
        <v>8000000</v>
      </c>
      <c r="T580">
        <v>-5391770.46</v>
      </c>
      <c r="U580" t="s">
        <v>68</v>
      </c>
      <c r="V580" t="s">
        <v>1952</v>
      </c>
      <c r="W580" s="9">
        <v>60602386</v>
      </c>
      <c r="X580" t="s">
        <v>2016</v>
      </c>
      <c r="Y580" s="1">
        <v>46042</v>
      </c>
      <c r="Z580" s="1">
        <v>46102</v>
      </c>
      <c r="AA580" s="2">
        <v>4445.53</v>
      </c>
      <c r="AB580" s="2">
        <v>3767.4</v>
      </c>
      <c r="AC580" s="2">
        <v>678.13</v>
      </c>
      <c r="AD580" s="2">
        <v>4445.53</v>
      </c>
      <c r="AE580" t="s">
        <v>2018</v>
      </c>
      <c r="AF580" t="s">
        <v>72</v>
      </c>
      <c r="AG580">
        <v>-24</v>
      </c>
      <c r="AH580" t="s">
        <v>117</v>
      </c>
      <c r="AI580" t="s">
        <v>74</v>
      </c>
      <c r="AJ580" t="s">
        <v>75</v>
      </c>
      <c r="AK580" t="s">
        <v>76</v>
      </c>
      <c r="AL580" t="s">
        <v>118</v>
      </c>
      <c r="AM580" t="s">
        <v>78</v>
      </c>
      <c r="AN580" t="s">
        <v>979</v>
      </c>
      <c r="AO580" t="s">
        <v>119</v>
      </c>
      <c r="AP580" t="s">
        <v>46</v>
      </c>
      <c r="AQ580" t="s">
        <v>81</v>
      </c>
      <c r="AR580" t="str">
        <f t="shared" si="16"/>
        <v>60602386.STATAM</v>
      </c>
      <c r="AS580">
        <f t="shared" si="17"/>
        <v>11383038.910000008</v>
      </c>
      <c r="AT580" t="s">
        <v>82</v>
      </c>
    </row>
    <row r="581" spans="1:46" x14ac:dyDescent="0.35">
      <c r="A581" t="s">
        <v>52</v>
      </c>
      <c r="B581" t="s">
        <v>53</v>
      </c>
      <c r="C581" t="s">
        <v>54</v>
      </c>
      <c r="D581" t="s">
        <v>55</v>
      </c>
      <c r="E581" t="s">
        <v>56</v>
      </c>
      <c r="F581" t="s">
        <v>1947</v>
      </c>
      <c r="G581" t="s">
        <v>1995</v>
      </c>
      <c r="H581" t="s">
        <v>56</v>
      </c>
      <c r="I581" t="s">
        <v>2015</v>
      </c>
      <c r="J581" t="s">
        <v>61</v>
      </c>
      <c r="K581" t="s">
        <v>640</v>
      </c>
      <c r="L581" t="s">
        <v>56</v>
      </c>
      <c r="M581" t="s">
        <v>56</v>
      </c>
      <c r="N581" t="s">
        <v>1384</v>
      </c>
      <c r="O581" t="s">
        <v>1950</v>
      </c>
      <c r="P581" t="s">
        <v>1951</v>
      </c>
      <c r="Q581" t="s">
        <v>87</v>
      </c>
      <c r="R581" t="s">
        <v>248</v>
      </c>
      <c r="S581">
        <v>8000000</v>
      </c>
      <c r="T581">
        <v>-5391770.46</v>
      </c>
      <c r="U581" t="s">
        <v>68</v>
      </c>
      <c r="V581" t="s">
        <v>1952</v>
      </c>
      <c r="W581" s="9">
        <v>60602386</v>
      </c>
      <c r="X581" t="s">
        <v>2016</v>
      </c>
      <c r="Y581" s="1">
        <v>46042</v>
      </c>
      <c r="Z581" s="1">
        <v>46102</v>
      </c>
      <c r="AA581" s="2">
        <v>28558.17</v>
      </c>
      <c r="AB581" s="2">
        <v>24201.84</v>
      </c>
      <c r="AC581" s="2">
        <v>4356.33</v>
      </c>
      <c r="AD581" s="2">
        <v>28558.17</v>
      </c>
      <c r="AE581" t="s">
        <v>2019</v>
      </c>
      <c r="AF581" t="s">
        <v>72</v>
      </c>
      <c r="AG581">
        <v>-24</v>
      </c>
      <c r="AH581" t="s">
        <v>117</v>
      </c>
      <c r="AI581" t="s">
        <v>74</v>
      </c>
      <c r="AJ581" t="s">
        <v>75</v>
      </c>
      <c r="AK581" t="s">
        <v>76</v>
      </c>
      <c r="AL581" t="s">
        <v>118</v>
      </c>
      <c r="AM581" t="s">
        <v>78</v>
      </c>
      <c r="AN581" t="s">
        <v>979</v>
      </c>
      <c r="AO581" t="s">
        <v>119</v>
      </c>
      <c r="AP581" t="s">
        <v>46</v>
      </c>
      <c r="AQ581" t="s">
        <v>81</v>
      </c>
      <c r="AR581" t="str">
        <f t="shared" si="16"/>
        <v>60602386.STATAM</v>
      </c>
      <c r="AS581">
        <f t="shared" si="17"/>
        <v>11383038.910000008</v>
      </c>
      <c r="AT581" t="s">
        <v>82</v>
      </c>
    </row>
    <row r="582" spans="1:46" x14ac:dyDescent="0.35">
      <c r="A582" t="s">
        <v>52</v>
      </c>
      <c r="B582" t="s">
        <v>53</v>
      </c>
      <c r="C582" t="s">
        <v>54</v>
      </c>
      <c r="D582" t="s">
        <v>55</v>
      </c>
      <c r="E582" t="s">
        <v>56</v>
      </c>
      <c r="F582" t="s">
        <v>1947</v>
      </c>
      <c r="G582" t="s">
        <v>2020</v>
      </c>
      <c r="H582" t="s">
        <v>56</v>
      </c>
      <c r="I582" t="s">
        <v>2021</v>
      </c>
      <c r="J582" t="s">
        <v>61</v>
      </c>
      <c r="K582" t="s">
        <v>640</v>
      </c>
      <c r="L582" t="s">
        <v>56</v>
      </c>
      <c r="M582" t="s">
        <v>56</v>
      </c>
      <c r="N582" t="s">
        <v>682</v>
      </c>
      <c r="O582" t="s">
        <v>1950</v>
      </c>
      <c r="P582" t="s">
        <v>1951</v>
      </c>
      <c r="Q582" t="s">
        <v>87</v>
      </c>
      <c r="R582" t="s">
        <v>248</v>
      </c>
      <c r="S582">
        <v>8000000</v>
      </c>
      <c r="T582">
        <v>-5391770.46</v>
      </c>
      <c r="U582" t="s">
        <v>68</v>
      </c>
      <c r="V582" t="s">
        <v>1952</v>
      </c>
      <c r="W582" s="9">
        <v>60602386</v>
      </c>
      <c r="X582" t="s">
        <v>2022</v>
      </c>
      <c r="Y582" s="1">
        <v>46042</v>
      </c>
      <c r="Z582" s="1">
        <v>46102</v>
      </c>
      <c r="AA582" s="2">
        <v>32836.19</v>
      </c>
      <c r="AB582" s="2">
        <v>27827.279999999999</v>
      </c>
      <c r="AC582" s="2">
        <v>5008.91</v>
      </c>
      <c r="AD582" s="2">
        <v>32836.19</v>
      </c>
      <c r="AE582" t="s">
        <v>2023</v>
      </c>
      <c r="AF582" t="s">
        <v>72</v>
      </c>
      <c r="AG582">
        <v>-24</v>
      </c>
      <c r="AH582" t="s">
        <v>117</v>
      </c>
      <c r="AI582" t="s">
        <v>74</v>
      </c>
      <c r="AJ582" t="s">
        <v>127</v>
      </c>
      <c r="AK582" t="s">
        <v>334</v>
      </c>
      <c r="AL582" t="s">
        <v>118</v>
      </c>
      <c r="AM582" t="s">
        <v>78</v>
      </c>
      <c r="AN582" t="s">
        <v>979</v>
      </c>
      <c r="AO582" t="s">
        <v>119</v>
      </c>
      <c r="AP582" t="s">
        <v>46</v>
      </c>
      <c r="AQ582" t="s">
        <v>335</v>
      </c>
      <c r="AR582" t="str">
        <f t="shared" si="16"/>
        <v>60602386.SPMINAM</v>
      </c>
      <c r="AS582">
        <f t="shared" si="17"/>
        <v>1015972.39</v>
      </c>
      <c r="AT582" t="s">
        <v>82</v>
      </c>
    </row>
    <row r="583" spans="1:46" x14ac:dyDescent="0.35">
      <c r="A583" t="s">
        <v>52</v>
      </c>
      <c r="B583" t="s">
        <v>53</v>
      </c>
      <c r="C583" t="s">
        <v>54</v>
      </c>
      <c r="D583" t="s">
        <v>55</v>
      </c>
      <c r="E583" t="s">
        <v>56</v>
      </c>
      <c r="F583" t="s">
        <v>1947</v>
      </c>
      <c r="G583" t="s">
        <v>2024</v>
      </c>
      <c r="H583" t="s">
        <v>56</v>
      </c>
      <c r="I583" t="s">
        <v>2025</v>
      </c>
      <c r="J583" t="s">
        <v>61</v>
      </c>
      <c r="K583" t="s">
        <v>640</v>
      </c>
      <c r="L583" t="s">
        <v>56</v>
      </c>
      <c r="M583" t="s">
        <v>56</v>
      </c>
      <c r="N583" t="s">
        <v>682</v>
      </c>
      <c r="O583" t="s">
        <v>1950</v>
      </c>
      <c r="P583" t="s">
        <v>1951</v>
      </c>
      <c r="Q583" t="s">
        <v>87</v>
      </c>
      <c r="R583" t="s">
        <v>248</v>
      </c>
      <c r="S583">
        <v>8000000</v>
      </c>
      <c r="T583">
        <v>-5391770.46</v>
      </c>
      <c r="U583" t="s">
        <v>68</v>
      </c>
      <c r="V583" t="s">
        <v>1952</v>
      </c>
      <c r="W583" s="9">
        <v>60602386</v>
      </c>
      <c r="X583" t="s">
        <v>2026</v>
      </c>
      <c r="Y583" s="1">
        <v>46042</v>
      </c>
      <c r="Z583" s="1">
        <v>46102</v>
      </c>
      <c r="AA583" s="2">
        <v>42842.78</v>
      </c>
      <c r="AB583" s="2">
        <v>36307.440000000002</v>
      </c>
      <c r="AC583" s="2">
        <v>6535.34</v>
      </c>
      <c r="AD583" s="2">
        <v>42842.78</v>
      </c>
      <c r="AE583" t="s">
        <v>2027</v>
      </c>
      <c r="AF583" t="s">
        <v>72</v>
      </c>
      <c r="AG583">
        <v>-24</v>
      </c>
      <c r="AH583" t="s">
        <v>117</v>
      </c>
      <c r="AI583" t="s">
        <v>74</v>
      </c>
      <c r="AJ583" t="s">
        <v>127</v>
      </c>
      <c r="AK583" t="s">
        <v>334</v>
      </c>
      <c r="AL583" t="s">
        <v>118</v>
      </c>
      <c r="AM583" t="s">
        <v>78</v>
      </c>
      <c r="AN583" t="s">
        <v>979</v>
      </c>
      <c r="AO583" t="s">
        <v>119</v>
      </c>
      <c r="AP583" t="s">
        <v>46</v>
      </c>
      <c r="AQ583" t="s">
        <v>335</v>
      </c>
      <c r="AR583" t="str">
        <f t="shared" si="16"/>
        <v>60602386.SPMINAM</v>
      </c>
      <c r="AS583">
        <f t="shared" si="17"/>
        <v>1015972.39</v>
      </c>
      <c r="AT583" t="s">
        <v>82</v>
      </c>
    </row>
    <row r="584" spans="1:46" x14ac:dyDescent="0.35">
      <c r="A584" t="s">
        <v>52</v>
      </c>
      <c r="B584" t="s">
        <v>53</v>
      </c>
      <c r="C584" t="s">
        <v>54</v>
      </c>
      <c r="D584" t="s">
        <v>55</v>
      </c>
      <c r="E584" t="s">
        <v>56</v>
      </c>
      <c r="F584" t="s">
        <v>1947</v>
      </c>
      <c r="G584" t="s">
        <v>2028</v>
      </c>
      <c r="H584" t="s">
        <v>56</v>
      </c>
      <c r="I584" t="s">
        <v>2029</v>
      </c>
      <c r="J584" t="s">
        <v>61</v>
      </c>
      <c r="K584" t="s">
        <v>640</v>
      </c>
      <c r="L584" t="s">
        <v>56</v>
      </c>
      <c r="M584" t="s">
        <v>56</v>
      </c>
      <c r="N584" t="s">
        <v>252</v>
      </c>
      <c r="O584" t="s">
        <v>1950</v>
      </c>
      <c r="P584" t="s">
        <v>1951</v>
      </c>
      <c r="Q584" t="s">
        <v>87</v>
      </c>
      <c r="R584" t="s">
        <v>248</v>
      </c>
      <c r="S584">
        <v>8000000</v>
      </c>
      <c r="T584">
        <v>-5391770.46</v>
      </c>
      <c r="U584" t="s">
        <v>68</v>
      </c>
      <c r="V584" t="s">
        <v>1952</v>
      </c>
      <c r="W584" s="9">
        <v>60602386</v>
      </c>
      <c r="X584" t="s">
        <v>2030</v>
      </c>
      <c r="Y584" s="1">
        <v>46042</v>
      </c>
      <c r="Z584" s="1">
        <v>46102</v>
      </c>
      <c r="AA584" s="2">
        <v>28046.42</v>
      </c>
      <c r="AB584" s="2">
        <v>23768.16</v>
      </c>
      <c r="AC584" s="2">
        <v>4278.26</v>
      </c>
      <c r="AD584" s="2">
        <v>28046.42</v>
      </c>
      <c r="AE584" t="s">
        <v>2031</v>
      </c>
      <c r="AF584" t="s">
        <v>72</v>
      </c>
      <c r="AG584">
        <v>-24</v>
      </c>
      <c r="AH584" t="s">
        <v>117</v>
      </c>
      <c r="AI584" t="s">
        <v>74</v>
      </c>
      <c r="AJ584" t="s">
        <v>75</v>
      </c>
      <c r="AK584" t="s">
        <v>76</v>
      </c>
      <c r="AL584" t="s">
        <v>118</v>
      </c>
      <c r="AM584" t="s">
        <v>78</v>
      </c>
      <c r="AN584" t="s">
        <v>979</v>
      </c>
      <c r="AO584" t="s">
        <v>119</v>
      </c>
      <c r="AP584" t="s">
        <v>46</v>
      </c>
      <c r="AQ584" t="s">
        <v>81</v>
      </c>
      <c r="AR584" t="str">
        <f t="shared" ref="AR584:AR647" si="18">W584&amp;"."&amp;AQ584</f>
        <v>60602386.STATAM</v>
      </c>
      <c r="AS584">
        <f t="shared" ref="AS584:AS647" si="19">SUMIFS(AD:AD,AQ:AQ,AQ584,W:W,W584)</f>
        <v>11383038.910000008</v>
      </c>
      <c r="AT584" t="s">
        <v>82</v>
      </c>
    </row>
    <row r="585" spans="1:46" x14ac:dyDescent="0.35">
      <c r="A585" t="s">
        <v>52</v>
      </c>
      <c r="B585" t="s">
        <v>53</v>
      </c>
      <c r="C585" t="s">
        <v>54</v>
      </c>
      <c r="D585" t="s">
        <v>55</v>
      </c>
      <c r="E585" t="s">
        <v>56</v>
      </c>
      <c r="F585" t="s">
        <v>1947</v>
      </c>
      <c r="G585" t="s">
        <v>2032</v>
      </c>
      <c r="H585" t="s">
        <v>56</v>
      </c>
      <c r="I585" t="s">
        <v>2033</v>
      </c>
      <c r="J585" t="s">
        <v>61</v>
      </c>
      <c r="K585" t="s">
        <v>640</v>
      </c>
      <c r="L585" t="s">
        <v>56</v>
      </c>
      <c r="M585" t="s">
        <v>56</v>
      </c>
      <c r="N585" t="s">
        <v>682</v>
      </c>
      <c r="O585" t="s">
        <v>1950</v>
      </c>
      <c r="P585" t="s">
        <v>1951</v>
      </c>
      <c r="Q585" t="s">
        <v>87</v>
      </c>
      <c r="R585" t="s">
        <v>248</v>
      </c>
      <c r="S585">
        <v>8000000</v>
      </c>
      <c r="T585">
        <v>-5391770.46</v>
      </c>
      <c r="U585" t="s">
        <v>68</v>
      </c>
      <c r="V585" t="s">
        <v>1952</v>
      </c>
      <c r="W585" s="9">
        <v>60602386</v>
      </c>
      <c r="X585" t="s">
        <v>2034</v>
      </c>
      <c r="Y585" s="1">
        <v>46042</v>
      </c>
      <c r="Z585" s="1">
        <v>46102</v>
      </c>
      <c r="AA585" s="2">
        <v>182488.63</v>
      </c>
      <c r="AB585" s="2">
        <v>154651.38</v>
      </c>
      <c r="AC585" s="2">
        <v>27837.25</v>
      </c>
      <c r="AD585" s="2">
        <v>182488.63</v>
      </c>
      <c r="AE585" t="s">
        <v>2035</v>
      </c>
      <c r="AF585" t="s">
        <v>72</v>
      </c>
      <c r="AG585">
        <v>-24</v>
      </c>
      <c r="AH585" t="s">
        <v>117</v>
      </c>
      <c r="AI585" t="s">
        <v>74</v>
      </c>
      <c r="AJ585" t="s">
        <v>127</v>
      </c>
      <c r="AK585" t="s">
        <v>334</v>
      </c>
      <c r="AL585" t="s">
        <v>118</v>
      </c>
      <c r="AM585" t="s">
        <v>78</v>
      </c>
      <c r="AN585" t="s">
        <v>979</v>
      </c>
      <c r="AO585" t="s">
        <v>119</v>
      </c>
      <c r="AP585" t="s">
        <v>46</v>
      </c>
      <c r="AQ585" t="s">
        <v>335</v>
      </c>
      <c r="AR585" t="str">
        <f t="shared" si="18"/>
        <v>60602386.SPMINAM</v>
      </c>
      <c r="AS585">
        <f t="shared" si="19"/>
        <v>1015972.39</v>
      </c>
      <c r="AT585" t="s">
        <v>82</v>
      </c>
    </row>
    <row r="586" spans="1:46" x14ac:dyDescent="0.35">
      <c r="A586" t="s">
        <v>52</v>
      </c>
      <c r="B586" t="s">
        <v>53</v>
      </c>
      <c r="C586" t="s">
        <v>54</v>
      </c>
      <c r="D586" t="s">
        <v>55</v>
      </c>
      <c r="E586" t="s">
        <v>56</v>
      </c>
      <c r="F586" t="s">
        <v>1947</v>
      </c>
      <c r="G586" t="s">
        <v>2032</v>
      </c>
      <c r="H586" t="s">
        <v>56</v>
      </c>
      <c r="I586" t="s">
        <v>2033</v>
      </c>
      <c r="J586" t="s">
        <v>61</v>
      </c>
      <c r="K586" t="s">
        <v>640</v>
      </c>
      <c r="L586" t="s">
        <v>56</v>
      </c>
      <c r="M586" t="s">
        <v>56</v>
      </c>
      <c r="N586" t="s">
        <v>252</v>
      </c>
      <c r="O586" t="s">
        <v>1950</v>
      </c>
      <c r="P586" t="s">
        <v>1951</v>
      </c>
      <c r="Q586" t="s">
        <v>87</v>
      </c>
      <c r="R586" t="s">
        <v>248</v>
      </c>
      <c r="S586">
        <v>8000000</v>
      </c>
      <c r="T586">
        <v>-5391770.46</v>
      </c>
      <c r="U586" t="s">
        <v>68</v>
      </c>
      <c r="V586" t="s">
        <v>1952</v>
      </c>
      <c r="W586" s="9">
        <v>60602386</v>
      </c>
      <c r="X586" t="s">
        <v>2034</v>
      </c>
      <c r="Y586" s="1">
        <v>46042</v>
      </c>
      <c r="Z586" s="1">
        <v>46102</v>
      </c>
      <c r="AA586" s="2">
        <v>1587.69</v>
      </c>
      <c r="AB586" s="2">
        <v>1345.5</v>
      </c>
      <c r="AC586" s="2">
        <v>242.19</v>
      </c>
      <c r="AD586" s="2">
        <v>1587.69</v>
      </c>
      <c r="AE586" t="s">
        <v>2036</v>
      </c>
      <c r="AF586" t="s">
        <v>72</v>
      </c>
      <c r="AG586">
        <v>-24</v>
      </c>
      <c r="AH586" t="s">
        <v>117</v>
      </c>
      <c r="AI586" t="s">
        <v>74</v>
      </c>
      <c r="AJ586" t="s">
        <v>75</v>
      </c>
      <c r="AK586" t="s">
        <v>76</v>
      </c>
      <c r="AL586" t="s">
        <v>118</v>
      </c>
      <c r="AM586" t="s">
        <v>78</v>
      </c>
      <c r="AN586" t="s">
        <v>979</v>
      </c>
      <c r="AO586" t="s">
        <v>119</v>
      </c>
      <c r="AP586" t="s">
        <v>46</v>
      </c>
      <c r="AQ586" t="s">
        <v>81</v>
      </c>
      <c r="AR586" t="str">
        <f t="shared" si="18"/>
        <v>60602386.STATAM</v>
      </c>
      <c r="AS586">
        <f t="shared" si="19"/>
        <v>11383038.910000008</v>
      </c>
      <c r="AT586" t="s">
        <v>82</v>
      </c>
    </row>
    <row r="587" spans="1:46" x14ac:dyDescent="0.35">
      <c r="A587" t="s">
        <v>52</v>
      </c>
      <c r="B587" t="s">
        <v>53</v>
      </c>
      <c r="C587" t="s">
        <v>54</v>
      </c>
      <c r="D587" t="s">
        <v>55</v>
      </c>
      <c r="E587" t="s">
        <v>56</v>
      </c>
      <c r="F587" t="s">
        <v>1947</v>
      </c>
      <c r="G587" t="s">
        <v>2037</v>
      </c>
      <c r="H587" t="s">
        <v>56</v>
      </c>
      <c r="I587" t="s">
        <v>2038</v>
      </c>
      <c r="J587" t="s">
        <v>61</v>
      </c>
      <c r="K587" t="s">
        <v>640</v>
      </c>
      <c r="L587" t="s">
        <v>56</v>
      </c>
      <c r="M587" t="s">
        <v>56</v>
      </c>
      <c r="N587" t="s">
        <v>252</v>
      </c>
      <c r="O587" t="s">
        <v>1950</v>
      </c>
      <c r="P587" t="s">
        <v>1951</v>
      </c>
      <c r="Q587" t="s">
        <v>87</v>
      </c>
      <c r="R587" t="s">
        <v>248</v>
      </c>
      <c r="S587">
        <v>8000000</v>
      </c>
      <c r="T587">
        <v>-5391770.46</v>
      </c>
      <c r="U587" t="s">
        <v>68</v>
      </c>
      <c r="V587" t="s">
        <v>1952</v>
      </c>
      <c r="W587" s="9">
        <v>60602386</v>
      </c>
      <c r="X587" t="s">
        <v>2039</v>
      </c>
      <c r="Y587" s="1">
        <v>46042</v>
      </c>
      <c r="Z587" s="1">
        <v>46102</v>
      </c>
      <c r="AA587" s="2">
        <v>2667.32</v>
      </c>
      <c r="AB587" s="2">
        <v>2260.44</v>
      </c>
      <c r="AC587" s="2">
        <v>406.88</v>
      </c>
      <c r="AD587" s="2">
        <v>2667.32</v>
      </c>
      <c r="AE587" t="s">
        <v>2040</v>
      </c>
      <c r="AF587" t="s">
        <v>72</v>
      </c>
      <c r="AG587">
        <v>-24</v>
      </c>
      <c r="AH587" t="s">
        <v>117</v>
      </c>
      <c r="AI587" t="s">
        <v>74</v>
      </c>
      <c r="AJ587" t="s">
        <v>75</v>
      </c>
      <c r="AK587" t="s">
        <v>76</v>
      </c>
      <c r="AL587" t="s">
        <v>118</v>
      </c>
      <c r="AM587" t="s">
        <v>78</v>
      </c>
      <c r="AN587" t="s">
        <v>979</v>
      </c>
      <c r="AO587" t="s">
        <v>119</v>
      </c>
      <c r="AP587" t="s">
        <v>46</v>
      </c>
      <c r="AQ587" t="s">
        <v>81</v>
      </c>
      <c r="AR587" t="str">
        <f t="shared" si="18"/>
        <v>60602386.STATAM</v>
      </c>
      <c r="AS587">
        <f t="shared" si="19"/>
        <v>11383038.910000008</v>
      </c>
      <c r="AT587" t="s">
        <v>82</v>
      </c>
    </row>
    <row r="588" spans="1:46" x14ac:dyDescent="0.35">
      <c r="A588" t="s">
        <v>52</v>
      </c>
      <c r="B588" t="s">
        <v>53</v>
      </c>
      <c r="C588" t="s">
        <v>54</v>
      </c>
      <c r="D588" t="s">
        <v>55</v>
      </c>
      <c r="E588" t="s">
        <v>56</v>
      </c>
      <c r="F588" t="s">
        <v>1947</v>
      </c>
      <c r="G588" t="s">
        <v>2037</v>
      </c>
      <c r="H588" t="s">
        <v>56</v>
      </c>
      <c r="I588" t="s">
        <v>2038</v>
      </c>
      <c r="J588" t="s">
        <v>61</v>
      </c>
      <c r="K588" t="s">
        <v>640</v>
      </c>
      <c r="L588" t="s">
        <v>56</v>
      </c>
      <c r="M588" t="s">
        <v>56</v>
      </c>
      <c r="N588" t="s">
        <v>261</v>
      </c>
      <c r="O588" t="s">
        <v>1950</v>
      </c>
      <c r="P588" t="s">
        <v>1951</v>
      </c>
      <c r="Q588" t="s">
        <v>87</v>
      </c>
      <c r="R588" t="s">
        <v>248</v>
      </c>
      <c r="S588">
        <v>8000000</v>
      </c>
      <c r="T588">
        <v>-5391770.46</v>
      </c>
      <c r="U588" t="s">
        <v>68</v>
      </c>
      <c r="V588" t="s">
        <v>1952</v>
      </c>
      <c r="W588" s="9">
        <v>60602386</v>
      </c>
      <c r="X588" t="s">
        <v>2039</v>
      </c>
      <c r="Y588" s="1">
        <v>46042</v>
      </c>
      <c r="Z588" s="1">
        <v>46102</v>
      </c>
      <c r="AA588" s="2">
        <v>903.83</v>
      </c>
      <c r="AB588" s="2">
        <v>765.96</v>
      </c>
      <c r="AC588" s="2">
        <v>137.87</v>
      </c>
      <c r="AD588" s="2">
        <v>903.83</v>
      </c>
      <c r="AE588" t="s">
        <v>2041</v>
      </c>
      <c r="AF588" t="s">
        <v>72</v>
      </c>
      <c r="AG588">
        <v>-24</v>
      </c>
      <c r="AH588" t="s">
        <v>117</v>
      </c>
      <c r="AI588" t="s">
        <v>74</v>
      </c>
      <c r="AJ588" t="s">
        <v>75</v>
      </c>
      <c r="AK588" t="s">
        <v>76</v>
      </c>
      <c r="AL588" t="s">
        <v>118</v>
      </c>
      <c r="AM588" t="s">
        <v>78</v>
      </c>
      <c r="AN588" t="s">
        <v>979</v>
      </c>
      <c r="AO588" t="s">
        <v>119</v>
      </c>
      <c r="AP588" t="s">
        <v>46</v>
      </c>
      <c r="AQ588" t="s">
        <v>81</v>
      </c>
      <c r="AR588" t="str">
        <f t="shared" si="18"/>
        <v>60602386.STATAM</v>
      </c>
      <c r="AS588">
        <f t="shared" si="19"/>
        <v>11383038.910000008</v>
      </c>
      <c r="AT588" t="s">
        <v>82</v>
      </c>
    </row>
    <row r="589" spans="1:46" x14ac:dyDescent="0.35">
      <c r="A589" t="s">
        <v>52</v>
      </c>
      <c r="B589" t="s">
        <v>53</v>
      </c>
      <c r="C589" t="s">
        <v>54</v>
      </c>
      <c r="D589" t="s">
        <v>55</v>
      </c>
      <c r="E589" t="s">
        <v>56</v>
      </c>
      <c r="F589" t="s">
        <v>1947</v>
      </c>
      <c r="G589" t="s">
        <v>2042</v>
      </c>
      <c r="H589" t="s">
        <v>56</v>
      </c>
      <c r="I589" t="s">
        <v>2043</v>
      </c>
      <c r="J589" t="s">
        <v>476</v>
      </c>
      <c r="K589" t="s">
        <v>640</v>
      </c>
      <c r="L589" t="s">
        <v>56</v>
      </c>
      <c r="M589" t="s">
        <v>56</v>
      </c>
      <c r="N589" t="s">
        <v>244</v>
      </c>
      <c r="O589" t="s">
        <v>1950</v>
      </c>
      <c r="P589" t="s">
        <v>1951</v>
      </c>
      <c r="Q589" t="s">
        <v>641</v>
      </c>
      <c r="R589" t="s">
        <v>248</v>
      </c>
      <c r="S589">
        <v>8000000</v>
      </c>
      <c r="T589">
        <v>-5391770.46</v>
      </c>
      <c r="U589" t="s">
        <v>68</v>
      </c>
      <c r="V589" t="s">
        <v>1952</v>
      </c>
      <c r="W589" s="9">
        <v>60602386</v>
      </c>
      <c r="X589" t="s">
        <v>2044</v>
      </c>
      <c r="Y589" s="1">
        <v>46042</v>
      </c>
      <c r="Z589" s="1">
        <v>46102</v>
      </c>
      <c r="AA589" s="2">
        <v>791489.72</v>
      </c>
      <c r="AB589" s="2">
        <v>670754</v>
      </c>
      <c r="AC589" s="2">
        <v>120735.72</v>
      </c>
      <c r="AD589" s="2">
        <v>791489.72</v>
      </c>
      <c r="AE589" t="s">
        <v>2045</v>
      </c>
      <c r="AF589" t="s">
        <v>72</v>
      </c>
      <c r="AG589">
        <v>-24</v>
      </c>
      <c r="AH589" t="s">
        <v>117</v>
      </c>
      <c r="AI589" t="s">
        <v>74</v>
      </c>
      <c r="AJ589" t="s">
        <v>75</v>
      </c>
      <c r="AK589" t="s">
        <v>76</v>
      </c>
      <c r="AL589" t="s">
        <v>118</v>
      </c>
      <c r="AM589" t="s">
        <v>78</v>
      </c>
      <c r="AN589" t="s">
        <v>979</v>
      </c>
      <c r="AO589" t="s">
        <v>119</v>
      </c>
      <c r="AP589" t="s">
        <v>46</v>
      </c>
      <c r="AQ589" t="s">
        <v>81</v>
      </c>
      <c r="AR589" t="str">
        <f t="shared" si="18"/>
        <v>60602386.STATAM</v>
      </c>
      <c r="AS589">
        <f t="shared" si="19"/>
        <v>11383038.910000008</v>
      </c>
      <c r="AT589" t="s">
        <v>82</v>
      </c>
    </row>
    <row r="590" spans="1:46" x14ac:dyDescent="0.35">
      <c r="A590" t="s">
        <v>52</v>
      </c>
      <c r="B590" t="s">
        <v>53</v>
      </c>
      <c r="C590" t="s">
        <v>54</v>
      </c>
      <c r="D590" t="s">
        <v>55</v>
      </c>
      <c r="E590" t="s">
        <v>56</v>
      </c>
      <c r="F590" t="s">
        <v>1947</v>
      </c>
      <c r="G590" t="s">
        <v>2042</v>
      </c>
      <c r="H590" t="s">
        <v>56</v>
      </c>
      <c r="I590" t="s">
        <v>2043</v>
      </c>
      <c r="J590" t="s">
        <v>476</v>
      </c>
      <c r="K590" t="s">
        <v>640</v>
      </c>
      <c r="L590" t="s">
        <v>56</v>
      </c>
      <c r="M590" t="s">
        <v>56</v>
      </c>
      <c r="N590" t="s">
        <v>263</v>
      </c>
      <c r="O590" t="s">
        <v>1950</v>
      </c>
      <c r="P590" t="s">
        <v>1951</v>
      </c>
      <c r="Q590" t="s">
        <v>641</v>
      </c>
      <c r="R590" t="s">
        <v>248</v>
      </c>
      <c r="S590">
        <v>8000000</v>
      </c>
      <c r="T590">
        <v>-5391770.46</v>
      </c>
      <c r="U590" t="s">
        <v>68</v>
      </c>
      <c r="V590" t="s">
        <v>1952</v>
      </c>
      <c r="W590" s="9">
        <v>60602386</v>
      </c>
      <c r="X590" t="s">
        <v>2044</v>
      </c>
      <c r="Y590" s="1">
        <v>46042</v>
      </c>
      <c r="Z590" s="1">
        <v>46102</v>
      </c>
      <c r="AA590" s="2">
        <v>222413.48</v>
      </c>
      <c r="AB590" s="2">
        <v>188486</v>
      </c>
      <c r="AC590" s="2">
        <v>33927.480000000003</v>
      </c>
      <c r="AD590" s="2">
        <v>222413.48</v>
      </c>
      <c r="AE590" t="s">
        <v>2046</v>
      </c>
      <c r="AF590" t="s">
        <v>72</v>
      </c>
      <c r="AG590">
        <v>-24</v>
      </c>
      <c r="AH590" t="s">
        <v>117</v>
      </c>
      <c r="AI590" t="s">
        <v>74</v>
      </c>
      <c r="AJ590" t="s">
        <v>75</v>
      </c>
      <c r="AK590" t="s">
        <v>76</v>
      </c>
      <c r="AL590" t="s">
        <v>118</v>
      </c>
      <c r="AM590" t="s">
        <v>78</v>
      </c>
      <c r="AN590" t="s">
        <v>979</v>
      </c>
      <c r="AO590" t="s">
        <v>119</v>
      </c>
      <c r="AP590" t="s">
        <v>46</v>
      </c>
      <c r="AQ590" t="s">
        <v>81</v>
      </c>
      <c r="AR590" t="str">
        <f t="shared" si="18"/>
        <v>60602386.STATAM</v>
      </c>
      <c r="AS590">
        <f t="shared" si="19"/>
        <v>11383038.910000008</v>
      </c>
      <c r="AT590" t="s">
        <v>82</v>
      </c>
    </row>
    <row r="591" spans="1:46" x14ac:dyDescent="0.35">
      <c r="A591" t="s">
        <v>52</v>
      </c>
      <c r="B591" t="s">
        <v>53</v>
      </c>
      <c r="C591" t="s">
        <v>54</v>
      </c>
      <c r="D591" t="s">
        <v>55</v>
      </c>
      <c r="E591" t="s">
        <v>56</v>
      </c>
      <c r="F591" t="s">
        <v>1947</v>
      </c>
      <c r="G591" t="s">
        <v>2047</v>
      </c>
      <c r="H591" t="s">
        <v>56</v>
      </c>
      <c r="I591" t="s">
        <v>2048</v>
      </c>
      <c r="J591" t="s">
        <v>476</v>
      </c>
      <c r="K591" t="s">
        <v>640</v>
      </c>
      <c r="L591" t="s">
        <v>56</v>
      </c>
      <c r="M591" t="s">
        <v>56</v>
      </c>
      <c r="N591" t="s">
        <v>263</v>
      </c>
      <c r="O591" t="s">
        <v>1950</v>
      </c>
      <c r="P591" t="s">
        <v>1951</v>
      </c>
      <c r="Q591" t="s">
        <v>641</v>
      </c>
      <c r="R591" t="s">
        <v>248</v>
      </c>
      <c r="S591">
        <v>8000000</v>
      </c>
      <c r="T591">
        <v>-5391770.46</v>
      </c>
      <c r="U591" t="s">
        <v>68</v>
      </c>
      <c r="V591" t="s">
        <v>1952</v>
      </c>
      <c r="W591" s="9">
        <v>60602386</v>
      </c>
      <c r="X591" t="s">
        <v>2049</v>
      </c>
      <c r="Y591" s="1">
        <v>46042</v>
      </c>
      <c r="Z591" s="1">
        <v>46102</v>
      </c>
      <c r="AA591" s="2">
        <v>78853.5</v>
      </c>
      <c r="AB591" s="2">
        <v>66825</v>
      </c>
      <c r="AC591" s="2">
        <v>12028.5</v>
      </c>
      <c r="AD591" s="2">
        <v>78853.5</v>
      </c>
      <c r="AE591" t="s">
        <v>2050</v>
      </c>
      <c r="AF591" t="s">
        <v>72</v>
      </c>
      <c r="AG591">
        <v>-24</v>
      </c>
      <c r="AH591" t="s">
        <v>117</v>
      </c>
      <c r="AI591" t="s">
        <v>74</v>
      </c>
      <c r="AJ591" t="s">
        <v>75</v>
      </c>
      <c r="AK591" t="s">
        <v>76</v>
      </c>
      <c r="AL591" t="s">
        <v>118</v>
      </c>
      <c r="AM591" t="s">
        <v>78</v>
      </c>
      <c r="AN591" t="s">
        <v>979</v>
      </c>
      <c r="AO591" t="s">
        <v>119</v>
      </c>
      <c r="AP591" t="s">
        <v>46</v>
      </c>
      <c r="AQ591" t="s">
        <v>81</v>
      </c>
      <c r="AR591" t="str">
        <f t="shared" si="18"/>
        <v>60602386.STATAM</v>
      </c>
      <c r="AS591">
        <f t="shared" si="19"/>
        <v>11383038.910000008</v>
      </c>
      <c r="AT591" t="s">
        <v>82</v>
      </c>
    </row>
    <row r="592" spans="1:46" x14ac:dyDescent="0.35">
      <c r="A592" t="s">
        <v>52</v>
      </c>
      <c r="B592" t="s">
        <v>53</v>
      </c>
      <c r="C592" t="s">
        <v>54</v>
      </c>
      <c r="D592" t="s">
        <v>55</v>
      </c>
      <c r="E592" t="s">
        <v>56</v>
      </c>
      <c r="F592" t="s">
        <v>1947</v>
      </c>
      <c r="G592" t="s">
        <v>2051</v>
      </c>
      <c r="H592" t="s">
        <v>56</v>
      </c>
      <c r="I592" t="s">
        <v>2052</v>
      </c>
      <c r="J592" t="s">
        <v>61</v>
      </c>
      <c r="K592" t="s">
        <v>640</v>
      </c>
      <c r="L592" t="s">
        <v>56</v>
      </c>
      <c r="M592" t="s">
        <v>56</v>
      </c>
      <c r="N592" t="s">
        <v>252</v>
      </c>
      <c r="O592" t="s">
        <v>1950</v>
      </c>
      <c r="P592" t="s">
        <v>1951</v>
      </c>
      <c r="Q592" t="s">
        <v>87</v>
      </c>
      <c r="R592" t="s">
        <v>248</v>
      </c>
      <c r="S592">
        <v>8000000</v>
      </c>
      <c r="T592">
        <v>-5391770.46</v>
      </c>
      <c r="U592" t="s">
        <v>68</v>
      </c>
      <c r="V592" t="s">
        <v>1952</v>
      </c>
      <c r="W592" s="9">
        <v>60602386</v>
      </c>
      <c r="X592" t="s">
        <v>2053</v>
      </c>
      <c r="Y592" s="1">
        <v>46042</v>
      </c>
      <c r="Z592" s="1">
        <v>46102</v>
      </c>
      <c r="AA592" s="2">
        <v>3501.2</v>
      </c>
      <c r="AB592" s="2">
        <v>2967.12</v>
      </c>
      <c r="AC592" s="2">
        <v>534.08000000000004</v>
      </c>
      <c r="AD592" s="2">
        <v>3501.2</v>
      </c>
      <c r="AE592" t="s">
        <v>2054</v>
      </c>
      <c r="AF592" t="s">
        <v>72</v>
      </c>
      <c r="AG592">
        <v>-24</v>
      </c>
      <c r="AH592" t="s">
        <v>117</v>
      </c>
      <c r="AI592" t="s">
        <v>74</v>
      </c>
      <c r="AJ592" t="s">
        <v>75</v>
      </c>
      <c r="AK592" t="s">
        <v>76</v>
      </c>
      <c r="AL592" t="s">
        <v>118</v>
      </c>
      <c r="AM592" t="s">
        <v>78</v>
      </c>
      <c r="AN592" t="s">
        <v>979</v>
      </c>
      <c r="AO592" t="s">
        <v>119</v>
      </c>
      <c r="AP592" t="s">
        <v>46</v>
      </c>
      <c r="AQ592" t="s">
        <v>81</v>
      </c>
      <c r="AR592" t="str">
        <f t="shared" si="18"/>
        <v>60602386.STATAM</v>
      </c>
      <c r="AS592">
        <f t="shared" si="19"/>
        <v>11383038.910000008</v>
      </c>
      <c r="AT592" t="s">
        <v>82</v>
      </c>
    </row>
    <row r="593" spans="1:46" x14ac:dyDescent="0.35">
      <c r="A593" t="s">
        <v>52</v>
      </c>
      <c r="B593" t="s">
        <v>53</v>
      </c>
      <c r="C593" t="s">
        <v>54</v>
      </c>
      <c r="D593" t="s">
        <v>55</v>
      </c>
      <c r="E593" t="s">
        <v>56</v>
      </c>
      <c r="F593" t="s">
        <v>1947</v>
      </c>
      <c r="G593" t="s">
        <v>1968</v>
      </c>
      <c r="H593" t="s">
        <v>56</v>
      </c>
      <c r="I593" t="s">
        <v>2055</v>
      </c>
      <c r="J593" t="s">
        <v>61</v>
      </c>
      <c r="K593" t="s">
        <v>640</v>
      </c>
      <c r="L593" t="s">
        <v>56</v>
      </c>
      <c r="M593" t="s">
        <v>56</v>
      </c>
      <c r="N593" t="s">
        <v>1384</v>
      </c>
      <c r="O593" t="s">
        <v>1950</v>
      </c>
      <c r="P593" t="s">
        <v>1951</v>
      </c>
      <c r="Q593" t="s">
        <v>87</v>
      </c>
      <c r="R593" t="s">
        <v>248</v>
      </c>
      <c r="S593">
        <v>8000000</v>
      </c>
      <c r="T593">
        <v>-5391770.46</v>
      </c>
      <c r="U593" t="s">
        <v>68</v>
      </c>
      <c r="V593" t="s">
        <v>1952</v>
      </c>
      <c r="W593" s="9">
        <v>60602386</v>
      </c>
      <c r="X593" t="s">
        <v>2056</v>
      </c>
      <c r="Y593" s="1">
        <v>46042</v>
      </c>
      <c r="Z593" s="1">
        <v>46102</v>
      </c>
      <c r="AA593" s="2">
        <v>3571.15</v>
      </c>
      <c r="AB593" s="2">
        <v>3026.4</v>
      </c>
      <c r="AC593" s="2">
        <v>544.75</v>
      </c>
      <c r="AD593" s="2">
        <v>3571.15</v>
      </c>
      <c r="AE593" t="s">
        <v>2057</v>
      </c>
      <c r="AF593" t="s">
        <v>72</v>
      </c>
      <c r="AG593">
        <v>-24</v>
      </c>
      <c r="AH593" t="s">
        <v>117</v>
      </c>
      <c r="AI593" t="s">
        <v>74</v>
      </c>
      <c r="AJ593" t="s">
        <v>75</v>
      </c>
      <c r="AK593" t="s">
        <v>76</v>
      </c>
      <c r="AL593" t="s">
        <v>118</v>
      </c>
      <c r="AM593" t="s">
        <v>78</v>
      </c>
      <c r="AN593" t="s">
        <v>979</v>
      </c>
      <c r="AO593" t="s">
        <v>119</v>
      </c>
      <c r="AP593" t="s">
        <v>46</v>
      </c>
      <c r="AQ593" t="s">
        <v>81</v>
      </c>
      <c r="AR593" t="str">
        <f t="shared" si="18"/>
        <v>60602386.STATAM</v>
      </c>
      <c r="AS593">
        <f t="shared" si="19"/>
        <v>11383038.910000008</v>
      </c>
      <c r="AT593" t="s">
        <v>82</v>
      </c>
    </row>
    <row r="594" spans="1:46" x14ac:dyDescent="0.35">
      <c r="A594" t="s">
        <v>52</v>
      </c>
      <c r="B594" t="s">
        <v>53</v>
      </c>
      <c r="C594" t="s">
        <v>54</v>
      </c>
      <c r="D594" t="s">
        <v>55</v>
      </c>
      <c r="E594" t="s">
        <v>56</v>
      </c>
      <c r="F594" t="s">
        <v>1947</v>
      </c>
      <c r="G594" t="s">
        <v>1968</v>
      </c>
      <c r="H594" t="s">
        <v>56</v>
      </c>
      <c r="I594" t="s">
        <v>2055</v>
      </c>
      <c r="J594" t="s">
        <v>61</v>
      </c>
      <c r="K594" t="s">
        <v>640</v>
      </c>
      <c r="L594" t="s">
        <v>56</v>
      </c>
      <c r="M594" t="s">
        <v>56</v>
      </c>
      <c r="N594" t="s">
        <v>252</v>
      </c>
      <c r="O594" t="s">
        <v>1950</v>
      </c>
      <c r="P594" t="s">
        <v>1951</v>
      </c>
      <c r="Q594" t="s">
        <v>87</v>
      </c>
      <c r="R594" t="s">
        <v>248</v>
      </c>
      <c r="S594">
        <v>8000000</v>
      </c>
      <c r="T594">
        <v>-5391770.46</v>
      </c>
      <c r="U594" t="s">
        <v>68</v>
      </c>
      <c r="V594" t="s">
        <v>1952</v>
      </c>
      <c r="W594" s="9">
        <v>60602386</v>
      </c>
      <c r="X594" t="s">
        <v>2056</v>
      </c>
      <c r="Y594" s="1">
        <v>46042</v>
      </c>
      <c r="Z594" s="1">
        <v>46102</v>
      </c>
      <c r="AA594" s="2">
        <v>423.38</v>
      </c>
      <c r="AB594" s="2">
        <v>358.8</v>
      </c>
      <c r="AC594" s="2">
        <v>64.58</v>
      </c>
      <c r="AD594" s="2">
        <v>423.38</v>
      </c>
      <c r="AE594" t="s">
        <v>2058</v>
      </c>
      <c r="AF594" t="s">
        <v>72</v>
      </c>
      <c r="AG594">
        <v>-24</v>
      </c>
      <c r="AH594" t="s">
        <v>117</v>
      </c>
      <c r="AI594" t="s">
        <v>74</v>
      </c>
      <c r="AJ594" t="s">
        <v>75</v>
      </c>
      <c r="AK594" t="s">
        <v>76</v>
      </c>
      <c r="AL594" t="s">
        <v>118</v>
      </c>
      <c r="AM594" t="s">
        <v>78</v>
      </c>
      <c r="AN594" t="s">
        <v>979</v>
      </c>
      <c r="AO594" t="s">
        <v>119</v>
      </c>
      <c r="AP594" t="s">
        <v>46</v>
      </c>
      <c r="AQ594" t="s">
        <v>81</v>
      </c>
      <c r="AR594" t="str">
        <f t="shared" si="18"/>
        <v>60602386.STATAM</v>
      </c>
      <c r="AS594">
        <f t="shared" si="19"/>
        <v>11383038.910000008</v>
      </c>
      <c r="AT594" t="s">
        <v>82</v>
      </c>
    </row>
    <row r="595" spans="1:46" x14ac:dyDescent="0.35">
      <c r="A595" t="s">
        <v>52</v>
      </c>
      <c r="B595" t="s">
        <v>53</v>
      </c>
      <c r="C595" t="s">
        <v>54</v>
      </c>
      <c r="D595" t="s">
        <v>55</v>
      </c>
      <c r="E595" t="s">
        <v>56</v>
      </c>
      <c r="F595" t="s">
        <v>1947</v>
      </c>
      <c r="G595" t="s">
        <v>1968</v>
      </c>
      <c r="H595" t="s">
        <v>56</v>
      </c>
      <c r="I595" t="s">
        <v>2059</v>
      </c>
      <c r="J595" t="s">
        <v>61</v>
      </c>
      <c r="K595" t="s">
        <v>640</v>
      </c>
      <c r="L595" t="s">
        <v>56</v>
      </c>
      <c r="M595" t="s">
        <v>56</v>
      </c>
      <c r="N595" t="s">
        <v>252</v>
      </c>
      <c r="O595" t="s">
        <v>1950</v>
      </c>
      <c r="P595" t="s">
        <v>1951</v>
      </c>
      <c r="Q595" t="s">
        <v>87</v>
      </c>
      <c r="R595" t="s">
        <v>248</v>
      </c>
      <c r="S595">
        <v>8000000</v>
      </c>
      <c r="T595">
        <v>-5391770.46</v>
      </c>
      <c r="U595" t="s">
        <v>68</v>
      </c>
      <c r="V595" t="s">
        <v>1952</v>
      </c>
      <c r="W595" s="9">
        <v>60602386</v>
      </c>
      <c r="X595" t="s">
        <v>2060</v>
      </c>
      <c r="Y595" s="1">
        <v>46042</v>
      </c>
      <c r="Z595" s="1">
        <v>46102</v>
      </c>
      <c r="AA595" s="2">
        <v>189.6</v>
      </c>
      <c r="AB595" s="2">
        <v>160.68</v>
      </c>
      <c r="AC595" s="2">
        <v>28.92</v>
      </c>
      <c r="AD595" s="2">
        <v>189.6</v>
      </c>
      <c r="AE595" t="s">
        <v>2061</v>
      </c>
      <c r="AF595" t="s">
        <v>72</v>
      </c>
      <c r="AG595">
        <v>-24</v>
      </c>
      <c r="AH595" t="s">
        <v>117</v>
      </c>
      <c r="AI595" t="s">
        <v>74</v>
      </c>
      <c r="AJ595" t="s">
        <v>75</v>
      </c>
      <c r="AK595" t="s">
        <v>76</v>
      </c>
      <c r="AL595" t="s">
        <v>118</v>
      </c>
      <c r="AM595" t="s">
        <v>78</v>
      </c>
      <c r="AN595" t="s">
        <v>979</v>
      </c>
      <c r="AO595" t="s">
        <v>119</v>
      </c>
      <c r="AP595" t="s">
        <v>46</v>
      </c>
      <c r="AQ595" t="s">
        <v>81</v>
      </c>
      <c r="AR595" t="str">
        <f t="shared" si="18"/>
        <v>60602386.STATAM</v>
      </c>
      <c r="AS595">
        <f t="shared" si="19"/>
        <v>11383038.910000008</v>
      </c>
      <c r="AT595" t="s">
        <v>82</v>
      </c>
    </row>
    <row r="596" spans="1:46" x14ac:dyDescent="0.35">
      <c r="A596" t="s">
        <v>52</v>
      </c>
      <c r="B596" t="s">
        <v>53</v>
      </c>
      <c r="C596" t="s">
        <v>54</v>
      </c>
      <c r="D596" t="s">
        <v>55</v>
      </c>
      <c r="E596" t="s">
        <v>56</v>
      </c>
      <c r="F596" t="s">
        <v>1947</v>
      </c>
      <c r="G596" t="s">
        <v>2062</v>
      </c>
      <c r="H596" t="s">
        <v>780</v>
      </c>
      <c r="I596" t="s">
        <v>2063</v>
      </c>
      <c r="J596" t="s">
        <v>61</v>
      </c>
      <c r="K596" t="s">
        <v>640</v>
      </c>
      <c r="L596" t="s">
        <v>56</v>
      </c>
      <c r="M596" t="s">
        <v>56</v>
      </c>
      <c r="N596" t="s">
        <v>782</v>
      </c>
      <c r="O596" t="s">
        <v>1950</v>
      </c>
      <c r="P596" t="s">
        <v>1951</v>
      </c>
      <c r="Q596" t="s">
        <v>87</v>
      </c>
      <c r="R596" t="s">
        <v>248</v>
      </c>
      <c r="S596">
        <v>8000000</v>
      </c>
      <c r="T596">
        <v>-5391770.46</v>
      </c>
      <c r="U596" t="s">
        <v>68</v>
      </c>
      <c r="V596" t="s">
        <v>1952</v>
      </c>
      <c r="W596" s="9">
        <v>60602386</v>
      </c>
      <c r="X596" t="s">
        <v>2064</v>
      </c>
      <c r="Y596" s="1">
        <v>46045</v>
      </c>
      <c r="Z596" s="1">
        <v>46105</v>
      </c>
      <c r="AA596" s="2">
        <v>448400</v>
      </c>
      <c r="AB596" s="2">
        <v>380000</v>
      </c>
      <c r="AC596" s="2">
        <v>68400</v>
      </c>
      <c r="AD596" s="2">
        <v>448400</v>
      </c>
      <c r="AE596" t="s">
        <v>2065</v>
      </c>
      <c r="AF596" t="s">
        <v>72</v>
      </c>
      <c r="AG596">
        <v>-27</v>
      </c>
      <c r="AH596" t="s">
        <v>117</v>
      </c>
      <c r="AI596" t="s">
        <v>74</v>
      </c>
      <c r="AJ596" t="s">
        <v>75</v>
      </c>
      <c r="AK596" t="s">
        <v>76</v>
      </c>
      <c r="AL596" t="s">
        <v>118</v>
      </c>
      <c r="AM596" t="s">
        <v>78</v>
      </c>
      <c r="AN596" t="s">
        <v>979</v>
      </c>
      <c r="AO596" t="s">
        <v>119</v>
      </c>
      <c r="AP596" t="s">
        <v>46</v>
      </c>
      <c r="AQ596" t="s">
        <v>81</v>
      </c>
      <c r="AR596" t="str">
        <f t="shared" si="18"/>
        <v>60602386.STATAM</v>
      </c>
      <c r="AS596">
        <f t="shared" si="19"/>
        <v>11383038.910000008</v>
      </c>
      <c r="AT596" t="s">
        <v>82</v>
      </c>
    </row>
    <row r="597" spans="1:46" x14ac:dyDescent="0.35">
      <c r="A597" t="s">
        <v>52</v>
      </c>
      <c r="B597" t="s">
        <v>53</v>
      </c>
      <c r="C597" t="s">
        <v>54</v>
      </c>
      <c r="D597" t="s">
        <v>55</v>
      </c>
      <c r="E597" t="s">
        <v>56</v>
      </c>
      <c r="F597" t="s">
        <v>1947</v>
      </c>
      <c r="G597" t="s">
        <v>2066</v>
      </c>
      <c r="H597" t="s">
        <v>56</v>
      </c>
      <c r="I597" t="s">
        <v>2067</v>
      </c>
      <c r="J597" t="s">
        <v>476</v>
      </c>
      <c r="K597" t="s">
        <v>640</v>
      </c>
      <c r="L597" t="s">
        <v>56</v>
      </c>
      <c r="M597" t="s">
        <v>56</v>
      </c>
      <c r="N597" t="s">
        <v>244</v>
      </c>
      <c r="O597" t="s">
        <v>1950</v>
      </c>
      <c r="P597" t="s">
        <v>1951</v>
      </c>
      <c r="Q597" t="s">
        <v>641</v>
      </c>
      <c r="R597" t="s">
        <v>248</v>
      </c>
      <c r="S597">
        <v>8000000</v>
      </c>
      <c r="T597">
        <v>-5391770.46</v>
      </c>
      <c r="U597" t="s">
        <v>68</v>
      </c>
      <c r="V597" t="s">
        <v>1952</v>
      </c>
      <c r="W597" s="9">
        <v>60602386</v>
      </c>
      <c r="X597" t="s">
        <v>2068</v>
      </c>
      <c r="Y597" s="1">
        <v>46050</v>
      </c>
      <c r="Z597" s="1">
        <v>46110</v>
      </c>
      <c r="AA597" s="2">
        <v>148349.6</v>
      </c>
      <c r="AB597" s="2">
        <v>125720</v>
      </c>
      <c r="AC597" s="2">
        <v>22629.599999999999</v>
      </c>
      <c r="AD597" s="2">
        <v>148349.6</v>
      </c>
      <c r="AE597" t="s">
        <v>2069</v>
      </c>
      <c r="AF597" t="s">
        <v>72</v>
      </c>
      <c r="AG597">
        <v>-32</v>
      </c>
      <c r="AH597" t="s">
        <v>117</v>
      </c>
      <c r="AI597" t="s">
        <v>74</v>
      </c>
      <c r="AJ597" t="s">
        <v>75</v>
      </c>
      <c r="AK597" t="s">
        <v>76</v>
      </c>
      <c r="AL597" t="s">
        <v>118</v>
      </c>
      <c r="AM597" t="s">
        <v>78</v>
      </c>
      <c r="AN597" t="s">
        <v>979</v>
      </c>
      <c r="AO597" t="s">
        <v>119</v>
      </c>
      <c r="AP597" t="s">
        <v>46</v>
      </c>
      <c r="AQ597" t="s">
        <v>81</v>
      </c>
      <c r="AR597" t="str">
        <f t="shared" si="18"/>
        <v>60602386.STATAM</v>
      </c>
      <c r="AS597">
        <f t="shared" si="19"/>
        <v>11383038.910000008</v>
      </c>
      <c r="AT597" t="s">
        <v>82</v>
      </c>
    </row>
    <row r="598" spans="1:46" x14ac:dyDescent="0.35">
      <c r="A598" t="s">
        <v>52</v>
      </c>
      <c r="B598" t="s">
        <v>53</v>
      </c>
      <c r="C598" t="s">
        <v>54</v>
      </c>
      <c r="D598" t="s">
        <v>55</v>
      </c>
      <c r="E598" t="s">
        <v>56</v>
      </c>
      <c r="F598" t="s">
        <v>1947</v>
      </c>
      <c r="G598" t="s">
        <v>2070</v>
      </c>
      <c r="H598" t="s">
        <v>56</v>
      </c>
      <c r="I598" t="s">
        <v>2071</v>
      </c>
      <c r="J598" t="s">
        <v>476</v>
      </c>
      <c r="K598" t="s">
        <v>640</v>
      </c>
      <c r="L598" t="s">
        <v>56</v>
      </c>
      <c r="M598" t="s">
        <v>56</v>
      </c>
      <c r="N598" t="s">
        <v>254</v>
      </c>
      <c r="O598" t="s">
        <v>1950</v>
      </c>
      <c r="P598" t="s">
        <v>1951</v>
      </c>
      <c r="Q598" t="s">
        <v>641</v>
      </c>
      <c r="R598" t="s">
        <v>248</v>
      </c>
      <c r="S598">
        <v>8000000</v>
      </c>
      <c r="T598">
        <v>-5391770.46</v>
      </c>
      <c r="U598" t="s">
        <v>68</v>
      </c>
      <c r="V598" t="s">
        <v>1952</v>
      </c>
      <c r="W598" s="9">
        <v>60602386</v>
      </c>
      <c r="X598" t="s">
        <v>2072</v>
      </c>
      <c r="Y598" s="1">
        <v>46050</v>
      </c>
      <c r="Z598" s="1">
        <v>46110</v>
      </c>
      <c r="AA598" s="2">
        <v>385353.78</v>
      </c>
      <c r="AB598" s="2">
        <v>326571</v>
      </c>
      <c r="AC598" s="2">
        <v>58782.78</v>
      </c>
      <c r="AD598" s="2">
        <v>385353.78</v>
      </c>
      <c r="AE598" t="s">
        <v>2073</v>
      </c>
      <c r="AF598" t="s">
        <v>72</v>
      </c>
      <c r="AG598">
        <v>-32</v>
      </c>
      <c r="AH598" t="s">
        <v>117</v>
      </c>
      <c r="AI598" t="s">
        <v>74</v>
      </c>
      <c r="AJ598" t="s">
        <v>75</v>
      </c>
      <c r="AK598" t="s">
        <v>76</v>
      </c>
      <c r="AL598" t="s">
        <v>118</v>
      </c>
      <c r="AM598" t="s">
        <v>78</v>
      </c>
      <c r="AN598" t="s">
        <v>979</v>
      </c>
      <c r="AO598" t="s">
        <v>119</v>
      </c>
      <c r="AP598" t="s">
        <v>46</v>
      </c>
      <c r="AQ598" t="s">
        <v>81</v>
      </c>
      <c r="AR598" t="str">
        <f t="shared" si="18"/>
        <v>60602386.STATAM</v>
      </c>
      <c r="AS598">
        <f t="shared" si="19"/>
        <v>11383038.910000008</v>
      </c>
      <c r="AT598" t="s">
        <v>82</v>
      </c>
    </row>
    <row r="599" spans="1:46" x14ac:dyDescent="0.35">
      <c r="A599" t="s">
        <v>52</v>
      </c>
      <c r="B599" t="s">
        <v>53</v>
      </c>
      <c r="C599" t="s">
        <v>54</v>
      </c>
      <c r="D599" t="s">
        <v>55</v>
      </c>
      <c r="E599" t="s">
        <v>56</v>
      </c>
      <c r="F599" t="s">
        <v>1947</v>
      </c>
      <c r="G599" t="s">
        <v>2074</v>
      </c>
      <c r="H599" t="s">
        <v>56</v>
      </c>
      <c r="I599" t="s">
        <v>2075</v>
      </c>
      <c r="J599" t="s">
        <v>61</v>
      </c>
      <c r="K599" t="s">
        <v>640</v>
      </c>
      <c r="L599" t="s">
        <v>56</v>
      </c>
      <c r="M599" t="s">
        <v>56</v>
      </c>
      <c r="N599" t="s">
        <v>1727</v>
      </c>
      <c r="O599" t="s">
        <v>1950</v>
      </c>
      <c r="P599" t="s">
        <v>1951</v>
      </c>
      <c r="Q599" t="s">
        <v>87</v>
      </c>
      <c r="R599" t="s">
        <v>248</v>
      </c>
      <c r="S599">
        <v>8000000</v>
      </c>
      <c r="T599">
        <v>-5391770.46</v>
      </c>
      <c r="U599" t="s">
        <v>68</v>
      </c>
      <c r="V599" t="s">
        <v>1952</v>
      </c>
      <c r="W599" s="9">
        <v>60602386</v>
      </c>
      <c r="X599" t="s">
        <v>2076</v>
      </c>
      <c r="Y599" s="1">
        <v>46050</v>
      </c>
      <c r="Z599" s="1">
        <v>46110</v>
      </c>
      <c r="AA599" s="2">
        <v>324951.87</v>
      </c>
      <c r="AB599" s="2">
        <v>275382.94</v>
      </c>
      <c r="AC599" s="2">
        <v>49568.93</v>
      </c>
      <c r="AD599" s="2">
        <v>324951.87</v>
      </c>
      <c r="AE599" t="s">
        <v>2077</v>
      </c>
      <c r="AF599" t="s">
        <v>72</v>
      </c>
      <c r="AG599">
        <v>-32</v>
      </c>
      <c r="AH599" t="s">
        <v>117</v>
      </c>
      <c r="AI599" t="s">
        <v>74</v>
      </c>
      <c r="AJ599" t="s">
        <v>127</v>
      </c>
      <c r="AK599" t="s">
        <v>334</v>
      </c>
      <c r="AL599" t="s">
        <v>118</v>
      </c>
      <c r="AM599" t="s">
        <v>78</v>
      </c>
      <c r="AN599" t="s">
        <v>979</v>
      </c>
      <c r="AO599" t="s">
        <v>119</v>
      </c>
      <c r="AP599" t="s">
        <v>46</v>
      </c>
      <c r="AQ599" t="s">
        <v>335</v>
      </c>
      <c r="AR599" t="str">
        <f t="shared" si="18"/>
        <v>60602386.SPMINAM</v>
      </c>
      <c r="AS599">
        <f t="shared" si="19"/>
        <v>1015972.39</v>
      </c>
      <c r="AT599" t="s">
        <v>82</v>
      </c>
    </row>
    <row r="600" spans="1:46" x14ac:dyDescent="0.35">
      <c r="A600" t="s">
        <v>52</v>
      </c>
      <c r="B600" t="s">
        <v>53</v>
      </c>
      <c r="C600" t="s">
        <v>54</v>
      </c>
      <c r="D600" t="s">
        <v>55</v>
      </c>
      <c r="E600" t="s">
        <v>56</v>
      </c>
      <c r="F600" t="s">
        <v>1947</v>
      </c>
      <c r="G600" t="s">
        <v>2074</v>
      </c>
      <c r="H600" t="s">
        <v>56</v>
      </c>
      <c r="I600" t="s">
        <v>2075</v>
      </c>
      <c r="J600" t="s">
        <v>61</v>
      </c>
      <c r="K600" t="s">
        <v>640</v>
      </c>
      <c r="L600" t="s">
        <v>56</v>
      </c>
      <c r="M600" t="s">
        <v>56</v>
      </c>
      <c r="N600" t="s">
        <v>252</v>
      </c>
      <c r="O600" t="s">
        <v>1950</v>
      </c>
      <c r="P600" t="s">
        <v>1951</v>
      </c>
      <c r="Q600" t="s">
        <v>87</v>
      </c>
      <c r="R600" t="s">
        <v>248</v>
      </c>
      <c r="S600">
        <v>8000000</v>
      </c>
      <c r="T600">
        <v>-5391770.46</v>
      </c>
      <c r="U600" t="s">
        <v>68</v>
      </c>
      <c r="V600" t="s">
        <v>1952</v>
      </c>
      <c r="W600" s="9">
        <v>60602386</v>
      </c>
      <c r="X600" t="s">
        <v>2076</v>
      </c>
      <c r="Y600" s="1">
        <v>46050</v>
      </c>
      <c r="Z600" s="1">
        <v>46110</v>
      </c>
      <c r="AA600" s="2">
        <v>40666.949999999997</v>
      </c>
      <c r="AB600" s="2">
        <v>34463.519999999997</v>
      </c>
      <c r="AC600" s="2">
        <v>6203.43</v>
      </c>
      <c r="AD600" s="2">
        <v>40666.949999999997</v>
      </c>
      <c r="AE600" t="s">
        <v>2078</v>
      </c>
      <c r="AF600" t="s">
        <v>72</v>
      </c>
      <c r="AG600">
        <v>-32</v>
      </c>
      <c r="AH600" t="s">
        <v>117</v>
      </c>
      <c r="AI600" t="s">
        <v>74</v>
      </c>
      <c r="AJ600" t="s">
        <v>75</v>
      </c>
      <c r="AK600" t="s">
        <v>76</v>
      </c>
      <c r="AL600" t="s">
        <v>118</v>
      </c>
      <c r="AM600" t="s">
        <v>78</v>
      </c>
      <c r="AN600" t="s">
        <v>979</v>
      </c>
      <c r="AO600" t="s">
        <v>119</v>
      </c>
      <c r="AP600" t="s">
        <v>46</v>
      </c>
      <c r="AQ600" t="s">
        <v>81</v>
      </c>
      <c r="AR600" t="str">
        <f t="shared" si="18"/>
        <v>60602386.STATAM</v>
      </c>
      <c r="AS600">
        <f t="shared" si="19"/>
        <v>11383038.910000008</v>
      </c>
      <c r="AT600" t="s">
        <v>82</v>
      </c>
    </row>
    <row r="601" spans="1:46" x14ac:dyDescent="0.35">
      <c r="A601" t="s">
        <v>52</v>
      </c>
      <c r="B601" t="s">
        <v>53</v>
      </c>
      <c r="C601" t="s">
        <v>54</v>
      </c>
      <c r="D601" t="s">
        <v>55</v>
      </c>
      <c r="E601" t="s">
        <v>56</v>
      </c>
      <c r="F601" t="s">
        <v>1947</v>
      </c>
      <c r="G601" t="s">
        <v>2051</v>
      </c>
      <c r="H601" t="s">
        <v>56</v>
      </c>
      <c r="I601" t="s">
        <v>2079</v>
      </c>
      <c r="J601" t="s">
        <v>61</v>
      </c>
      <c r="K601" t="s">
        <v>640</v>
      </c>
      <c r="L601" t="s">
        <v>56</v>
      </c>
      <c r="M601" t="s">
        <v>56</v>
      </c>
      <c r="N601" t="s">
        <v>1186</v>
      </c>
      <c r="O601" t="s">
        <v>1950</v>
      </c>
      <c r="P601" t="s">
        <v>1951</v>
      </c>
      <c r="Q601" t="s">
        <v>87</v>
      </c>
      <c r="R601" t="s">
        <v>248</v>
      </c>
      <c r="S601">
        <v>8000000</v>
      </c>
      <c r="T601">
        <v>-5391770.46</v>
      </c>
      <c r="U601" t="s">
        <v>68</v>
      </c>
      <c r="V601" t="s">
        <v>1952</v>
      </c>
      <c r="W601" s="9">
        <v>60602386</v>
      </c>
      <c r="X601" t="s">
        <v>2080</v>
      </c>
      <c r="Y601" s="1">
        <v>46050</v>
      </c>
      <c r="Z601" s="1">
        <v>46110</v>
      </c>
      <c r="AA601" s="2">
        <v>508.06</v>
      </c>
      <c r="AB601" s="2">
        <v>430.56</v>
      </c>
      <c r="AC601" s="2">
        <v>77.5</v>
      </c>
      <c r="AD601" s="2">
        <v>508.06</v>
      </c>
      <c r="AE601" t="s">
        <v>2081</v>
      </c>
      <c r="AF601" t="s">
        <v>72</v>
      </c>
      <c r="AG601">
        <v>-32</v>
      </c>
      <c r="AH601" t="s">
        <v>117</v>
      </c>
      <c r="AI601" t="s">
        <v>74</v>
      </c>
      <c r="AJ601" t="s">
        <v>75</v>
      </c>
      <c r="AK601" t="s">
        <v>76</v>
      </c>
      <c r="AL601" t="s">
        <v>118</v>
      </c>
      <c r="AM601" t="s">
        <v>78</v>
      </c>
      <c r="AN601" t="s">
        <v>979</v>
      </c>
      <c r="AO601" t="s">
        <v>119</v>
      </c>
      <c r="AP601" t="s">
        <v>46</v>
      </c>
      <c r="AQ601" t="s">
        <v>81</v>
      </c>
      <c r="AR601" t="str">
        <f t="shared" si="18"/>
        <v>60602386.STATAM</v>
      </c>
      <c r="AS601">
        <f t="shared" si="19"/>
        <v>11383038.910000008</v>
      </c>
      <c r="AT601" t="s">
        <v>82</v>
      </c>
    </row>
    <row r="602" spans="1:46" x14ac:dyDescent="0.35">
      <c r="A602" t="s">
        <v>52</v>
      </c>
      <c r="B602" t="s">
        <v>53</v>
      </c>
      <c r="C602" t="s">
        <v>54</v>
      </c>
      <c r="D602" t="s">
        <v>55</v>
      </c>
      <c r="E602" t="s">
        <v>56</v>
      </c>
      <c r="F602" t="s">
        <v>1947</v>
      </c>
      <c r="G602" t="s">
        <v>2037</v>
      </c>
      <c r="H602" t="s">
        <v>56</v>
      </c>
      <c r="I602" t="s">
        <v>2082</v>
      </c>
      <c r="J602" t="s">
        <v>61</v>
      </c>
      <c r="K602" t="s">
        <v>640</v>
      </c>
      <c r="L602" t="s">
        <v>56</v>
      </c>
      <c r="M602" t="s">
        <v>56</v>
      </c>
      <c r="N602" t="s">
        <v>1186</v>
      </c>
      <c r="O602" t="s">
        <v>1950</v>
      </c>
      <c r="P602" t="s">
        <v>1951</v>
      </c>
      <c r="Q602" t="s">
        <v>87</v>
      </c>
      <c r="R602" t="s">
        <v>248</v>
      </c>
      <c r="S602">
        <v>8000000</v>
      </c>
      <c r="T602">
        <v>-5391770.46</v>
      </c>
      <c r="U602" t="s">
        <v>68</v>
      </c>
      <c r="V602" t="s">
        <v>1952</v>
      </c>
      <c r="W602" s="9">
        <v>60602386</v>
      </c>
      <c r="X602" t="s">
        <v>2083</v>
      </c>
      <c r="Y602" s="1">
        <v>46050</v>
      </c>
      <c r="Z602" s="1">
        <v>46110</v>
      </c>
      <c r="AA602" s="2">
        <v>846.77</v>
      </c>
      <c r="AB602" s="2">
        <v>717.6</v>
      </c>
      <c r="AC602" s="2">
        <v>129.16999999999999</v>
      </c>
      <c r="AD602" s="2">
        <v>846.77</v>
      </c>
      <c r="AE602" t="s">
        <v>2084</v>
      </c>
      <c r="AF602" t="s">
        <v>72</v>
      </c>
      <c r="AG602">
        <v>-32</v>
      </c>
      <c r="AH602" t="s">
        <v>117</v>
      </c>
      <c r="AI602" t="s">
        <v>74</v>
      </c>
      <c r="AJ602" t="s">
        <v>75</v>
      </c>
      <c r="AK602" t="s">
        <v>76</v>
      </c>
      <c r="AL602" t="s">
        <v>118</v>
      </c>
      <c r="AM602" t="s">
        <v>78</v>
      </c>
      <c r="AN602" t="s">
        <v>979</v>
      </c>
      <c r="AO602" t="s">
        <v>119</v>
      </c>
      <c r="AP602" t="s">
        <v>46</v>
      </c>
      <c r="AQ602" t="s">
        <v>81</v>
      </c>
      <c r="AR602" t="str">
        <f t="shared" si="18"/>
        <v>60602386.STATAM</v>
      </c>
      <c r="AS602">
        <f t="shared" si="19"/>
        <v>11383038.910000008</v>
      </c>
      <c r="AT602" t="s">
        <v>82</v>
      </c>
    </row>
    <row r="603" spans="1:46" x14ac:dyDescent="0.35">
      <c r="A603" t="s">
        <v>52</v>
      </c>
      <c r="B603" t="s">
        <v>53</v>
      </c>
      <c r="C603" t="s">
        <v>54</v>
      </c>
      <c r="D603" t="s">
        <v>55</v>
      </c>
      <c r="E603" t="s">
        <v>56</v>
      </c>
      <c r="F603" t="s">
        <v>1947</v>
      </c>
      <c r="G603" t="s">
        <v>2028</v>
      </c>
      <c r="H603" t="s">
        <v>56</v>
      </c>
      <c r="I603" t="s">
        <v>2085</v>
      </c>
      <c r="J603" t="s">
        <v>61</v>
      </c>
      <c r="K603" t="s">
        <v>640</v>
      </c>
      <c r="L603" t="s">
        <v>56</v>
      </c>
      <c r="M603" t="s">
        <v>56</v>
      </c>
      <c r="N603" t="s">
        <v>252</v>
      </c>
      <c r="O603" t="s">
        <v>1950</v>
      </c>
      <c r="P603" t="s">
        <v>1951</v>
      </c>
      <c r="Q603" t="s">
        <v>87</v>
      </c>
      <c r="R603" t="s">
        <v>248</v>
      </c>
      <c r="S603">
        <v>8000000</v>
      </c>
      <c r="T603">
        <v>-5391770.46</v>
      </c>
      <c r="U603" t="s">
        <v>68</v>
      </c>
      <c r="V603" t="s">
        <v>1952</v>
      </c>
      <c r="W603" s="9">
        <v>60602386</v>
      </c>
      <c r="X603" t="s">
        <v>2086</v>
      </c>
      <c r="Y603" s="1">
        <v>46050</v>
      </c>
      <c r="Z603" s="1">
        <v>46110</v>
      </c>
      <c r="AA603" s="2">
        <v>838.48</v>
      </c>
      <c r="AB603" s="2">
        <v>710.58</v>
      </c>
      <c r="AC603" s="2">
        <v>127.9</v>
      </c>
      <c r="AD603" s="2">
        <v>838.48</v>
      </c>
      <c r="AE603" t="s">
        <v>2087</v>
      </c>
      <c r="AF603" t="s">
        <v>72</v>
      </c>
      <c r="AG603">
        <v>-32</v>
      </c>
      <c r="AH603" t="s">
        <v>117</v>
      </c>
      <c r="AI603" t="s">
        <v>74</v>
      </c>
      <c r="AJ603" t="s">
        <v>75</v>
      </c>
      <c r="AK603" t="s">
        <v>76</v>
      </c>
      <c r="AL603" t="s">
        <v>118</v>
      </c>
      <c r="AM603" t="s">
        <v>78</v>
      </c>
      <c r="AN603" t="s">
        <v>979</v>
      </c>
      <c r="AO603" t="s">
        <v>119</v>
      </c>
      <c r="AP603" t="s">
        <v>46</v>
      </c>
      <c r="AQ603" t="s">
        <v>81</v>
      </c>
      <c r="AR603" t="str">
        <f t="shared" si="18"/>
        <v>60602386.STATAM</v>
      </c>
      <c r="AS603">
        <f t="shared" si="19"/>
        <v>11383038.910000008</v>
      </c>
      <c r="AT603" t="s">
        <v>82</v>
      </c>
    </row>
    <row r="604" spans="1:46" x14ac:dyDescent="0.35">
      <c r="A604" t="s">
        <v>52</v>
      </c>
      <c r="B604" t="s">
        <v>53</v>
      </c>
      <c r="C604" t="s">
        <v>54</v>
      </c>
      <c r="D604" t="s">
        <v>55</v>
      </c>
      <c r="E604" t="s">
        <v>56</v>
      </c>
      <c r="F604" t="s">
        <v>1947</v>
      </c>
      <c r="G604" t="s">
        <v>2088</v>
      </c>
      <c r="H604" t="s">
        <v>56</v>
      </c>
      <c r="I604" t="s">
        <v>2089</v>
      </c>
      <c r="J604" t="s">
        <v>476</v>
      </c>
      <c r="K604" t="s">
        <v>640</v>
      </c>
      <c r="L604" t="s">
        <v>56</v>
      </c>
      <c r="M604" t="s">
        <v>56</v>
      </c>
      <c r="N604" t="s">
        <v>244</v>
      </c>
      <c r="O604" t="s">
        <v>1950</v>
      </c>
      <c r="P604" t="s">
        <v>1951</v>
      </c>
      <c r="Q604" t="s">
        <v>641</v>
      </c>
      <c r="R604" t="s">
        <v>248</v>
      </c>
      <c r="S604">
        <v>8000000</v>
      </c>
      <c r="T604">
        <v>-5391770.46</v>
      </c>
      <c r="U604" t="s">
        <v>68</v>
      </c>
      <c r="V604" t="s">
        <v>1952</v>
      </c>
      <c r="W604" s="9">
        <v>60602386</v>
      </c>
      <c r="X604" t="s">
        <v>2090</v>
      </c>
      <c r="Y604" s="1">
        <v>46050</v>
      </c>
      <c r="Z604" s="1">
        <v>46110</v>
      </c>
      <c r="AA604" s="2">
        <v>495935.12</v>
      </c>
      <c r="AB604" s="2">
        <v>420284</v>
      </c>
      <c r="AC604" s="2">
        <v>75651.12</v>
      </c>
      <c r="AD604" s="2">
        <v>495935.12</v>
      </c>
      <c r="AE604" t="s">
        <v>2091</v>
      </c>
      <c r="AF604" t="s">
        <v>72</v>
      </c>
      <c r="AG604">
        <v>-32</v>
      </c>
      <c r="AH604" t="s">
        <v>117</v>
      </c>
      <c r="AI604" t="s">
        <v>74</v>
      </c>
      <c r="AJ604" t="s">
        <v>75</v>
      </c>
      <c r="AK604" t="s">
        <v>76</v>
      </c>
      <c r="AL604" t="s">
        <v>118</v>
      </c>
      <c r="AM604" t="s">
        <v>78</v>
      </c>
      <c r="AN604" t="s">
        <v>979</v>
      </c>
      <c r="AO604" t="s">
        <v>119</v>
      </c>
      <c r="AP604" t="s">
        <v>46</v>
      </c>
      <c r="AQ604" t="s">
        <v>81</v>
      </c>
      <c r="AR604" t="str">
        <f t="shared" si="18"/>
        <v>60602386.STATAM</v>
      </c>
      <c r="AS604">
        <f t="shared" si="19"/>
        <v>11383038.910000008</v>
      </c>
      <c r="AT604" t="s">
        <v>82</v>
      </c>
    </row>
    <row r="605" spans="1:46" x14ac:dyDescent="0.35">
      <c r="A605" t="s">
        <v>52</v>
      </c>
      <c r="B605" t="s">
        <v>53</v>
      </c>
      <c r="C605" t="s">
        <v>54</v>
      </c>
      <c r="D605" t="s">
        <v>55</v>
      </c>
      <c r="E605" t="s">
        <v>56</v>
      </c>
      <c r="F605" t="s">
        <v>1947</v>
      </c>
      <c r="G605" t="s">
        <v>2088</v>
      </c>
      <c r="H605" t="s">
        <v>56</v>
      </c>
      <c r="I605" t="s">
        <v>2089</v>
      </c>
      <c r="J605" t="s">
        <v>476</v>
      </c>
      <c r="K605" t="s">
        <v>640</v>
      </c>
      <c r="L605" t="s">
        <v>56</v>
      </c>
      <c r="M605" t="s">
        <v>56</v>
      </c>
      <c r="N605" t="s">
        <v>263</v>
      </c>
      <c r="O605" t="s">
        <v>1950</v>
      </c>
      <c r="P605" t="s">
        <v>1951</v>
      </c>
      <c r="Q605" t="s">
        <v>641</v>
      </c>
      <c r="R605" t="s">
        <v>248</v>
      </c>
      <c r="S605">
        <v>8000000</v>
      </c>
      <c r="T605">
        <v>-5391770.46</v>
      </c>
      <c r="U605" t="s">
        <v>68</v>
      </c>
      <c r="V605" t="s">
        <v>1952</v>
      </c>
      <c r="W605" s="9">
        <v>60602386</v>
      </c>
      <c r="X605" t="s">
        <v>2090</v>
      </c>
      <c r="Y605" s="1">
        <v>46050</v>
      </c>
      <c r="Z605" s="1">
        <v>46110</v>
      </c>
      <c r="AA605" s="2">
        <v>192321.12</v>
      </c>
      <c r="AB605" s="2">
        <v>162984</v>
      </c>
      <c r="AC605" s="2">
        <v>29337.119999999999</v>
      </c>
      <c r="AD605" s="2">
        <v>192321.12</v>
      </c>
      <c r="AE605" t="s">
        <v>2092</v>
      </c>
      <c r="AF605" t="s">
        <v>72</v>
      </c>
      <c r="AG605">
        <v>-32</v>
      </c>
      <c r="AH605" t="s">
        <v>117</v>
      </c>
      <c r="AI605" t="s">
        <v>74</v>
      </c>
      <c r="AJ605" t="s">
        <v>75</v>
      </c>
      <c r="AK605" t="s">
        <v>76</v>
      </c>
      <c r="AL605" t="s">
        <v>118</v>
      </c>
      <c r="AM605" t="s">
        <v>78</v>
      </c>
      <c r="AN605" t="s">
        <v>979</v>
      </c>
      <c r="AO605" t="s">
        <v>119</v>
      </c>
      <c r="AP605" t="s">
        <v>46</v>
      </c>
      <c r="AQ605" t="s">
        <v>81</v>
      </c>
      <c r="AR605" t="str">
        <f t="shared" si="18"/>
        <v>60602386.STATAM</v>
      </c>
      <c r="AS605">
        <f t="shared" si="19"/>
        <v>11383038.910000008</v>
      </c>
      <c r="AT605" t="s">
        <v>82</v>
      </c>
    </row>
    <row r="606" spans="1:46" x14ac:dyDescent="0.35">
      <c r="A606" t="s">
        <v>52</v>
      </c>
      <c r="B606" t="s">
        <v>53</v>
      </c>
      <c r="C606" t="s">
        <v>54</v>
      </c>
      <c r="D606" t="s">
        <v>55</v>
      </c>
      <c r="E606" t="s">
        <v>56</v>
      </c>
      <c r="F606" t="s">
        <v>1947</v>
      </c>
      <c r="G606" t="s">
        <v>2093</v>
      </c>
      <c r="H606" t="s">
        <v>56</v>
      </c>
      <c r="I606" t="s">
        <v>2094</v>
      </c>
      <c r="J606" t="s">
        <v>61</v>
      </c>
      <c r="K606" t="s">
        <v>640</v>
      </c>
      <c r="L606" t="s">
        <v>56</v>
      </c>
      <c r="M606" t="s">
        <v>56</v>
      </c>
      <c r="N606" t="s">
        <v>261</v>
      </c>
      <c r="O606" t="s">
        <v>1950</v>
      </c>
      <c r="P606" t="s">
        <v>1951</v>
      </c>
      <c r="Q606" t="s">
        <v>87</v>
      </c>
      <c r="R606" t="s">
        <v>248</v>
      </c>
      <c r="S606">
        <v>8000000</v>
      </c>
      <c r="T606">
        <v>-5391770.46</v>
      </c>
      <c r="U606" t="s">
        <v>68</v>
      </c>
      <c r="V606" t="s">
        <v>1952</v>
      </c>
      <c r="W606" s="9">
        <v>60602386</v>
      </c>
      <c r="X606" t="s">
        <v>2095</v>
      </c>
      <c r="Y606" s="1">
        <v>46050</v>
      </c>
      <c r="Z606" s="1">
        <v>46110</v>
      </c>
      <c r="AA606" s="2">
        <v>6009.29</v>
      </c>
      <c r="AB606" s="2">
        <v>5092.62</v>
      </c>
      <c r="AC606" s="2">
        <v>916.67</v>
      </c>
      <c r="AD606" s="2">
        <v>6009.29</v>
      </c>
      <c r="AE606" t="s">
        <v>2096</v>
      </c>
      <c r="AF606" t="s">
        <v>72</v>
      </c>
      <c r="AG606">
        <v>-32</v>
      </c>
      <c r="AH606" t="s">
        <v>117</v>
      </c>
      <c r="AI606" t="s">
        <v>74</v>
      </c>
      <c r="AJ606" t="s">
        <v>75</v>
      </c>
      <c r="AK606" t="s">
        <v>76</v>
      </c>
      <c r="AL606" t="s">
        <v>118</v>
      </c>
      <c r="AM606" t="s">
        <v>78</v>
      </c>
      <c r="AN606" t="s">
        <v>979</v>
      </c>
      <c r="AO606" t="s">
        <v>119</v>
      </c>
      <c r="AP606" t="s">
        <v>46</v>
      </c>
      <c r="AQ606" t="s">
        <v>81</v>
      </c>
      <c r="AR606" t="str">
        <f t="shared" si="18"/>
        <v>60602386.STATAM</v>
      </c>
      <c r="AS606">
        <f t="shared" si="19"/>
        <v>11383038.910000008</v>
      </c>
      <c r="AT606" t="s">
        <v>82</v>
      </c>
    </row>
    <row r="607" spans="1:46" x14ac:dyDescent="0.35">
      <c r="A607" t="s">
        <v>52</v>
      </c>
      <c r="B607" t="s">
        <v>53</v>
      </c>
      <c r="C607" t="s">
        <v>54</v>
      </c>
      <c r="D607" t="s">
        <v>55</v>
      </c>
      <c r="E607" t="s">
        <v>56</v>
      </c>
      <c r="F607" t="s">
        <v>1947</v>
      </c>
      <c r="G607" t="s">
        <v>2097</v>
      </c>
      <c r="H607" t="s">
        <v>56</v>
      </c>
      <c r="I607" t="s">
        <v>2098</v>
      </c>
      <c r="J607" t="s">
        <v>476</v>
      </c>
      <c r="K607" t="s">
        <v>640</v>
      </c>
      <c r="L607" t="s">
        <v>56</v>
      </c>
      <c r="M607" t="s">
        <v>56</v>
      </c>
      <c r="N607" t="s">
        <v>263</v>
      </c>
      <c r="O607" t="s">
        <v>1950</v>
      </c>
      <c r="P607" t="s">
        <v>1951</v>
      </c>
      <c r="Q607" t="s">
        <v>641</v>
      </c>
      <c r="R607" t="s">
        <v>248</v>
      </c>
      <c r="S607">
        <v>8000000</v>
      </c>
      <c r="T607">
        <v>-5391770.46</v>
      </c>
      <c r="U607" t="s">
        <v>68</v>
      </c>
      <c r="V607" t="s">
        <v>1952</v>
      </c>
      <c r="W607" s="9">
        <v>60602386</v>
      </c>
      <c r="X607" t="s">
        <v>2099</v>
      </c>
      <c r="Y607" s="1">
        <v>46050</v>
      </c>
      <c r="Z607" s="1">
        <v>46110</v>
      </c>
      <c r="AA607" s="2">
        <v>100880.56</v>
      </c>
      <c r="AB607" s="2">
        <v>85492</v>
      </c>
      <c r="AC607" s="2">
        <v>15388.56</v>
      </c>
      <c r="AD607" s="2">
        <v>100880.56</v>
      </c>
      <c r="AE607" t="s">
        <v>2100</v>
      </c>
      <c r="AF607" t="s">
        <v>72</v>
      </c>
      <c r="AG607">
        <v>-32</v>
      </c>
      <c r="AH607" t="s">
        <v>117</v>
      </c>
      <c r="AI607" t="s">
        <v>74</v>
      </c>
      <c r="AJ607" t="s">
        <v>75</v>
      </c>
      <c r="AK607" t="s">
        <v>76</v>
      </c>
      <c r="AL607" t="s">
        <v>118</v>
      </c>
      <c r="AM607" t="s">
        <v>78</v>
      </c>
      <c r="AN607" t="s">
        <v>979</v>
      </c>
      <c r="AO607" t="s">
        <v>119</v>
      </c>
      <c r="AP607" t="s">
        <v>46</v>
      </c>
      <c r="AQ607" t="s">
        <v>81</v>
      </c>
      <c r="AR607" t="str">
        <f t="shared" si="18"/>
        <v>60602386.STATAM</v>
      </c>
      <c r="AS607">
        <f t="shared" si="19"/>
        <v>11383038.910000008</v>
      </c>
      <c r="AT607" t="s">
        <v>82</v>
      </c>
    </row>
    <row r="608" spans="1:46" x14ac:dyDescent="0.35">
      <c r="A608" t="s">
        <v>52</v>
      </c>
      <c r="B608" t="s">
        <v>53</v>
      </c>
      <c r="C608" t="s">
        <v>54</v>
      </c>
      <c r="D608" t="s">
        <v>55</v>
      </c>
      <c r="E608" t="s">
        <v>56</v>
      </c>
      <c r="F608" t="s">
        <v>1947</v>
      </c>
      <c r="G608" t="s">
        <v>2007</v>
      </c>
      <c r="H608" t="s">
        <v>56</v>
      </c>
      <c r="I608" t="s">
        <v>2101</v>
      </c>
      <c r="J608" t="s">
        <v>61</v>
      </c>
      <c r="K608" t="s">
        <v>640</v>
      </c>
      <c r="L608" t="s">
        <v>56</v>
      </c>
      <c r="M608" t="s">
        <v>56</v>
      </c>
      <c r="N608" t="s">
        <v>1384</v>
      </c>
      <c r="O608" t="s">
        <v>1950</v>
      </c>
      <c r="P608" t="s">
        <v>1951</v>
      </c>
      <c r="Q608" t="s">
        <v>87</v>
      </c>
      <c r="R608" t="s">
        <v>248</v>
      </c>
      <c r="S608">
        <v>8000000</v>
      </c>
      <c r="T608">
        <v>-5391770.46</v>
      </c>
      <c r="U608" t="s">
        <v>68</v>
      </c>
      <c r="V608" t="s">
        <v>1952</v>
      </c>
      <c r="W608" s="9">
        <v>60602386</v>
      </c>
      <c r="X608" t="s">
        <v>2102</v>
      </c>
      <c r="Y608" s="1">
        <v>46050</v>
      </c>
      <c r="Z608" s="1">
        <v>46110</v>
      </c>
      <c r="AA608" s="2">
        <v>657.17</v>
      </c>
      <c r="AB608" s="2">
        <v>556.91999999999996</v>
      </c>
      <c r="AC608" s="2">
        <v>100.25</v>
      </c>
      <c r="AD608" s="2">
        <v>657.17</v>
      </c>
      <c r="AE608" t="s">
        <v>2103</v>
      </c>
      <c r="AF608" t="s">
        <v>72</v>
      </c>
      <c r="AG608">
        <v>-32</v>
      </c>
      <c r="AH608" t="s">
        <v>117</v>
      </c>
      <c r="AI608" t="s">
        <v>74</v>
      </c>
      <c r="AJ608" t="s">
        <v>75</v>
      </c>
      <c r="AK608" t="s">
        <v>76</v>
      </c>
      <c r="AL608" t="s">
        <v>118</v>
      </c>
      <c r="AM608" t="s">
        <v>78</v>
      </c>
      <c r="AN608" t="s">
        <v>979</v>
      </c>
      <c r="AO608" t="s">
        <v>119</v>
      </c>
      <c r="AP608" t="s">
        <v>46</v>
      </c>
      <c r="AQ608" t="s">
        <v>81</v>
      </c>
      <c r="AR608" t="str">
        <f t="shared" si="18"/>
        <v>60602386.STATAM</v>
      </c>
      <c r="AS608">
        <f t="shared" si="19"/>
        <v>11383038.910000008</v>
      </c>
      <c r="AT608" t="s">
        <v>82</v>
      </c>
    </row>
    <row r="609" spans="1:46" x14ac:dyDescent="0.35">
      <c r="A609" t="s">
        <v>52</v>
      </c>
      <c r="B609" t="s">
        <v>53</v>
      </c>
      <c r="C609" t="s">
        <v>54</v>
      </c>
      <c r="D609" t="s">
        <v>55</v>
      </c>
      <c r="E609" t="s">
        <v>56</v>
      </c>
      <c r="F609" t="s">
        <v>1947</v>
      </c>
      <c r="G609" t="s">
        <v>1995</v>
      </c>
      <c r="H609" t="s">
        <v>56</v>
      </c>
      <c r="I609" t="s">
        <v>2104</v>
      </c>
      <c r="J609" t="s">
        <v>61</v>
      </c>
      <c r="K609" t="s">
        <v>640</v>
      </c>
      <c r="L609" t="s">
        <v>56</v>
      </c>
      <c r="M609" t="s">
        <v>56</v>
      </c>
      <c r="N609" t="s">
        <v>1186</v>
      </c>
      <c r="O609" t="s">
        <v>1950</v>
      </c>
      <c r="P609" t="s">
        <v>1951</v>
      </c>
      <c r="Q609" t="s">
        <v>87</v>
      </c>
      <c r="R609" t="s">
        <v>248</v>
      </c>
      <c r="S609">
        <v>8000000</v>
      </c>
      <c r="T609">
        <v>-5391770.46</v>
      </c>
      <c r="U609" t="s">
        <v>68</v>
      </c>
      <c r="V609" t="s">
        <v>1952</v>
      </c>
      <c r="W609" s="9">
        <v>60602386</v>
      </c>
      <c r="X609" t="s">
        <v>2105</v>
      </c>
      <c r="Y609" s="1">
        <v>46050</v>
      </c>
      <c r="Z609" s="1">
        <v>46110</v>
      </c>
      <c r="AA609" s="2">
        <v>1270.1500000000001</v>
      </c>
      <c r="AB609" s="2">
        <v>1076.4000000000001</v>
      </c>
      <c r="AC609" s="2">
        <v>193.75</v>
      </c>
      <c r="AD609" s="2">
        <v>1270.1500000000001</v>
      </c>
      <c r="AE609" t="s">
        <v>2106</v>
      </c>
      <c r="AF609" t="s">
        <v>72</v>
      </c>
      <c r="AG609">
        <v>-32</v>
      </c>
      <c r="AH609" t="s">
        <v>117</v>
      </c>
      <c r="AI609" t="s">
        <v>74</v>
      </c>
      <c r="AJ609" t="s">
        <v>75</v>
      </c>
      <c r="AK609" t="s">
        <v>76</v>
      </c>
      <c r="AL609" t="s">
        <v>118</v>
      </c>
      <c r="AM609" t="s">
        <v>78</v>
      </c>
      <c r="AN609" t="s">
        <v>979</v>
      </c>
      <c r="AO609" t="s">
        <v>119</v>
      </c>
      <c r="AP609" t="s">
        <v>46</v>
      </c>
      <c r="AQ609" t="s">
        <v>81</v>
      </c>
      <c r="AR609" t="str">
        <f t="shared" si="18"/>
        <v>60602386.STATAM</v>
      </c>
      <c r="AS609">
        <f t="shared" si="19"/>
        <v>11383038.910000008</v>
      </c>
      <c r="AT609" t="s">
        <v>82</v>
      </c>
    </row>
    <row r="610" spans="1:46" x14ac:dyDescent="0.35">
      <c r="A610" t="s">
        <v>52</v>
      </c>
      <c r="B610" t="s">
        <v>53</v>
      </c>
      <c r="C610" t="s">
        <v>54</v>
      </c>
      <c r="D610" t="s">
        <v>55</v>
      </c>
      <c r="E610" t="s">
        <v>56</v>
      </c>
      <c r="F610" t="s">
        <v>1947</v>
      </c>
      <c r="G610" t="s">
        <v>2107</v>
      </c>
      <c r="H610" t="s">
        <v>56</v>
      </c>
      <c r="I610" t="s">
        <v>2108</v>
      </c>
      <c r="J610" t="s">
        <v>61</v>
      </c>
      <c r="K610" t="s">
        <v>640</v>
      </c>
      <c r="L610" t="s">
        <v>56</v>
      </c>
      <c r="M610" t="s">
        <v>56</v>
      </c>
      <c r="N610" t="s">
        <v>1384</v>
      </c>
      <c r="O610" t="s">
        <v>1950</v>
      </c>
      <c r="P610" t="s">
        <v>1951</v>
      </c>
      <c r="Q610" t="s">
        <v>87</v>
      </c>
      <c r="R610" t="s">
        <v>248</v>
      </c>
      <c r="S610">
        <v>8000000</v>
      </c>
      <c r="T610">
        <v>-5391770.46</v>
      </c>
      <c r="U610" t="s">
        <v>68</v>
      </c>
      <c r="V610" t="s">
        <v>1952</v>
      </c>
      <c r="W610" s="9">
        <v>60602386</v>
      </c>
      <c r="X610" t="s">
        <v>2109</v>
      </c>
      <c r="Y610" s="1">
        <v>46050</v>
      </c>
      <c r="Z610" s="1">
        <v>46110</v>
      </c>
      <c r="AA610" s="2">
        <v>8673.85</v>
      </c>
      <c r="AB610" s="2">
        <v>7350.72</v>
      </c>
      <c r="AC610" s="2">
        <v>1323.13</v>
      </c>
      <c r="AD610" s="2">
        <v>8673.85</v>
      </c>
      <c r="AE610" t="s">
        <v>2110</v>
      </c>
      <c r="AF610" t="s">
        <v>72</v>
      </c>
      <c r="AG610">
        <v>-32</v>
      </c>
      <c r="AH610" t="s">
        <v>117</v>
      </c>
      <c r="AI610" t="s">
        <v>74</v>
      </c>
      <c r="AJ610" t="s">
        <v>75</v>
      </c>
      <c r="AK610" t="s">
        <v>76</v>
      </c>
      <c r="AL610" t="s">
        <v>118</v>
      </c>
      <c r="AM610" t="s">
        <v>78</v>
      </c>
      <c r="AN610" t="s">
        <v>979</v>
      </c>
      <c r="AO610" t="s">
        <v>119</v>
      </c>
      <c r="AP610" t="s">
        <v>46</v>
      </c>
      <c r="AQ610" t="s">
        <v>81</v>
      </c>
      <c r="AR610" t="str">
        <f t="shared" si="18"/>
        <v>60602386.STATAM</v>
      </c>
      <c r="AS610">
        <f t="shared" si="19"/>
        <v>11383038.910000008</v>
      </c>
      <c r="AT610" t="s">
        <v>82</v>
      </c>
    </row>
    <row r="611" spans="1:46" x14ac:dyDescent="0.35">
      <c r="A611" t="s">
        <v>52</v>
      </c>
      <c r="B611" t="s">
        <v>53</v>
      </c>
      <c r="C611" t="s">
        <v>54</v>
      </c>
      <c r="D611" t="s">
        <v>55</v>
      </c>
      <c r="E611" t="s">
        <v>56</v>
      </c>
      <c r="F611" t="s">
        <v>1947</v>
      </c>
      <c r="G611" t="s">
        <v>2107</v>
      </c>
      <c r="H611" t="s">
        <v>56</v>
      </c>
      <c r="I611" t="s">
        <v>2108</v>
      </c>
      <c r="J611" t="s">
        <v>61</v>
      </c>
      <c r="K611" t="s">
        <v>640</v>
      </c>
      <c r="L611" t="s">
        <v>56</v>
      </c>
      <c r="M611" t="s">
        <v>56</v>
      </c>
      <c r="N611" t="s">
        <v>295</v>
      </c>
      <c r="O611" t="s">
        <v>1950</v>
      </c>
      <c r="P611" t="s">
        <v>1951</v>
      </c>
      <c r="Q611" t="s">
        <v>87</v>
      </c>
      <c r="R611" t="s">
        <v>248</v>
      </c>
      <c r="S611">
        <v>8000000</v>
      </c>
      <c r="T611">
        <v>-5391770.46</v>
      </c>
      <c r="U611" t="s">
        <v>68</v>
      </c>
      <c r="V611" t="s">
        <v>1952</v>
      </c>
      <c r="W611" s="9">
        <v>60602386</v>
      </c>
      <c r="X611" t="s">
        <v>2109</v>
      </c>
      <c r="Y611" s="1">
        <v>46050</v>
      </c>
      <c r="Z611" s="1">
        <v>46110</v>
      </c>
      <c r="AA611" s="2">
        <v>647.96</v>
      </c>
      <c r="AB611" s="2">
        <v>549.12</v>
      </c>
      <c r="AC611" s="2">
        <v>98.84</v>
      </c>
      <c r="AD611" s="2">
        <v>647.96</v>
      </c>
      <c r="AE611" t="s">
        <v>2111</v>
      </c>
      <c r="AF611" t="s">
        <v>72</v>
      </c>
      <c r="AG611">
        <v>-32</v>
      </c>
      <c r="AH611" t="s">
        <v>117</v>
      </c>
      <c r="AI611" t="s">
        <v>74</v>
      </c>
      <c r="AJ611" t="s">
        <v>75</v>
      </c>
      <c r="AK611" t="s">
        <v>76</v>
      </c>
      <c r="AL611" t="s">
        <v>118</v>
      </c>
      <c r="AM611" t="s">
        <v>78</v>
      </c>
      <c r="AN611" t="s">
        <v>979</v>
      </c>
      <c r="AO611" t="s">
        <v>119</v>
      </c>
      <c r="AP611" t="s">
        <v>46</v>
      </c>
      <c r="AQ611" t="s">
        <v>81</v>
      </c>
      <c r="AR611" t="str">
        <f t="shared" si="18"/>
        <v>60602386.STATAM</v>
      </c>
      <c r="AS611">
        <f t="shared" si="19"/>
        <v>11383038.910000008</v>
      </c>
      <c r="AT611" t="s">
        <v>82</v>
      </c>
    </row>
    <row r="612" spans="1:46" x14ac:dyDescent="0.35">
      <c r="A612" t="s">
        <v>52</v>
      </c>
      <c r="B612" t="s">
        <v>53</v>
      </c>
      <c r="C612" t="s">
        <v>54</v>
      </c>
      <c r="D612" t="s">
        <v>55</v>
      </c>
      <c r="E612" t="s">
        <v>56</v>
      </c>
      <c r="F612" t="s">
        <v>1947</v>
      </c>
      <c r="G612" t="s">
        <v>2112</v>
      </c>
      <c r="H612" t="s">
        <v>56</v>
      </c>
      <c r="I612" t="s">
        <v>2113</v>
      </c>
      <c r="J612" t="s">
        <v>61</v>
      </c>
      <c r="K612" t="s">
        <v>640</v>
      </c>
      <c r="L612" t="s">
        <v>56</v>
      </c>
      <c r="M612" t="s">
        <v>56</v>
      </c>
      <c r="N612" t="s">
        <v>252</v>
      </c>
      <c r="O612" t="s">
        <v>1950</v>
      </c>
      <c r="P612" t="s">
        <v>1951</v>
      </c>
      <c r="Q612" t="s">
        <v>87</v>
      </c>
      <c r="R612" t="s">
        <v>248</v>
      </c>
      <c r="S612">
        <v>8000000</v>
      </c>
      <c r="T612">
        <v>-5391770.46</v>
      </c>
      <c r="U612" t="s">
        <v>68</v>
      </c>
      <c r="V612" t="s">
        <v>1952</v>
      </c>
      <c r="W612" s="9">
        <v>60602386</v>
      </c>
      <c r="X612" t="s">
        <v>2114</v>
      </c>
      <c r="Y612" s="1">
        <v>46051</v>
      </c>
      <c r="Z612" s="1">
        <v>46111</v>
      </c>
      <c r="AA612" s="2">
        <v>7712.95</v>
      </c>
      <c r="AB612" s="2">
        <v>6536.4</v>
      </c>
      <c r="AC612" s="2">
        <v>1176.55</v>
      </c>
      <c r="AD612" s="2">
        <v>7712.95</v>
      </c>
      <c r="AE612" t="s">
        <v>2115</v>
      </c>
      <c r="AF612" t="s">
        <v>72</v>
      </c>
      <c r="AG612">
        <v>-33</v>
      </c>
      <c r="AH612" t="s">
        <v>117</v>
      </c>
      <c r="AI612" t="s">
        <v>74</v>
      </c>
      <c r="AJ612" t="s">
        <v>75</v>
      </c>
      <c r="AK612" t="s">
        <v>76</v>
      </c>
      <c r="AL612" t="s">
        <v>118</v>
      </c>
      <c r="AM612" t="s">
        <v>78</v>
      </c>
      <c r="AN612" t="s">
        <v>979</v>
      </c>
      <c r="AO612" t="s">
        <v>119</v>
      </c>
      <c r="AP612" t="s">
        <v>46</v>
      </c>
      <c r="AQ612" t="s">
        <v>81</v>
      </c>
      <c r="AR612" t="str">
        <f t="shared" si="18"/>
        <v>60602386.STATAM</v>
      </c>
      <c r="AS612">
        <f t="shared" si="19"/>
        <v>11383038.910000008</v>
      </c>
      <c r="AT612" t="s">
        <v>82</v>
      </c>
    </row>
    <row r="613" spans="1:46" x14ac:dyDescent="0.35">
      <c r="A613" t="s">
        <v>52</v>
      </c>
      <c r="B613" t="s">
        <v>53</v>
      </c>
      <c r="C613" t="s">
        <v>54</v>
      </c>
      <c r="D613" t="s">
        <v>55</v>
      </c>
      <c r="E613" t="s">
        <v>56</v>
      </c>
      <c r="F613" t="s">
        <v>1947</v>
      </c>
      <c r="G613" t="s">
        <v>2112</v>
      </c>
      <c r="H613" t="s">
        <v>56</v>
      </c>
      <c r="I613" t="s">
        <v>2113</v>
      </c>
      <c r="J613" t="s">
        <v>61</v>
      </c>
      <c r="K613" t="s">
        <v>640</v>
      </c>
      <c r="L613" t="s">
        <v>56</v>
      </c>
      <c r="M613" t="s">
        <v>56</v>
      </c>
      <c r="N613" t="s">
        <v>261</v>
      </c>
      <c r="O613" t="s">
        <v>1950</v>
      </c>
      <c r="P613" t="s">
        <v>1951</v>
      </c>
      <c r="Q613" t="s">
        <v>87</v>
      </c>
      <c r="R613" t="s">
        <v>248</v>
      </c>
      <c r="S613">
        <v>8000000</v>
      </c>
      <c r="T613">
        <v>-5391770.46</v>
      </c>
      <c r="U613" t="s">
        <v>68</v>
      </c>
      <c r="V613" t="s">
        <v>1952</v>
      </c>
      <c r="W613" s="9">
        <v>60602386</v>
      </c>
      <c r="X613" t="s">
        <v>2114</v>
      </c>
      <c r="Y613" s="1">
        <v>46051</v>
      </c>
      <c r="Z613" s="1">
        <v>46111</v>
      </c>
      <c r="AA613" s="2">
        <v>3254.53</v>
      </c>
      <c r="AB613" s="2">
        <v>2758.08</v>
      </c>
      <c r="AC613" s="2">
        <v>496.45</v>
      </c>
      <c r="AD613" s="2">
        <v>3254.53</v>
      </c>
      <c r="AE613" t="s">
        <v>2116</v>
      </c>
      <c r="AF613" t="s">
        <v>72</v>
      </c>
      <c r="AG613">
        <v>-33</v>
      </c>
      <c r="AH613" t="s">
        <v>117</v>
      </c>
      <c r="AI613" t="s">
        <v>74</v>
      </c>
      <c r="AJ613" t="s">
        <v>75</v>
      </c>
      <c r="AK613" t="s">
        <v>76</v>
      </c>
      <c r="AL613" t="s">
        <v>118</v>
      </c>
      <c r="AM613" t="s">
        <v>78</v>
      </c>
      <c r="AN613" t="s">
        <v>979</v>
      </c>
      <c r="AO613" t="s">
        <v>119</v>
      </c>
      <c r="AP613" t="s">
        <v>46</v>
      </c>
      <c r="AQ613" t="s">
        <v>81</v>
      </c>
      <c r="AR613" t="str">
        <f t="shared" si="18"/>
        <v>60602386.STATAM</v>
      </c>
      <c r="AS613">
        <f t="shared" si="19"/>
        <v>11383038.910000008</v>
      </c>
      <c r="AT613" t="s">
        <v>82</v>
      </c>
    </row>
    <row r="614" spans="1:46" x14ac:dyDescent="0.35">
      <c r="A614" t="s">
        <v>52</v>
      </c>
      <c r="B614" t="s">
        <v>53</v>
      </c>
      <c r="C614" t="s">
        <v>54</v>
      </c>
      <c r="D614" t="s">
        <v>55</v>
      </c>
      <c r="E614" t="s">
        <v>56</v>
      </c>
      <c r="F614" t="s">
        <v>1947</v>
      </c>
      <c r="G614" t="s">
        <v>2117</v>
      </c>
      <c r="H614" t="s">
        <v>56</v>
      </c>
      <c r="I614" t="s">
        <v>2118</v>
      </c>
      <c r="J614" t="s">
        <v>61</v>
      </c>
      <c r="K614" t="s">
        <v>640</v>
      </c>
      <c r="L614" t="s">
        <v>56</v>
      </c>
      <c r="M614" t="s">
        <v>56</v>
      </c>
      <c r="N614" t="s">
        <v>295</v>
      </c>
      <c r="O614" t="s">
        <v>1950</v>
      </c>
      <c r="P614" t="s">
        <v>1951</v>
      </c>
      <c r="Q614" t="s">
        <v>87</v>
      </c>
      <c r="R614" t="s">
        <v>248</v>
      </c>
      <c r="S614">
        <v>8000000</v>
      </c>
      <c r="T614">
        <v>-5391770.46</v>
      </c>
      <c r="U614" t="s">
        <v>68</v>
      </c>
      <c r="V614" t="s">
        <v>1952</v>
      </c>
      <c r="W614" s="9">
        <v>60602386</v>
      </c>
      <c r="X614" t="s">
        <v>2119</v>
      </c>
      <c r="Y614" s="1">
        <v>46051</v>
      </c>
      <c r="Z614" s="1">
        <v>46111</v>
      </c>
      <c r="AA614" s="2">
        <v>6654.49</v>
      </c>
      <c r="AB614" s="2">
        <v>5639.4</v>
      </c>
      <c r="AC614" s="2">
        <v>1015.09</v>
      </c>
      <c r="AD614" s="2">
        <v>6654.49</v>
      </c>
      <c r="AE614" t="s">
        <v>2120</v>
      </c>
      <c r="AF614" t="s">
        <v>72</v>
      </c>
      <c r="AG614">
        <v>-33</v>
      </c>
      <c r="AH614" t="s">
        <v>117</v>
      </c>
      <c r="AI614" t="s">
        <v>74</v>
      </c>
      <c r="AJ614" t="s">
        <v>75</v>
      </c>
      <c r="AK614" t="s">
        <v>76</v>
      </c>
      <c r="AL614" t="s">
        <v>118</v>
      </c>
      <c r="AM614" t="s">
        <v>78</v>
      </c>
      <c r="AN614" t="s">
        <v>979</v>
      </c>
      <c r="AO614" t="s">
        <v>119</v>
      </c>
      <c r="AP614" t="s">
        <v>46</v>
      </c>
      <c r="AQ614" t="s">
        <v>81</v>
      </c>
      <c r="AR614" t="str">
        <f t="shared" si="18"/>
        <v>60602386.STATAM</v>
      </c>
      <c r="AS614">
        <f t="shared" si="19"/>
        <v>11383038.910000008</v>
      </c>
      <c r="AT614" t="s">
        <v>82</v>
      </c>
    </row>
    <row r="615" spans="1:46" x14ac:dyDescent="0.35">
      <c r="A615" t="s">
        <v>52</v>
      </c>
      <c r="B615" t="s">
        <v>53</v>
      </c>
      <c r="C615" t="s">
        <v>54</v>
      </c>
      <c r="D615" t="s">
        <v>55</v>
      </c>
      <c r="E615" t="s">
        <v>56</v>
      </c>
      <c r="F615" t="s">
        <v>1947</v>
      </c>
      <c r="G615" t="s">
        <v>2066</v>
      </c>
      <c r="H615" t="s">
        <v>56</v>
      </c>
      <c r="I615" t="s">
        <v>2121</v>
      </c>
      <c r="J615" t="s">
        <v>476</v>
      </c>
      <c r="K615" t="s">
        <v>640</v>
      </c>
      <c r="L615" t="s">
        <v>56</v>
      </c>
      <c r="M615" t="s">
        <v>56</v>
      </c>
      <c r="N615" t="s">
        <v>244</v>
      </c>
      <c r="O615" t="s">
        <v>1950</v>
      </c>
      <c r="P615" t="s">
        <v>1951</v>
      </c>
      <c r="Q615" t="s">
        <v>641</v>
      </c>
      <c r="R615" t="s">
        <v>248</v>
      </c>
      <c r="S615">
        <v>8000000</v>
      </c>
      <c r="T615">
        <v>-5391770.46</v>
      </c>
      <c r="U615" t="s">
        <v>68</v>
      </c>
      <c r="V615" t="s">
        <v>1952</v>
      </c>
      <c r="W615" s="9">
        <v>60602386</v>
      </c>
      <c r="X615" t="s">
        <v>2122</v>
      </c>
      <c r="Y615" s="1">
        <v>46051</v>
      </c>
      <c r="Z615" s="1">
        <v>46111</v>
      </c>
      <c r="AA615" s="2">
        <v>578379.36</v>
      </c>
      <c r="AB615" s="2">
        <v>490152</v>
      </c>
      <c r="AC615" s="2">
        <v>88227.36</v>
      </c>
      <c r="AD615" s="2">
        <v>578379.36</v>
      </c>
      <c r="AE615" t="s">
        <v>2123</v>
      </c>
      <c r="AF615" t="s">
        <v>72</v>
      </c>
      <c r="AG615">
        <v>-33</v>
      </c>
      <c r="AH615" t="s">
        <v>117</v>
      </c>
      <c r="AI615" t="s">
        <v>74</v>
      </c>
      <c r="AJ615" t="s">
        <v>75</v>
      </c>
      <c r="AK615" t="s">
        <v>76</v>
      </c>
      <c r="AL615" t="s">
        <v>118</v>
      </c>
      <c r="AM615" t="s">
        <v>78</v>
      </c>
      <c r="AN615" t="s">
        <v>979</v>
      </c>
      <c r="AO615" t="s">
        <v>119</v>
      </c>
      <c r="AP615" t="s">
        <v>46</v>
      </c>
      <c r="AQ615" t="s">
        <v>81</v>
      </c>
      <c r="AR615" t="str">
        <f t="shared" si="18"/>
        <v>60602386.STATAM</v>
      </c>
      <c r="AS615">
        <f t="shared" si="19"/>
        <v>11383038.910000008</v>
      </c>
      <c r="AT615" t="s">
        <v>82</v>
      </c>
    </row>
    <row r="616" spans="1:46" x14ac:dyDescent="0.35">
      <c r="A616" t="s">
        <v>52</v>
      </c>
      <c r="B616" t="s">
        <v>53</v>
      </c>
      <c r="C616" t="s">
        <v>54</v>
      </c>
      <c r="D616" t="s">
        <v>55</v>
      </c>
      <c r="E616" t="s">
        <v>56</v>
      </c>
      <c r="F616" t="s">
        <v>1947</v>
      </c>
      <c r="G616" t="s">
        <v>2124</v>
      </c>
      <c r="H616" t="s">
        <v>56</v>
      </c>
      <c r="I616" t="s">
        <v>2125</v>
      </c>
      <c r="J616" t="s">
        <v>476</v>
      </c>
      <c r="K616" t="s">
        <v>640</v>
      </c>
      <c r="L616" t="s">
        <v>56</v>
      </c>
      <c r="M616" t="s">
        <v>56</v>
      </c>
      <c r="N616" t="s">
        <v>263</v>
      </c>
      <c r="O616" t="s">
        <v>1950</v>
      </c>
      <c r="P616" t="s">
        <v>1951</v>
      </c>
      <c r="Q616" t="s">
        <v>641</v>
      </c>
      <c r="R616" t="s">
        <v>248</v>
      </c>
      <c r="S616">
        <v>8000000</v>
      </c>
      <c r="T616">
        <v>-5391770.46</v>
      </c>
      <c r="U616" t="s">
        <v>68</v>
      </c>
      <c r="V616" t="s">
        <v>1952</v>
      </c>
      <c r="W616" s="9">
        <v>60602386</v>
      </c>
      <c r="X616" t="s">
        <v>2126</v>
      </c>
      <c r="Y616" s="1">
        <v>46053</v>
      </c>
      <c r="Z616" s="1">
        <v>46113</v>
      </c>
      <c r="AA616" s="2">
        <v>63126.46</v>
      </c>
      <c r="AB616" s="2">
        <v>53497</v>
      </c>
      <c r="AC616" s="2">
        <v>9629.4599999999991</v>
      </c>
      <c r="AD616" s="2">
        <v>63126.46</v>
      </c>
      <c r="AE616" t="s">
        <v>2127</v>
      </c>
      <c r="AF616" t="s">
        <v>72</v>
      </c>
      <c r="AG616">
        <v>-35</v>
      </c>
      <c r="AH616" t="s">
        <v>117</v>
      </c>
      <c r="AI616" t="s">
        <v>74</v>
      </c>
      <c r="AJ616" t="s">
        <v>75</v>
      </c>
      <c r="AK616" t="s">
        <v>76</v>
      </c>
      <c r="AL616" t="s">
        <v>118</v>
      </c>
      <c r="AM616" t="s">
        <v>78</v>
      </c>
      <c r="AN616" t="s">
        <v>979</v>
      </c>
      <c r="AO616" t="s">
        <v>119</v>
      </c>
      <c r="AP616" t="s">
        <v>46</v>
      </c>
      <c r="AQ616" t="s">
        <v>81</v>
      </c>
      <c r="AR616" t="str">
        <f t="shared" si="18"/>
        <v>60602386.STATAM</v>
      </c>
      <c r="AS616">
        <f t="shared" si="19"/>
        <v>11383038.910000008</v>
      </c>
      <c r="AT616" t="s">
        <v>82</v>
      </c>
    </row>
    <row r="617" spans="1:46" x14ac:dyDescent="0.35">
      <c r="A617" t="s">
        <v>52</v>
      </c>
      <c r="B617" t="s">
        <v>53</v>
      </c>
      <c r="C617" t="s">
        <v>54</v>
      </c>
      <c r="D617" t="s">
        <v>55</v>
      </c>
      <c r="E617" t="s">
        <v>56</v>
      </c>
      <c r="F617" t="s">
        <v>1947</v>
      </c>
      <c r="G617" t="s">
        <v>2128</v>
      </c>
      <c r="H617" t="s">
        <v>56</v>
      </c>
      <c r="I617" t="s">
        <v>2129</v>
      </c>
      <c r="J617" t="s">
        <v>476</v>
      </c>
      <c r="K617" t="s">
        <v>640</v>
      </c>
      <c r="L617" t="s">
        <v>56</v>
      </c>
      <c r="M617" t="s">
        <v>56</v>
      </c>
      <c r="N617" t="s">
        <v>244</v>
      </c>
      <c r="O617" t="s">
        <v>1950</v>
      </c>
      <c r="P617" t="s">
        <v>1951</v>
      </c>
      <c r="Q617" t="s">
        <v>641</v>
      </c>
      <c r="R617" t="s">
        <v>248</v>
      </c>
      <c r="S617">
        <v>8000000</v>
      </c>
      <c r="T617">
        <v>-5391770.46</v>
      </c>
      <c r="U617" t="s">
        <v>68</v>
      </c>
      <c r="V617" t="s">
        <v>1952</v>
      </c>
      <c r="W617" s="9">
        <v>60602386</v>
      </c>
      <c r="X617" t="s">
        <v>2130</v>
      </c>
      <c r="Y617" s="1">
        <v>46053</v>
      </c>
      <c r="Z617" s="1">
        <v>46113</v>
      </c>
      <c r="AA617" s="2">
        <v>135364.88</v>
      </c>
      <c r="AB617" s="2">
        <v>114716</v>
      </c>
      <c r="AC617" s="2">
        <v>20648.88</v>
      </c>
      <c r="AD617" s="2">
        <v>135364.88</v>
      </c>
      <c r="AE617" t="s">
        <v>2131</v>
      </c>
      <c r="AF617" t="s">
        <v>72</v>
      </c>
      <c r="AG617">
        <v>-35</v>
      </c>
      <c r="AH617" t="s">
        <v>117</v>
      </c>
      <c r="AI617" t="s">
        <v>74</v>
      </c>
      <c r="AJ617" t="s">
        <v>75</v>
      </c>
      <c r="AK617" t="s">
        <v>76</v>
      </c>
      <c r="AL617" t="s">
        <v>118</v>
      </c>
      <c r="AM617" t="s">
        <v>78</v>
      </c>
      <c r="AN617" t="s">
        <v>979</v>
      </c>
      <c r="AO617" t="s">
        <v>119</v>
      </c>
      <c r="AP617" t="s">
        <v>46</v>
      </c>
      <c r="AQ617" t="s">
        <v>81</v>
      </c>
      <c r="AR617" t="str">
        <f t="shared" si="18"/>
        <v>60602386.STATAM</v>
      </c>
      <c r="AS617">
        <f t="shared" si="19"/>
        <v>11383038.910000008</v>
      </c>
      <c r="AT617" t="s">
        <v>82</v>
      </c>
    </row>
    <row r="618" spans="1:46" x14ac:dyDescent="0.35">
      <c r="A618" t="s">
        <v>52</v>
      </c>
      <c r="B618" t="s">
        <v>53</v>
      </c>
      <c r="C618" t="s">
        <v>54</v>
      </c>
      <c r="D618" t="s">
        <v>55</v>
      </c>
      <c r="E618" t="s">
        <v>56</v>
      </c>
      <c r="F618" t="s">
        <v>1947</v>
      </c>
      <c r="G618" t="s">
        <v>2132</v>
      </c>
      <c r="H618" t="s">
        <v>56</v>
      </c>
      <c r="I618" t="s">
        <v>2133</v>
      </c>
      <c r="J618" t="s">
        <v>61</v>
      </c>
      <c r="K618" t="s">
        <v>640</v>
      </c>
      <c r="L618" t="s">
        <v>56</v>
      </c>
      <c r="M618" t="s">
        <v>56</v>
      </c>
      <c r="N618" t="s">
        <v>1384</v>
      </c>
      <c r="O618" t="s">
        <v>1950</v>
      </c>
      <c r="P618" t="s">
        <v>1951</v>
      </c>
      <c r="Q618" t="s">
        <v>87</v>
      </c>
      <c r="R618" t="s">
        <v>248</v>
      </c>
      <c r="S618">
        <v>8000000</v>
      </c>
      <c r="T618">
        <v>-5391770.46</v>
      </c>
      <c r="U618" t="s">
        <v>68</v>
      </c>
      <c r="V618" t="s">
        <v>1952</v>
      </c>
      <c r="W618" s="9">
        <v>60602386</v>
      </c>
      <c r="X618" t="s">
        <v>2134</v>
      </c>
      <c r="Y618" s="1">
        <v>46053</v>
      </c>
      <c r="Z618" s="1">
        <v>46113</v>
      </c>
      <c r="AA618" s="2">
        <v>122364.42</v>
      </c>
      <c r="AB618" s="2">
        <v>103698.66</v>
      </c>
      <c r="AC618" s="2">
        <v>18665.759999999998</v>
      </c>
      <c r="AD618" s="2">
        <v>122364.42</v>
      </c>
      <c r="AE618" t="s">
        <v>2135</v>
      </c>
      <c r="AF618" t="s">
        <v>72</v>
      </c>
      <c r="AG618">
        <v>-35</v>
      </c>
      <c r="AH618" t="s">
        <v>117</v>
      </c>
      <c r="AI618" t="s">
        <v>74</v>
      </c>
      <c r="AJ618" t="s">
        <v>75</v>
      </c>
      <c r="AK618" t="s">
        <v>76</v>
      </c>
      <c r="AL618" t="s">
        <v>118</v>
      </c>
      <c r="AM618" t="s">
        <v>78</v>
      </c>
      <c r="AN618" t="s">
        <v>979</v>
      </c>
      <c r="AO618" t="s">
        <v>119</v>
      </c>
      <c r="AP618" t="s">
        <v>46</v>
      </c>
      <c r="AQ618" t="s">
        <v>81</v>
      </c>
      <c r="AR618" t="str">
        <f t="shared" si="18"/>
        <v>60602386.STATAM</v>
      </c>
      <c r="AS618">
        <f t="shared" si="19"/>
        <v>11383038.910000008</v>
      </c>
      <c r="AT618" t="s">
        <v>82</v>
      </c>
    </row>
    <row r="619" spans="1:46" x14ac:dyDescent="0.35">
      <c r="A619" t="s">
        <v>52</v>
      </c>
      <c r="B619" t="s">
        <v>53</v>
      </c>
      <c r="C619" t="s">
        <v>54</v>
      </c>
      <c r="D619" t="s">
        <v>55</v>
      </c>
      <c r="E619" t="s">
        <v>56</v>
      </c>
      <c r="F619" t="s">
        <v>1947</v>
      </c>
      <c r="G619" t="s">
        <v>2132</v>
      </c>
      <c r="H619" t="s">
        <v>56</v>
      </c>
      <c r="I619" t="s">
        <v>2133</v>
      </c>
      <c r="J619" t="s">
        <v>61</v>
      </c>
      <c r="K619" t="s">
        <v>640</v>
      </c>
      <c r="L619" t="s">
        <v>56</v>
      </c>
      <c r="M619" t="s">
        <v>56</v>
      </c>
      <c r="N619" t="s">
        <v>295</v>
      </c>
      <c r="O619" t="s">
        <v>1950</v>
      </c>
      <c r="P619" t="s">
        <v>1951</v>
      </c>
      <c r="Q619" t="s">
        <v>87</v>
      </c>
      <c r="R619" t="s">
        <v>248</v>
      </c>
      <c r="S619">
        <v>8000000</v>
      </c>
      <c r="T619">
        <v>-5391770.46</v>
      </c>
      <c r="U619" t="s">
        <v>68</v>
      </c>
      <c r="V619" t="s">
        <v>1952</v>
      </c>
      <c r="W619" s="9">
        <v>60602386</v>
      </c>
      <c r="X619" t="s">
        <v>2134</v>
      </c>
      <c r="Y619" s="1">
        <v>46053</v>
      </c>
      <c r="Z619" s="1">
        <v>46113</v>
      </c>
      <c r="AA619" s="2">
        <v>6621.36</v>
      </c>
      <c r="AB619" s="2">
        <v>5611.32</v>
      </c>
      <c r="AC619" s="2">
        <v>1010.04</v>
      </c>
      <c r="AD619" s="2">
        <v>6621.36</v>
      </c>
      <c r="AE619" t="s">
        <v>2136</v>
      </c>
      <c r="AF619" t="s">
        <v>72</v>
      </c>
      <c r="AG619">
        <v>-35</v>
      </c>
      <c r="AH619" t="s">
        <v>117</v>
      </c>
      <c r="AI619" t="s">
        <v>74</v>
      </c>
      <c r="AJ619" t="s">
        <v>75</v>
      </c>
      <c r="AK619" t="s">
        <v>76</v>
      </c>
      <c r="AL619" t="s">
        <v>118</v>
      </c>
      <c r="AM619" t="s">
        <v>78</v>
      </c>
      <c r="AN619" t="s">
        <v>979</v>
      </c>
      <c r="AO619" t="s">
        <v>119</v>
      </c>
      <c r="AP619" t="s">
        <v>46</v>
      </c>
      <c r="AQ619" t="s">
        <v>81</v>
      </c>
      <c r="AR619" t="str">
        <f t="shared" si="18"/>
        <v>60602386.STATAM</v>
      </c>
      <c r="AS619">
        <f t="shared" si="19"/>
        <v>11383038.910000008</v>
      </c>
      <c r="AT619" t="s">
        <v>82</v>
      </c>
    </row>
    <row r="620" spans="1:46" x14ac:dyDescent="0.35">
      <c r="A620" t="s">
        <v>52</v>
      </c>
      <c r="B620" t="s">
        <v>53</v>
      </c>
      <c r="C620" t="s">
        <v>54</v>
      </c>
      <c r="D620" t="s">
        <v>55</v>
      </c>
      <c r="E620" t="s">
        <v>56</v>
      </c>
      <c r="F620" t="s">
        <v>1947</v>
      </c>
      <c r="G620" t="s">
        <v>2132</v>
      </c>
      <c r="H620" t="s">
        <v>56</v>
      </c>
      <c r="I620" t="s">
        <v>2133</v>
      </c>
      <c r="J620" t="s">
        <v>61</v>
      </c>
      <c r="K620" t="s">
        <v>640</v>
      </c>
      <c r="L620" t="s">
        <v>56</v>
      </c>
      <c r="M620" t="s">
        <v>56</v>
      </c>
      <c r="N620" t="s">
        <v>263</v>
      </c>
      <c r="O620" t="s">
        <v>1950</v>
      </c>
      <c r="P620" t="s">
        <v>1951</v>
      </c>
      <c r="Q620" t="s">
        <v>87</v>
      </c>
      <c r="R620" t="s">
        <v>248</v>
      </c>
      <c r="S620">
        <v>8000000</v>
      </c>
      <c r="T620">
        <v>-5391770.46</v>
      </c>
      <c r="U620" t="s">
        <v>68</v>
      </c>
      <c r="V620" t="s">
        <v>1952</v>
      </c>
      <c r="W620" s="9">
        <v>60602386</v>
      </c>
      <c r="X620" t="s">
        <v>2134</v>
      </c>
      <c r="Y620" s="1">
        <v>46053</v>
      </c>
      <c r="Z620" s="1">
        <v>46113</v>
      </c>
      <c r="AA620" s="2">
        <v>134394.04999999999</v>
      </c>
      <c r="AB620" s="2">
        <v>113893.26</v>
      </c>
      <c r="AC620" s="2">
        <v>20500.79</v>
      </c>
      <c r="AD620" s="2">
        <v>134394.04999999999</v>
      </c>
      <c r="AE620" t="s">
        <v>2137</v>
      </c>
      <c r="AF620" t="s">
        <v>72</v>
      </c>
      <c r="AG620">
        <v>-35</v>
      </c>
      <c r="AH620" t="s">
        <v>117</v>
      </c>
      <c r="AI620" t="s">
        <v>74</v>
      </c>
      <c r="AJ620" t="s">
        <v>75</v>
      </c>
      <c r="AK620" t="s">
        <v>76</v>
      </c>
      <c r="AL620" t="s">
        <v>118</v>
      </c>
      <c r="AM620" t="s">
        <v>78</v>
      </c>
      <c r="AN620" t="s">
        <v>979</v>
      </c>
      <c r="AO620" t="s">
        <v>119</v>
      </c>
      <c r="AP620" t="s">
        <v>46</v>
      </c>
      <c r="AQ620" t="s">
        <v>81</v>
      </c>
      <c r="AR620" t="str">
        <f t="shared" si="18"/>
        <v>60602386.STATAM</v>
      </c>
      <c r="AS620">
        <f t="shared" si="19"/>
        <v>11383038.910000008</v>
      </c>
      <c r="AT620" t="s">
        <v>82</v>
      </c>
    </row>
    <row r="621" spans="1:46" x14ac:dyDescent="0.35">
      <c r="A621" t="s">
        <v>52</v>
      </c>
      <c r="B621" t="s">
        <v>53</v>
      </c>
      <c r="C621" t="s">
        <v>54</v>
      </c>
      <c r="D621" t="s">
        <v>55</v>
      </c>
      <c r="E621" t="s">
        <v>56</v>
      </c>
      <c r="F621" t="s">
        <v>1947</v>
      </c>
      <c r="G621" t="s">
        <v>2138</v>
      </c>
      <c r="H621" t="s">
        <v>56</v>
      </c>
      <c r="I621" t="s">
        <v>2139</v>
      </c>
      <c r="J621" t="s">
        <v>61</v>
      </c>
      <c r="K621" t="s">
        <v>640</v>
      </c>
      <c r="L621" t="s">
        <v>56</v>
      </c>
      <c r="M621" t="s">
        <v>56</v>
      </c>
      <c r="N621" t="s">
        <v>252</v>
      </c>
      <c r="O621" t="s">
        <v>1950</v>
      </c>
      <c r="P621" t="s">
        <v>1951</v>
      </c>
      <c r="Q621" t="s">
        <v>87</v>
      </c>
      <c r="R621" t="s">
        <v>248</v>
      </c>
      <c r="S621">
        <v>8000000</v>
      </c>
      <c r="T621">
        <v>-5391770.46</v>
      </c>
      <c r="U621" t="s">
        <v>68</v>
      </c>
      <c r="V621" t="s">
        <v>1952</v>
      </c>
      <c r="W621" s="9">
        <v>60602386</v>
      </c>
      <c r="X621" t="s">
        <v>2140</v>
      </c>
      <c r="Y621" s="1">
        <v>46053</v>
      </c>
      <c r="Z621" s="1">
        <v>46113</v>
      </c>
      <c r="AA621" s="2">
        <v>635.08000000000004</v>
      </c>
      <c r="AB621" s="2">
        <v>538.20000000000005</v>
      </c>
      <c r="AC621" s="2">
        <v>96.88</v>
      </c>
      <c r="AD621" s="2">
        <v>635.08000000000004</v>
      </c>
      <c r="AE621" t="s">
        <v>2141</v>
      </c>
      <c r="AF621" t="s">
        <v>72</v>
      </c>
      <c r="AG621">
        <v>-35</v>
      </c>
      <c r="AH621" t="s">
        <v>117</v>
      </c>
      <c r="AI621" t="s">
        <v>74</v>
      </c>
      <c r="AJ621" t="s">
        <v>75</v>
      </c>
      <c r="AK621" t="s">
        <v>76</v>
      </c>
      <c r="AL621" t="s">
        <v>118</v>
      </c>
      <c r="AM621" t="s">
        <v>78</v>
      </c>
      <c r="AN621" t="s">
        <v>979</v>
      </c>
      <c r="AO621" t="s">
        <v>119</v>
      </c>
      <c r="AP621" t="s">
        <v>46</v>
      </c>
      <c r="AQ621" t="s">
        <v>81</v>
      </c>
      <c r="AR621" t="str">
        <f t="shared" si="18"/>
        <v>60602386.STATAM</v>
      </c>
      <c r="AS621">
        <f t="shared" si="19"/>
        <v>11383038.910000008</v>
      </c>
      <c r="AT621" t="s">
        <v>82</v>
      </c>
    </row>
    <row r="622" spans="1:46" x14ac:dyDescent="0.35">
      <c r="A622" t="s">
        <v>52</v>
      </c>
      <c r="B622" t="s">
        <v>53</v>
      </c>
      <c r="C622" t="s">
        <v>54</v>
      </c>
      <c r="D622" t="s">
        <v>55</v>
      </c>
      <c r="E622" t="s">
        <v>56</v>
      </c>
      <c r="F622" t="s">
        <v>1947</v>
      </c>
      <c r="G622" t="s">
        <v>2138</v>
      </c>
      <c r="H622" t="s">
        <v>56</v>
      </c>
      <c r="I622" t="s">
        <v>2139</v>
      </c>
      <c r="J622" t="s">
        <v>61</v>
      </c>
      <c r="K622" t="s">
        <v>640</v>
      </c>
      <c r="L622" t="s">
        <v>56</v>
      </c>
      <c r="M622" t="s">
        <v>56</v>
      </c>
      <c r="N622" t="s">
        <v>1384</v>
      </c>
      <c r="O622" t="s">
        <v>1950</v>
      </c>
      <c r="P622" t="s">
        <v>1951</v>
      </c>
      <c r="Q622" t="s">
        <v>87</v>
      </c>
      <c r="R622" t="s">
        <v>248</v>
      </c>
      <c r="S622">
        <v>8000000</v>
      </c>
      <c r="T622">
        <v>-5391770.46</v>
      </c>
      <c r="U622" t="s">
        <v>68</v>
      </c>
      <c r="V622" t="s">
        <v>1952</v>
      </c>
      <c r="W622" s="9">
        <v>60602386</v>
      </c>
      <c r="X622" t="s">
        <v>2140</v>
      </c>
      <c r="Y622" s="1">
        <v>46053</v>
      </c>
      <c r="Z622" s="1">
        <v>46113</v>
      </c>
      <c r="AA622" s="2">
        <v>45268.95</v>
      </c>
      <c r="AB622" s="2">
        <v>38363.519999999997</v>
      </c>
      <c r="AC622" s="2">
        <v>6905.43</v>
      </c>
      <c r="AD622" s="2">
        <v>45268.95</v>
      </c>
      <c r="AE622" t="s">
        <v>2142</v>
      </c>
      <c r="AF622" t="s">
        <v>72</v>
      </c>
      <c r="AG622">
        <v>-35</v>
      </c>
      <c r="AH622" t="s">
        <v>117</v>
      </c>
      <c r="AI622" t="s">
        <v>74</v>
      </c>
      <c r="AJ622" t="s">
        <v>75</v>
      </c>
      <c r="AK622" t="s">
        <v>76</v>
      </c>
      <c r="AL622" t="s">
        <v>118</v>
      </c>
      <c r="AM622" t="s">
        <v>78</v>
      </c>
      <c r="AN622" t="s">
        <v>979</v>
      </c>
      <c r="AO622" t="s">
        <v>119</v>
      </c>
      <c r="AP622" t="s">
        <v>46</v>
      </c>
      <c r="AQ622" t="s">
        <v>81</v>
      </c>
      <c r="AR622" t="str">
        <f t="shared" si="18"/>
        <v>60602386.STATAM</v>
      </c>
      <c r="AS622">
        <f t="shared" si="19"/>
        <v>11383038.910000008</v>
      </c>
      <c r="AT622" t="s">
        <v>82</v>
      </c>
    </row>
    <row r="623" spans="1:46" x14ac:dyDescent="0.35">
      <c r="A623" t="s">
        <v>52</v>
      </c>
      <c r="B623" t="s">
        <v>53</v>
      </c>
      <c r="C623" t="s">
        <v>54</v>
      </c>
      <c r="D623" t="s">
        <v>55</v>
      </c>
      <c r="E623" t="s">
        <v>56</v>
      </c>
      <c r="F623" t="s">
        <v>1947</v>
      </c>
      <c r="G623" t="s">
        <v>2074</v>
      </c>
      <c r="H623" t="s">
        <v>56</v>
      </c>
      <c r="I623" t="s">
        <v>2143</v>
      </c>
      <c r="J623" t="s">
        <v>61</v>
      </c>
      <c r="K623" t="s">
        <v>640</v>
      </c>
      <c r="L623" t="s">
        <v>56</v>
      </c>
      <c r="M623" t="s">
        <v>56</v>
      </c>
      <c r="N623" t="s">
        <v>252</v>
      </c>
      <c r="O623" t="s">
        <v>1950</v>
      </c>
      <c r="P623" t="s">
        <v>1951</v>
      </c>
      <c r="Q623" t="s">
        <v>87</v>
      </c>
      <c r="R623" t="s">
        <v>248</v>
      </c>
      <c r="S623">
        <v>8000000</v>
      </c>
      <c r="T623">
        <v>-5391770.46</v>
      </c>
      <c r="U623" t="s">
        <v>68</v>
      </c>
      <c r="V623" t="s">
        <v>1952</v>
      </c>
      <c r="W623" s="9">
        <v>60602386</v>
      </c>
      <c r="X623" t="s">
        <v>2144</v>
      </c>
      <c r="Y623" s="1">
        <v>46056</v>
      </c>
      <c r="Z623" s="1">
        <v>46116</v>
      </c>
      <c r="AA623" s="2">
        <v>243580.18</v>
      </c>
      <c r="AB623" s="2">
        <v>206423.88</v>
      </c>
      <c r="AC623" s="2">
        <v>37156.300000000003</v>
      </c>
      <c r="AD623" s="2">
        <v>243580.18</v>
      </c>
      <c r="AE623" t="s">
        <v>2145</v>
      </c>
      <c r="AF623" t="s">
        <v>72</v>
      </c>
      <c r="AG623">
        <v>-38</v>
      </c>
      <c r="AH623" t="s">
        <v>117</v>
      </c>
      <c r="AI623" t="s">
        <v>74</v>
      </c>
      <c r="AJ623" t="s">
        <v>75</v>
      </c>
      <c r="AK623" t="s">
        <v>76</v>
      </c>
      <c r="AL623" t="s">
        <v>118</v>
      </c>
      <c r="AM623" t="s">
        <v>78</v>
      </c>
      <c r="AN623" t="s">
        <v>979</v>
      </c>
      <c r="AO623" t="s">
        <v>119</v>
      </c>
      <c r="AP623" t="s">
        <v>46</v>
      </c>
      <c r="AQ623" t="s">
        <v>81</v>
      </c>
      <c r="AR623" t="str">
        <f t="shared" si="18"/>
        <v>60602386.STATAM</v>
      </c>
      <c r="AS623">
        <f t="shared" si="19"/>
        <v>11383038.910000008</v>
      </c>
      <c r="AT623" t="s">
        <v>82</v>
      </c>
    </row>
    <row r="624" spans="1:46" x14ac:dyDescent="0.35">
      <c r="A624" t="s">
        <v>52</v>
      </c>
      <c r="B624" t="s">
        <v>53</v>
      </c>
      <c r="C624" t="s">
        <v>54</v>
      </c>
      <c r="D624" t="s">
        <v>55</v>
      </c>
      <c r="E624" t="s">
        <v>56</v>
      </c>
      <c r="F624" t="s">
        <v>1947</v>
      </c>
      <c r="G624" t="s">
        <v>2051</v>
      </c>
      <c r="H624" t="s">
        <v>56</v>
      </c>
      <c r="I624" t="s">
        <v>2146</v>
      </c>
      <c r="J624" t="s">
        <v>61</v>
      </c>
      <c r="K624" t="s">
        <v>640</v>
      </c>
      <c r="L624" t="s">
        <v>56</v>
      </c>
      <c r="M624" t="s">
        <v>56</v>
      </c>
      <c r="N624" t="s">
        <v>655</v>
      </c>
      <c r="O624" t="s">
        <v>1950</v>
      </c>
      <c r="P624" t="s">
        <v>1951</v>
      </c>
      <c r="Q624" t="s">
        <v>87</v>
      </c>
      <c r="R624" t="s">
        <v>248</v>
      </c>
      <c r="S624">
        <v>8000000</v>
      </c>
      <c r="T624">
        <v>-5391770.46</v>
      </c>
      <c r="U624" t="s">
        <v>68</v>
      </c>
      <c r="V624" t="s">
        <v>1952</v>
      </c>
      <c r="W624" s="9">
        <v>60602386</v>
      </c>
      <c r="X624" t="s">
        <v>2147</v>
      </c>
      <c r="Y624" s="1">
        <v>46056</v>
      </c>
      <c r="Z624" s="1">
        <v>46116</v>
      </c>
      <c r="AA624" s="2">
        <v>61850.879999999997</v>
      </c>
      <c r="AB624" s="2">
        <v>52416</v>
      </c>
      <c r="AC624" s="2">
        <v>9434.8799999999992</v>
      </c>
      <c r="AD624" s="2">
        <v>61850.879999999997</v>
      </c>
      <c r="AE624" t="s">
        <v>2148</v>
      </c>
      <c r="AF624" t="s">
        <v>72</v>
      </c>
      <c r="AG624">
        <v>-38</v>
      </c>
      <c r="AH624" t="s">
        <v>117</v>
      </c>
      <c r="AI624" t="s">
        <v>74</v>
      </c>
      <c r="AJ624" t="s">
        <v>75</v>
      </c>
      <c r="AK624" t="s">
        <v>76</v>
      </c>
      <c r="AL624" t="s">
        <v>118</v>
      </c>
      <c r="AM624" t="s">
        <v>78</v>
      </c>
      <c r="AN624" t="s">
        <v>979</v>
      </c>
      <c r="AO624" t="s">
        <v>119</v>
      </c>
      <c r="AP624" t="s">
        <v>46</v>
      </c>
      <c r="AQ624" t="s">
        <v>81</v>
      </c>
      <c r="AR624" t="str">
        <f t="shared" si="18"/>
        <v>60602386.STATAM</v>
      </c>
      <c r="AS624">
        <f t="shared" si="19"/>
        <v>11383038.910000008</v>
      </c>
      <c r="AT624" t="s">
        <v>82</v>
      </c>
    </row>
    <row r="625" spans="1:46" x14ac:dyDescent="0.35">
      <c r="A625" t="s">
        <v>52</v>
      </c>
      <c r="B625" t="s">
        <v>53</v>
      </c>
      <c r="C625" t="s">
        <v>54</v>
      </c>
      <c r="D625" t="s">
        <v>55</v>
      </c>
      <c r="E625" t="s">
        <v>56</v>
      </c>
      <c r="F625" t="s">
        <v>1947</v>
      </c>
      <c r="G625" t="s">
        <v>2149</v>
      </c>
      <c r="H625" t="s">
        <v>56</v>
      </c>
      <c r="I625" t="s">
        <v>2150</v>
      </c>
      <c r="J625" t="s">
        <v>61</v>
      </c>
      <c r="K625" t="s">
        <v>640</v>
      </c>
      <c r="L625" t="s">
        <v>56</v>
      </c>
      <c r="M625" t="s">
        <v>56</v>
      </c>
      <c r="N625" t="s">
        <v>682</v>
      </c>
      <c r="O625" t="s">
        <v>1950</v>
      </c>
      <c r="P625" t="s">
        <v>1951</v>
      </c>
      <c r="Q625" t="s">
        <v>87</v>
      </c>
      <c r="R625" t="s">
        <v>248</v>
      </c>
      <c r="S625">
        <v>8000000</v>
      </c>
      <c r="T625">
        <v>-5391770.46</v>
      </c>
      <c r="U625" t="s">
        <v>68</v>
      </c>
      <c r="V625" t="s">
        <v>1952</v>
      </c>
      <c r="W625" s="9">
        <v>60602386</v>
      </c>
      <c r="X625" t="s">
        <v>2151</v>
      </c>
      <c r="Y625" s="1">
        <v>46056</v>
      </c>
      <c r="Z625" s="1">
        <v>46116</v>
      </c>
      <c r="AA625" s="2">
        <v>4215.4399999999996</v>
      </c>
      <c r="AB625" s="2">
        <v>3572.4</v>
      </c>
      <c r="AC625" s="2">
        <v>643.04</v>
      </c>
      <c r="AD625" s="2">
        <v>4215.4399999999996</v>
      </c>
      <c r="AE625" t="s">
        <v>2152</v>
      </c>
      <c r="AF625" t="s">
        <v>72</v>
      </c>
      <c r="AG625">
        <v>-38</v>
      </c>
      <c r="AH625" t="s">
        <v>117</v>
      </c>
      <c r="AI625" t="s">
        <v>74</v>
      </c>
      <c r="AJ625" t="s">
        <v>127</v>
      </c>
      <c r="AK625" t="s">
        <v>334</v>
      </c>
      <c r="AL625" t="s">
        <v>118</v>
      </c>
      <c r="AM625" t="s">
        <v>78</v>
      </c>
      <c r="AN625" t="s">
        <v>979</v>
      </c>
      <c r="AO625" t="s">
        <v>119</v>
      </c>
      <c r="AP625" t="s">
        <v>46</v>
      </c>
      <c r="AQ625" t="s">
        <v>335</v>
      </c>
      <c r="AR625" t="str">
        <f t="shared" si="18"/>
        <v>60602386.SPMINAM</v>
      </c>
      <c r="AS625">
        <f t="shared" si="19"/>
        <v>1015972.39</v>
      </c>
      <c r="AT625" t="s">
        <v>82</v>
      </c>
    </row>
    <row r="626" spans="1:46" x14ac:dyDescent="0.35">
      <c r="A626" t="s">
        <v>52</v>
      </c>
      <c r="B626" t="s">
        <v>53</v>
      </c>
      <c r="C626" t="s">
        <v>54</v>
      </c>
      <c r="D626" t="s">
        <v>55</v>
      </c>
      <c r="E626" t="s">
        <v>56</v>
      </c>
      <c r="F626" t="s">
        <v>1947</v>
      </c>
      <c r="G626" t="s">
        <v>2153</v>
      </c>
      <c r="H626" t="s">
        <v>56</v>
      </c>
      <c r="I626" t="s">
        <v>2154</v>
      </c>
      <c r="J626" t="s">
        <v>61</v>
      </c>
      <c r="K626" t="s">
        <v>640</v>
      </c>
      <c r="L626" t="s">
        <v>56</v>
      </c>
      <c r="M626" t="s">
        <v>56</v>
      </c>
      <c r="N626" t="s">
        <v>655</v>
      </c>
      <c r="O626" t="s">
        <v>1950</v>
      </c>
      <c r="P626" t="s">
        <v>1951</v>
      </c>
      <c r="Q626" t="s">
        <v>87</v>
      </c>
      <c r="R626" t="s">
        <v>248</v>
      </c>
      <c r="S626">
        <v>8000000</v>
      </c>
      <c r="T626">
        <v>-5391770.46</v>
      </c>
      <c r="U626" t="s">
        <v>68</v>
      </c>
      <c r="V626" t="s">
        <v>1952</v>
      </c>
      <c r="W626" s="9">
        <v>60602386</v>
      </c>
      <c r="X626" t="s">
        <v>2155</v>
      </c>
      <c r="Y626" s="1">
        <v>46056</v>
      </c>
      <c r="Z626" s="1">
        <v>46116</v>
      </c>
      <c r="AA626" s="2">
        <v>29668.74</v>
      </c>
      <c r="AB626" s="2">
        <v>25143</v>
      </c>
      <c r="AC626" s="2">
        <v>4525.74</v>
      </c>
      <c r="AD626" s="2">
        <v>29668.74</v>
      </c>
      <c r="AE626" t="s">
        <v>2156</v>
      </c>
      <c r="AF626" t="s">
        <v>72</v>
      </c>
      <c r="AG626">
        <v>-38</v>
      </c>
      <c r="AH626" t="s">
        <v>117</v>
      </c>
      <c r="AI626" t="s">
        <v>74</v>
      </c>
      <c r="AJ626" t="s">
        <v>75</v>
      </c>
      <c r="AK626" t="s">
        <v>76</v>
      </c>
      <c r="AL626" t="s">
        <v>118</v>
      </c>
      <c r="AM626" t="s">
        <v>78</v>
      </c>
      <c r="AN626" t="s">
        <v>979</v>
      </c>
      <c r="AO626" t="s">
        <v>119</v>
      </c>
      <c r="AP626" t="s">
        <v>46</v>
      </c>
      <c r="AQ626" t="s">
        <v>81</v>
      </c>
      <c r="AR626" t="str">
        <f t="shared" si="18"/>
        <v>60602386.STATAM</v>
      </c>
      <c r="AS626">
        <f t="shared" si="19"/>
        <v>11383038.910000008</v>
      </c>
      <c r="AT626" t="s">
        <v>82</v>
      </c>
    </row>
    <row r="627" spans="1:46" x14ac:dyDescent="0.35">
      <c r="A627" t="s">
        <v>52</v>
      </c>
      <c r="B627" t="s">
        <v>53</v>
      </c>
      <c r="C627" t="s">
        <v>54</v>
      </c>
      <c r="D627" t="s">
        <v>55</v>
      </c>
      <c r="E627" t="s">
        <v>56</v>
      </c>
      <c r="F627" t="s">
        <v>1947</v>
      </c>
      <c r="G627" t="s">
        <v>2074</v>
      </c>
      <c r="H627" t="s">
        <v>56</v>
      </c>
      <c r="I627" t="s">
        <v>2157</v>
      </c>
      <c r="J627" t="s">
        <v>61</v>
      </c>
      <c r="K627" t="s">
        <v>640</v>
      </c>
      <c r="L627" t="s">
        <v>56</v>
      </c>
      <c r="M627" t="s">
        <v>56</v>
      </c>
      <c r="N627" t="s">
        <v>252</v>
      </c>
      <c r="O627" t="s">
        <v>1950</v>
      </c>
      <c r="P627" t="s">
        <v>1951</v>
      </c>
      <c r="Q627" t="s">
        <v>87</v>
      </c>
      <c r="R627" t="s">
        <v>248</v>
      </c>
      <c r="S627">
        <v>8000000</v>
      </c>
      <c r="T627">
        <v>-5391770.46</v>
      </c>
      <c r="U627" t="s">
        <v>68</v>
      </c>
      <c r="V627" t="s">
        <v>1952</v>
      </c>
      <c r="W627" s="9">
        <v>60602386</v>
      </c>
      <c r="X627" t="s">
        <v>2158</v>
      </c>
      <c r="Y627" s="1">
        <v>46059</v>
      </c>
      <c r="Z627" s="1">
        <v>46119</v>
      </c>
      <c r="AA627" s="2">
        <v>340.55</v>
      </c>
      <c r="AB627" s="2">
        <v>288.60000000000002</v>
      </c>
      <c r="AC627" s="2">
        <v>51.95</v>
      </c>
      <c r="AD627" s="2">
        <v>340.55</v>
      </c>
      <c r="AE627" t="s">
        <v>2159</v>
      </c>
      <c r="AF627" t="s">
        <v>72</v>
      </c>
      <c r="AG627">
        <v>-41</v>
      </c>
      <c r="AH627" t="s">
        <v>117</v>
      </c>
      <c r="AI627" t="s">
        <v>74</v>
      </c>
      <c r="AJ627" t="s">
        <v>75</v>
      </c>
      <c r="AK627" t="s">
        <v>76</v>
      </c>
      <c r="AL627" t="s">
        <v>118</v>
      </c>
      <c r="AM627" t="s">
        <v>78</v>
      </c>
      <c r="AN627" t="s">
        <v>979</v>
      </c>
      <c r="AO627" t="s">
        <v>119</v>
      </c>
      <c r="AP627" t="s">
        <v>46</v>
      </c>
      <c r="AQ627" t="s">
        <v>81</v>
      </c>
      <c r="AR627" t="str">
        <f t="shared" si="18"/>
        <v>60602386.STATAM</v>
      </c>
      <c r="AS627">
        <f t="shared" si="19"/>
        <v>11383038.910000008</v>
      </c>
      <c r="AT627" t="s">
        <v>82</v>
      </c>
    </row>
    <row r="628" spans="1:46" x14ac:dyDescent="0.35">
      <c r="A628" t="s">
        <v>52</v>
      </c>
      <c r="B628" t="s">
        <v>53</v>
      </c>
      <c r="C628" t="s">
        <v>54</v>
      </c>
      <c r="D628" t="s">
        <v>55</v>
      </c>
      <c r="E628" t="s">
        <v>56</v>
      </c>
      <c r="F628" t="s">
        <v>1947</v>
      </c>
      <c r="G628" t="s">
        <v>1995</v>
      </c>
      <c r="H628" t="s">
        <v>56</v>
      </c>
      <c r="I628" t="s">
        <v>2160</v>
      </c>
      <c r="J628" t="s">
        <v>61</v>
      </c>
      <c r="K628" t="s">
        <v>640</v>
      </c>
      <c r="L628" t="s">
        <v>56</v>
      </c>
      <c r="M628" t="s">
        <v>56</v>
      </c>
      <c r="N628" t="s">
        <v>252</v>
      </c>
      <c r="O628" t="s">
        <v>1950</v>
      </c>
      <c r="P628" t="s">
        <v>1951</v>
      </c>
      <c r="Q628" t="s">
        <v>87</v>
      </c>
      <c r="R628" t="s">
        <v>248</v>
      </c>
      <c r="S628">
        <v>8000000</v>
      </c>
      <c r="T628">
        <v>-5391770.46</v>
      </c>
      <c r="U628" t="s">
        <v>68</v>
      </c>
      <c r="V628" t="s">
        <v>1952</v>
      </c>
      <c r="W628" s="9">
        <v>60602386</v>
      </c>
      <c r="X628" t="s">
        <v>2161</v>
      </c>
      <c r="Y628" s="1">
        <v>46059</v>
      </c>
      <c r="Z628" s="1">
        <v>46119</v>
      </c>
      <c r="AA628" s="2">
        <v>1104.48</v>
      </c>
      <c r="AB628" s="2">
        <v>936</v>
      </c>
      <c r="AC628" s="2">
        <v>168.48</v>
      </c>
      <c r="AD628" s="2">
        <v>1104.48</v>
      </c>
      <c r="AE628" t="s">
        <v>2162</v>
      </c>
      <c r="AF628" t="s">
        <v>72</v>
      </c>
      <c r="AG628">
        <v>-41</v>
      </c>
      <c r="AH628" t="s">
        <v>117</v>
      </c>
      <c r="AI628" t="s">
        <v>74</v>
      </c>
      <c r="AJ628" t="s">
        <v>75</v>
      </c>
      <c r="AK628" t="s">
        <v>76</v>
      </c>
      <c r="AL628" t="s">
        <v>118</v>
      </c>
      <c r="AM628" t="s">
        <v>78</v>
      </c>
      <c r="AN628" t="s">
        <v>979</v>
      </c>
      <c r="AO628" t="s">
        <v>119</v>
      </c>
      <c r="AP628" t="s">
        <v>46</v>
      </c>
      <c r="AQ628" t="s">
        <v>81</v>
      </c>
      <c r="AR628" t="str">
        <f t="shared" si="18"/>
        <v>60602386.STATAM</v>
      </c>
      <c r="AS628">
        <f t="shared" si="19"/>
        <v>11383038.910000008</v>
      </c>
      <c r="AT628" t="s">
        <v>82</v>
      </c>
    </row>
    <row r="629" spans="1:46" x14ac:dyDescent="0.35">
      <c r="A629" t="s">
        <v>52</v>
      </c>
      <c r="B629" t="s">
        <v>53</v>
      </c>
      <c r="C629" t="s">
        <v>54</v>
      </c>
      <c r="D629" t="s">
        <v>55</v>
      </c>
      <c r="E629" t="s">
        <v>56</v>
      </c>
      <c r="F629" t="s">
        <v>1947</v>
      </c>
      <c r="G629" t="s">
        <v>1968</v>
      </c>
      <c r="H629" t="s">
        <v>56</v>
      </c>
      <c r="I629" t="s">
        <v>2163</v>
      </c>
      <c r="J629" t="s">
        <v>61</v>
      </c>
      <c r="K629" t="s">
        <v>640</v>
      </c>
      <c r="L629" t="s">
        <v>56</v>
      </c>
      <c r="M629" t="s">
        <v>56</v>
      </c>
      <c r="N629" t="s">
        <v>682</v>
      </c>
      <c r="O629" t="s">
        <v>1950</v>
      </c>
      <c r="P629" t="s">
        <v>1951</v>
      </c>
      <c r="Q629" t="s">
        <v>87</v>
      </c>
      <c r="R629" t="s">
        <v>248</v>
      </c>
      <c r="S629">
        <v>8000000</v>
      </c>
      <c r="T629">
        <v>-5391770.46</v>
      </c>
      <c r="U629" t="s">
        <v>68</v>
      </c>
      <c r="V629" t="s">
        <v>1952</v>
      </c>
      <c r="W629" s="9">
        <v>60602386</v>
      </c>
      <c r="X629" t="s">
        <v>2164</v>
      </c>
      <c r="Y629" s="1">
        <v>46059</v>
      </c>
      <c r="Z629" s="1">
        <v>46119</v>
      </c>
      <c r="AA629" s="2">
        <v>1584.93</v>
      </c>
      <c r="AB629" s="2">
        <v>1343.16</v>
      </c>
      <c r="AC629" s="2">
        <v>241.77</v>
      </c>
      <c r="AD629" s="2">
        <v>1584.93</v>
      </c>
      <c r="AE629" t="s">
        <v>2165</v>
      </c>
      <c r="AF629" t="s">
        <v>72</v>
      </c>
      <c r="AG629">
        <v>-41</v>
      </c>
      <c r="AH629" t="s">
        <v>117</v>
      </c>
      <c r="AI629" t="s">
        <v>74</v>
      </c>
      <c r="AJ629" t="s">
        <v>127</v>
      </c>
      <c r="AK629" t="s">
        <v>334</v>
      </c>
      <c r="AL629" t="s">
        <v>118</v>
      </c>
      <c r="AM629" t="s">
        <v>78</v>
      </c>
      <c r="AN629" t="s">
        <v>979</v>
      </c>
      <c r="AO629" t="s">
        <v>119</v>
      </c>
      <c r="AP629" t="s">
        <v>46</v>
      </c>
      <c r="AQ629" t="s">
        <v>335</v>
      </c>
      <c r="AR629" t="str">
        <f t="shared" si="18"/>
        <v>60602386.SPMINAM</v>
      </c>
      <c r="AS629">
        <f t="shared" si="19"/>
        <v>1015972.39</v>
      </c>
      <c r="AT629" t="s">
        <v>82</v>
      </c>
    </row>
    <row r="630" spans="1:46" x14ac:dyDescent="0.35">
      <c r="A630" t="s">
        <v>52</v>
      </c>
      <c r="B630" t="s">
        <v>53</v>
      </c>
      <c r="C630" t="s">
        <v>54</v>
      </c>
      <c r="D630" t="s">
        <v>55</v>
      </c>
      <c r="E630" t="s">
        <v>56</v>
      </c>
      <c r="F630" t="s">
        <v>1947</v>
      </c>
      <c r="G630" t="s">
        <v>2132</v>
      </c>
      <c r="H630" t="s">
        <v>56</v>
      </c>
      <c r="I630" t="s">
        <v>2166</v>
      </c>
      <c r="J630" t="s">
        <v>61</v>
      </c>
      <c r="K630" t="s">
        <v>640</v>
      </c>
      <c r="L630" t="s">
        <v>56</v>
      </c>
      <c r="M630" t="s">
        <v>56</v>
      </c>
      <c r="N630" t="s">
        <v>1384</v>
      </c>
      <c r="O630" t="s">
        <v>1950</v>
      </c>
      <c r="P630" t="s">
        <v>1951</v>
      </c>
      <c r="Q630" t="s">
        <v>87</v>
      </c>
      <c r="R630" t="s">
        <v>248</v>
      </c>
      <c r="S630">
        <v>8000000</v>
      </c>
      <c r="T630">
        <v>-5391770.46</v>
      </c>
      <c r="U630" t="s">
        <v>68</v>
      </c>
      <c r="V630" t="s">
        <v>1952</v>
      </c>
      <c r="W630" s="9">
        <v>60602386</v>
      </c>
      <c r="X630" t="s">
        <v>2167</v>
      </c>
      <c r="Y630" s="1">
        <v>46059</v>
      </c>
      <c r="Z630" s="1">
        <v>46119</v>
      </c>
      <c r="AA630" s="2">
        <v>18478.87</v>
      </c>
      <c r="AB630" s="2">
        <v>15660.06</v>
      </c>
      <c r="AC630" s="2">
        <v>2818.81</v>
      </c>
      <c r="AD630" s="2">
        <v>18478.87</v>
      </c>
      <c r="AE630" t="s">
        <v>2168</v>
      </c>
      <c r="AF630" t="s">
        <v>72</v>
      </c>
      <c r="AG630">
        <v>-41</v>
      </c>
      <c r="AH630" t="s">
        <v>117</v>
      </c>
      <c r="AI630" t="s">
        <v>74</v>
      </c>
      <c r="AJ630" t="s">
        <v>75</v>
      </c>
      <c r="AK630" t="s">
        <v>76</v>
      </c>
      <c r="AL630" t="s">
        <v>118</v>
      </c>
      <c r="AM630" t="s">
        <v>78</v>
      </c>
      <c r="AN630" t="s">
        <v>979</v>
      </c>
      <c r="AO630" t="s">
        <v>119</v>
      </c>
      <c r="AP630" t="s">
        <v>46</v>
      </c>
      <c r="AQ630" t="s">
        <v>81</v>
      </c>
      <c r="AR630" t="str">
        <f t="shared" si="18"/>
        <v>60602386.STATAM</v>
      </c>
      <c r="AS630">
        <f t="shared" si="19"/>
        <v>11383038.910000008</v>
      </c>
      <c r="AT630" t="s">
        <v>82</v>
      </c>
    </row>
    <row r="631" spans="1:46" x14ac:dyDescent="0.35">
      <c r="A631" t="s">
        <v>52</v>
      </c>
      <c r="B631" t="s">
        <v>53</v>
      </c>
      <c r="C631" t="s">
        <v>54</v>
      </c>
      <c r="D631" t="s">
        <v>55</v>
      </c>
      <c r="E631" t="s">
        <v>56</v>
      </c>
      <c r="F631" t="s">
        <v>1947</v>
      </c>
      <c r="G631" t="s">
        <v>2169</v>
      </c>
      <c r="H631" t="s">
        <v>56</v>
      </c>
      <c r="I631" t="s">
        <v>2170</v>
      </c>
      <c r="J631" t="s">
        <v>476</v>
      </c>
      <c r="K631" t="s">
        <v>640</v>
      </c>
      <c r="L631" t="s">
        <v>56</v>
      </c>
      <c r="M631" t="s">
        <v>56</v>
      </c>
      <c r="N631" t="s">
        <v>244</v>
      </c>
      <c r="O631" t="s">
        <v>1950</v>
      </c>
      <c r="P631" t="s">
        <v>1951</v>
      </c>
      <c r="Q631" t="s">
        <v>641</v>
      </c>
      <c r="R631" t="s">
        <v>248</v>
      </c>
      <c r="S631">
        <v>8000000</v>
      </c>
      <c r="T631">
        <v>-5391770.46</v>
      </c>
      <c r="U631" t="s">
        <v>68</v>
      </c>
      <c r="V631" t="s">
        <v>1952</v>
      </c>
      <c r="W631" s="9">
        <v>60602386</v>
      </c>
      <c r="X631" t="s">
        <v>2171</v>
      </c>
      <c r="Y631" s="1">
        <v>46060</v>
      </c>
      <c r="Z631" s="1">
        <v>46120</v>
      </c>
      <c r="AA631" s="2">
        <v>354092.04</v>
      </c>
      <c r="AB631" s="2">
        <v>300078</v>
      </c>
      <c r="AC631" s="2">
        <v>54014.04</v>
      </c>
      <c r="AD631" s="2">
        <v>354092.04</v>
      </c>
      <c r="AE631" t="s">
        <v>2172</v>
      </c>
      <c r="AF631" t="s">
        <v>72</v>
      </c>
      <c r="AG631">
        <v>-42</v>
      </c>
      <c r="AH631" t="s">
        <v>117</v>
      </c>
      <c r="AI631" t="s">
        <v>74</v>
      </c>
      <c r="AJ631" t="s">
        <v>75</v>
      </c>
      <c r="AK631" t="s">
        <v>76</v>
      </c>
      <c r="AL631" t="s">
        <v>118</v>
      </c>
      <c r="AM631" t="s">
        <v>78</v>
      </c>
      <c r="AN631" t="s">
        <v>979</v>
      </c>
      <c r="AO631" t="s">
        <v>119</v>
      </c>
      <c r="AP631" t="s">
        <v>46</v>
      </c>
      <c r="AQ631" t="s">
        <v>81</v>
      </c>
      <c r="AR631" t="str">
        <f t="shared" si="18"/>
        <v>60602386.STATAM</v>
      </c>
      <c r="AS631">
        <f t="shared" si="19"/>
        <v>11383038.910000008</v>
      </c>
      <c r="AT631" t="s">
        <v>82</v>
      </c>
    </row>
    <row r="632" spans="1:46" x14ac:dyDescent="0.35">
      <c r="A632" t="s">
        <v>52</v>
      </c>
      <c r="B632" t="s">
        <v>53</v>
      </c>
      <c r="C632" t="s">
        <v>54</v>
      </c>
      <c r="D632" t="s">
        <v>55</v>
      </c>
      <c r="E632" t="s">
        <v>56</v>
      </c>
      <c r="F632" t="s">
        <v>1947</v>
      </c>
      <c r="G632" t="s">
        <v>2173</v>
      </c>
      <c r="H632" t="s">
        <v>56</v>
      </c>
      <c r="I632" t="s">
        <v>2174</v>
      </c>
      <c r="J632" t="s">
        <v>61</v>
      </c>
      <c r="K632" t="s">
        <v>640</v>
      </c>
      <c r="L632" t="s">
        <v>56</v>
      </c>
      <c r="M632" t="s">
        <v>56</v>
      </c>
      <c r="N632" t="s">
        <v>263</v>
      </c>
      <c r="O632" t="s">
        <v>1950</v>
      </c>
      <c r="P632" t="s">
        <v>1951</v>
      </c>
      <c r="Q632" t="s">
        <v>87</v>
      </c>
      <c r="R632" t="s">
        <v>248</v>
      </c>
      <c r="S632">
        <v>8000000</v>
      </c>
      <c r="T632">
        <v>-5391770.46</v>
      </c>
      <c r="U632" t="s">
        <v>68</v>
      </c>
      <c r="V632" t="s">
        <v>1952</v>
      </c>
      <c r="W632" s="9">
        <v>60602386</v>
      </c>
      <c r="X632" t="s">
        <v>2175</v>
      </c>
      <c r="Y632" s="1">
        <v>46063</v>
      </c>
      <c r="Z632" s="1">
        <v>46123</v>
      </c>
      <c r="AA632" s="2">
        <v>24138.41</v>
      </c>
      <c r="AB632" s="2">
        <v>20456.28</v>
      </c>
      <c r="AC632" s="2">
        <v>3682.13</v>
      </c>
      <c r="AD632" s="2">
        <v>24138.41</v>
      </c>
      <c r="AE632" t="s">
        <v>2176</v>
      </c>
      <c r="AF632" t="s">
        <v>72</v>
      </c>
      <c r="AG632">
        <v>-45</v>
      </c>
      <c r="AH632" t="s">
        <v>117</v>
      </c>
      <c r="AI632" t="s">
        <v>74</v>
      </c>
      <c r="AJ632" t="s">
        <v>75</v>
      </c>
      <c r="AK632" t="s">
        <v>76</v>
      </c>
      <c r="AL632" t="s">
        <v>118</v>
      </c>
      <c r="AM632" t="s">
        <v>78</v>
      </c>
      <c r="AN632" t="s">
        <v>979</v>
      </c>
      <c r="AO632" t="s">
        <v>119</v>
      </c>
      <c r="AP632" t="s">
        <v>46</v>
      </c>
      <c r="AQ632" t="s">
        <v>81</v>
      </c>
      <c r="AR632" t="str">
        <f t="shared" si="18"/>
        <v>60602386.STATAM</v>
      </c>
      <c r="AS632">
        <f t="shared" si="19"/>
        <v>11383038.910000008</v>
      </c>
      <c r="AT632" t="s">
        <v>82</v>
      </c>
    </row>
    <row r="633" spans="1:46" x14ac:dyDescent="0.35">
      <c r="A633" t="s">
        <v>52</v>
      </c>
      <c r="B633" t="s">
        <v>53</v>
      </c>
      <c r="C633" t="s">
        <v>54</v>
      </c>
      <c r="D633" t="s">
        <v>55</v>
      </c>
      <c r="E633" t="s">
        <v>56</v>
      </c>
      <c r="F633" t="s">
        <v>1947</v>
      </c>
      <c r="G633" t="s">
        <v>2173</v>
      </c>
      <c r="H633" t="s">
        <v>56</v>
      </c>
      <c r="I633" t="s">
        <v>2174</v>
      </c>
      <c r="J633" t="s">
        <v>61</v>
      </c>
      <c r="K633" t="s">
        <v>640</v>
      </c>
      <c r="L633" t="s">
        <v>56</v>
      </c>
      <c r="M633" t="s">
        <v>56</v>
      </c>
      <c r="N633" t="s">
        <v>252</v>
      </c>
      <c r="O633" t="s">
        <v>1950</v>
      </c>
      <c r="P633" t="s">
        <v>1951</v>
      </c>
      <c r="Q633" t="s">
        <v>87</v>
      </c>
      <c r="R633" t="s">
        <v>248</v>
      </c>
      <c r="S633">
        <v>8000000</v>
      </c>
      <c r="T633">
        <v>-5391770.46</v>
      </c>
      <c r="U633" t="s">
        <v>68</v>
      </c>
      <c r="V633" t="s">
        <v>1952</v>
      </c>
      <c r="W633" s="9">
        <v>60602386</v>
      </c>
      <c r="X633" t="s">
        <v>2175</v>
      </c>
      <c r="Y633" s="1">
        <v>46063</v>
      </c>
      <c r="Z633" s="1">
        <v>46123</v>
      </c>
      <c r="AA633" s="2">
        <v>8729.07</v>
      </c>
      <c r="AB633" s="2">
        <v>7397.52</v>
      </c>
      <c r="AC633" s="2">
        <v>1331.55</v>
      </c>
      <c r="AD633" s="2">
        <v>8729.07</v>
      </c>
      <c r="AE633" t="s">
        <v>2177</v>
      </c>
      <c r="AF633" t="s">
        <v>72</v>
      </c>
      <c r="AG633">
        <v>-45</v>
      </c>
      <c r="AH633" t="s">
        <v>117</v>
      </c>
      <c r="AI633" t="s">
        <v>74</v>
      </c>
      <c r="AJ633" t="s">
        <v>75</v>
      </c>
      <c r="AK633" t="s">
        <v>76</v>
      </c>
      <c r="AL633" t="s">
        <v>118</v>
      </c>
      <c r="AM633" t="s">
        <v>78</v>
      </c>
      <c r="AN633" t="s">
        <v>979</v>
      </c>
      <c r="AO633" t="s">
        <v>119</v>
      </c>
      <c r="AP633" t="s">
        <v>46</v>
      </c>
      <c r="AQ633" t="s">
        <v>81</v>
      </c>
      <c r="AR633" t="str">
        <f t="shared" si="18"/>
        <v>60602386.STATAM</v>
      </c>
      <c r="AS633">
        <f t="shared" si="19"/>
        <v>11383038.910000008</v>
      </c>
      <c r="AT633" t="s">
        <v>82</v>
      </c>
    </row>
    <row r="634" spans="1:46" x14ac:dyDescent="0.35">
      <c r="A634" t="s">
        <v>52</v>
      </c>
      <c r="B634" t="s">
        <v>53</v>
      </c>
      <c r="C634" t="s">
        <v>54</v>
      </c>
      <c r="D634" t="s">
        <v>55</v>
      </c>
      <c r="E634" t="s">
        <v>56</v>
      </c>
      <c r="F634" t="s">
        <v>1947</v>
      </c>
      <c r="G634" t="s">
        <v>2173</v>
      </c>
      <c r="H634" t="s">
        <v>56</v>
      </c>
      <c r="I634" t="s">
        <v>2174</v>
      </c>
      <c r="J634" t="s">
        <v>61</v>
      </c>
      <c r="K634" t="s">
        <v>640</v>
      </c>
      <c r="L634" t="s">
        <v>56</v>
      </c>
      <c r="M634" t="s">
        <v>56</v>
      </c>
      <c r="N634" t="s">
        <v>1384</v>
      </c>
      <c r="O634" t="s">
        <v>1950</v>
      </c>
      <c r="P634" t="s">
        <v>1951</v>
      </c>
      <c r="Q634" t="s">
        <v>87</v>
      </c>
      <c r="R634" t="s">
        <v>248</v>
      </c>
      <c r="S634">
        <v>8000000</v>
      </c>
      <c r="T634">
        <v>-5391770.46</v>
      </c>
      <c r="U634" t="s">
        <v>68</v>
      </c>
      <c r="V634" t="s">
        <v>1952</v>
      </c>
      <c r="W634" s="9">
        <v>60602386</v>
      </c>
      <c r="X634" t="s">
        <v>2175</v>
      </c>
      <c r="Y634" s="1">
        <v>46063</v>
      </c>
      <c r="Z634" s="1">
        <v>46123</v>
      </c>
      <c r="AA634" s="2">
        <v>45267.11</v>
      </c>
      <c r="AB634" s="2">
        <v>38361.96</v>
      </c>
      <c r="AC634" s="2">
        <v>6905.15</v>
      </c>
      <c r="AD634" s="2">
        <v>45267.11</v>
      </c>
      <c r="AE634" t="s">
        <v>2178</v>
      </c>
      <c r="AF634" t="s">
        <v>72</v>
      </c>
      <c r="AG634">
        <v>-45</v>
      </c>
      <c r="AH634" t="s">
        <v>117</v>
      </c>
      <c r="AI634" t="s">
        <v>74</v>
      </c>
      <c r="AJ634" t="s">
        <v>75</v>
      </c>
      <c r="AK634" t="s">
        <v>76</v>
      </c>
      <c r="AL634" t="s">
        <v>118</v>
      </c>
      <c r="AM634" t="s">
        <v>78</v>
      </c>
      <c r="AN634" t="s">
        <v>979</v>
      </c>
      <c r="AO634" t="s">
        <v>119</v>
      </c>
      <c r="AP634" t="s">
        <v>46</v>
      </c>
      <c r="AQ634" t="s">
        <v>81</v>
      </c>
      <c r="AR634" t="str">
        <f t="shared" si="18"/>
        <v>60602386.STATAM</v>
      </c>
      <c r="AS634">
        <f t="shared" si="19"/>
        <v>11383038.910000008</v>
      </c>
      <c r="AT634" t="s">
        <v>82</v>
      </c>
    </row>
    <row r="635" spans="1:46" x14ac:dyDescent="0.35">
      <c r="A635" t="s">
        <v>52</v>
      </c>
      <c r="B635" t="s">
        <v>53</v>
      </c>
      <c r="C635" t="s">
        <v>54</v>
      </c>
      <c r="D635" t="s">
        <v>55</v>
      </c>
      <c r="E635" t="s">
        <v>56</v>
      </c>
      <c r="F635" t="s">
        <v>1947</v>
      </c>
      <c r="G635" t="s">
        <v>2179</v>
      </c>
      <c r="H635" t="s">
        <v>56</v>
      </c>
      <c r="I635" t="s">
        <v>2180</v>
      </c>
      <c r="J635" t="s">
        <v>61</v>
      </c>
      <c r="K635" t="s">
        <v>640</v>
      </c>
      <c r="L635" t="s">
        <v>56</v>
      </c>
      <c r="M635" t="s">
        <v>56</v>
      </c>
      <c r="N635" t="s">
        <v>1384</v>
      </c>
      <c r="O635" t="s">
        <v>1950</v>
      </c>
      <c r="P635" t="s">
        <v>1951</v>
      </c>
      <c r="Q635" t="s">
        <v>87</v>
      </c>
      <c r="R635" t="s">
        <v>248</v>
      </c>
      <c r="S635">
        <v>8000000</v>
      </c>
      <c r="T635">
        <v>-5391770.46</v>
      </c>
      <c r="U635" t="s">
        <v>68</v>
      </c>
      <c r="V635" t="s">
        <v>1952</v>
      </c>
      <c r="W635" s="9">
        <v>60602386</v>
      </c>
      <c r="X635" t="s">
        <v>2181</v>
      </c>
      <c r="Y635" s="1">
        <v>46063</v>
      </c>
      <c r="Z635" s="1">
        <v>46123</v>
      </c>
      <c r="AA635" s="2">
        <v>57871.07</v>
      </c>
      <c r="AB635" s="2">
        <v>49043.28</v>
      </c>
      <c r="AC635" s="2">
        <v>8827.7900000000009</v>
      </c>
      <c r="AD635" s="2">
        <v>57871.07</v>
      </c>
      <c r="AE635" t="s">
        <v>2182</v>
      </c>
      <c r="AF635" t="s">
        <v>72</v>
      </c>
      <c r="AG635">
        <v>-45</v>
      </c>
      <c r="AH635" t="s">
        <v>117</v>
      </c>
      <c r="AI635" t="s">
        <v>74</v>
      </c>
      <c r="AJ635" t="s">
        <v>75</v>
      </c>
      <c r="AK635" t="s">
        <v>76</v>
      </c>
      <c r="AL635" t="s">
        <v>118</v>
      </c>
      <c r="AM635" t="s">
        <v>78</v>
      </c>
      <c r="AN635" t="s">
        <v>979</v>
      </c>
      <c r="AO635" t="s">
        <v>119</v>
      </c>
      <c r="AP635" t="s">
        <v>46</v>
      </c>
      <c r="AQ635" t="s">
        <v>81</v>
      </c>
      <c r="AR635" t="str">
        <f t="shared" si="18"/>
        <v>60602386.STATAM</v>
      </c>
      <c r="AS635">
        <f t="shared" si="19"/>
        <v>11383038.910000008</v>
      </c>
      <c r="AT635" t="s">
        <v>82</v>
      </c>
    </row>
    <row r="636" spans="1:46" x14ac:dyDescent="0.35">
      <c r="A636" t="s">
        <v>52</v>
      </c>
      <c r="B636" t="s">
        <v>53</v>
      </c>
      <c r="C636" t="s">
        <v>54</v>
      </c>
      <c r="D636" t="s">
        <v>55</v>
      </c>
      <c r="E636" t="s">
        <v>56</v>
      </c>
      <c r="F636" t="s">
        <v>1947</v>
      </c>
      <c r="G636" t="s">
        <v>2183</v>
      </c>
      <c r="H636" t="s">
        <v>56</v>
      </c>
      <c r="I636" t="s">
        <v>2184</v>
      </c>
      <c r="J636" t="s">
        <v>476</v>
      </c>
      <c r="K636" t="s">
        <v>640</v>
      </c>
      <c r="L636" t="s">
        <v>56</v>
      </c>
      <c r="M636" t="s">
        <v>56</v>
      </c>
      <c r="N636" t="s">
        <v>244</v>
      </c>
      <c r="O636" t="s">
        <v>1950</v>
      </c>
      <c r="P636" t="s">
        <v>1951</v>
      </c>
      <c r="Q636" t="s">
        <v>641</v>
      </c>
      <c r="R636" t="s">
        <v>248</v>
      </c>
      <c r="S636">
        <v>8000000</v>
      </c>
      <c r="T636">
        <v>-5391770.46</v>
      </c>
      <c r="U636" t="s">
        <v>68</v>
      </c>
      <c r="V636" t="s">
        <v>1952</v>
      </c>
      <c r="W636" s="9">
        <v>60602386</v>
      </c>
      <c r="X636" t="s">
        <v>2185</v>
      </c>
      <c r="Y636" s="1">
        <v>46065</v>
      </c>
      <c r="Z636" s="1">
        <v>46125</v>
      </c>
      <c r="AA636" s="2">
        <v>998599.78</v>
      </c>
      <c r="AB636" s="2">
        <v>846271</v>
      </c>
      <c r="AC636" s="2">
        <v>152328.78</v>
      </c>
      <c r="AD636" s="2">
        <v>998599.78</v>
      </c>
      <c r="AE636" t="s">
        <v>2186</v>
      </c>
      <c r="AF636" t="s">
        <v>72</v>
      </c>
      <c r="AG636">
        <v>-47</v>
      </c>
      <c r="AH636" t="s">
        <v>117</v>
      </c>
      <c r="AI636" t="s">
        <v>74</v>
      </c>
      <c r="AJ636" t="s">
        <v>75</v>
      </c>
      <c r="AK636" t="s">
        <v>76</v>
      </c>
      <c r="AL636" t="s">
        <v>118</v>
      </c>
      <c r="AM636" t="s">
        <v>78</v>
      </c>
      <c r="AN636" t="s">
        <v>979</v>
      </c>
      <c r="AO636" t="s">
        <v>119</v>
      </c>
      <c r="AP636" t="s">
        <v>46</v>
      </c>
      <c r="AQ636" t="s">
        <v>81</v>
      </c>
      <c r="AR636" t="str">
        <f t="shared" si="18"/>
        <v>60602386.STATAM</v>
      </c>
      <c r="AS636">
        <f t="shared" si="19"/>
        <v>11383038.910000008</v>
      </c>
      <c r="AT636" t="s">
        <v>82</v>
      </c>
    </row>
    <row r="637" spans="1:46" x14ac:dyDescent="0.35">
      <c r="A637" t="s">
        <v>52</v>
      </c>
      <c r="B637" t="s">
        <v>53</v>
      </c>
      <c r="C637" t="s">
        <v>54</v>
      </c>
      <c r="D637" t="s">
        <v>55</v>
      </c>
      <c r="E637" t="s">
        <v>56</v>
      </c>
      <c r="F637" t="s">
        <v>1947</v>
      </c>
      <c r="G637" t="s">
        <v>2183</v>
      </c>
      <c r="H637" t="s">
        <v>56</v>
      </c>
      <c r="I637" t="s">
        <v>2184</v>
      </c>
      <c r="J637" t="s">
        <v>476</v>
      </c>
      <c r="K637" t="s">
        <v>640</v>
      </c>
      <c r="L637" t="s">
        <v>56</v>
      </c>
      <c r="M637" t="s">
        <v>56</v>
      </c>
      <c r="N637" t="s">
        <v>263</v>
      </c>
      <c r="O637" t="s">
        <v>1950</v>
      </c>
      <c r="P637" t="s">
        <v>1951</v>
      </c>
      <c r="Q637" t="s">
        <v>641</v>
      </c>
      <c r="R637" t="s">
        <v>248</v>
      </c>
      <c r="S637">
        <v>8000000</v>
      </c>
      <c r="T637">
        <v>-5391770.46</v>
      </c>
      <c r="U637" t="s">
        <v>68</v>
      </c>
      <c r="V637" t="s">
        <v>1952</v>
      </c>
      <c r="W637" s="9">
        <v>60602386</v>
      </c>
      <c r="X637" t="s">
        <v>2185</v>
      </c>
      <c r="Y637" s="1">
        <v>46065</v>
      </c>
      <c r="Z637" s="1">
        <v>46125</v>
      </c>
      <c r="AA637" s="2">
        <v>259447.78</v>
      </c>
      <c r="AB637" s="2">
        <v>219871</v>
      </c>
      <c r="AC637" s="2">
        <v>39576.78</v>
      </c>
      <c r="AD637" s="2">
        <v>259447.78</v>
      </c>
      <c r="AE637" t="s">
        <v>2187</v>
      </c>
      <c r="AF637" t="s">
        <v>72</v>
      </c>
      <c r="AG637">
        <v>-47</v>
      </c>
      <c r="AH637" t="s">
        <v>117</v>
      </c>
      <c r="AI637" t="s">
        <v>74</v>
      </c>
      <c r="AJ637" t="s">
        <v>75</v>
      </c>
      <c r="AK637" t="s">
        <v>76</v>
      </c>
      <c r="AL637" t="s">
        <v>118</v>
      </c>
      <c r="AM637" t="s">
        <v>78</v>
      </c>
      <c r="AN637" t="s">
        <v>979</v>
      </c>
      <c r="AO637" t="s">
        <v>119</v>
      </c>
      <c r="AP637" t="s">
        <v>46</v>
      </c>
      <c r="AQ637" t="s">
        <v>81</v>
      </c>
      <c r="AR637" t="str">
        <f t="shared" si="18"/>
        <v>60602386.STATAM</v>
      </c>
      <c r="AS637">
        <f t="shared" si="19"/>
        <v>11383038.910000008</v>
      </c>
      <c r="AT637" t="s">
        <v>82</v>
      </c>
    </row>
    <row r="638" spans="1:46" x14ac:dyDescent="0.35">
      <c r="A638" t="s">
        <v>52</v>
      </c>
      <c r="B638" t="s">
        <v>53</v>
      </c>
      <c r="C638" t="s">
        <v>54</v>
      </c>
      <c r="D638" t="s">
        <v>55</v>
      </c>
      <c r="E638" t="s">
        <v>56</v>
      </c>
      <c r="F638" t="s">
        <v>1947</v>
      </c>
      <c r="G638" t="s">
        <v>2117</v>
      </c>
      <c r="H638" t="s">
        <v>56</v>
      </c>
      <c r="I638" t="s">
        <v>2188</v>
      </c>
      <c r="J638" t="s">
        <v>61</v>
      </c>
      <c r="K638" t="s">
        <v>640</v>
      </c>
      <c r="L638" t="s">
        <v>56</v>
      </c>
      <c r="M638" t="s">
        <v>56</v>
      </c>
      <c r="N638" t="s">
        <v>1384</v>
      </c>
      <c r="O638" t="s">
        <v>1950</v>
      </c>
      <c r="P638" t="s">
        <v>1951</v>
      </c>
      <c r="Q638" t="s">
        <v>87</v>
      </c>
      <c r="R638" t="s">
        <v>248</v>
      </c>
      <c r="S638">
        <v>8000000</v>
      </c>
      <c r="T638">
        <v>-5391770.46</v>
      </c>
      <c r="U638" t="s">
        <v>68</v>
      </c>
      <c r="V638" t="s">
        <v>1952</v>
      </c>
      <c r="W638" s="9">
        <v>60602386</v>
      </c>
      <c r="X638" t="s">
        <v>2189</v>
      </c>
      <c r="Y638" s="1">
        <v>46065</v>
      </c>
      <c r="Z638" s="1">
        <v>46125</v>
      </c>
      <c r="AA638" s="2">
        <v>37117.89</v>
      </c>
      <c r="AB638" s="2">
        <v>31455.84</v>
      </c>
      <c r="AC638" s="2">
        <v>5662.05</v>
      </c>
      <c r="AD638" s="2">
        <v>37117.89</v>
      </c>
      <c r="AE638" t="s">
        <v>2190</v>
      </c>
      <c r="AF638" t="s">
        <v>72</v>
      </c>
      <c r="AG638">
        <v>-47</v>
      </c>
      <c r="AH638" t="s">
        <v>117</v>
      </c>
      <c r="AI638" t="s">
        <v>74</v>
      </c>
      <c r="AJ638" t="s">
        <v>75</v>
      </c>
      <c r="AK638" t="s">
        <v>76</v>
      </c>
      <c r="AL638" t="s">
        <v>118</v>
      </c>
      <c r="AM638" t="s">
        <v>78</v>
      </c>
      <c r="AN638" t="s">
        <v>979</v>
      </c>
      <c r="AO638" t="s">
        <v>119</v>
      </c>
      <c r="AP638" t="s">
        <v>46</v>
      </c>
      <c r="AQ638" t="s">
        <v>81</v>
      </c>
      <c r="AR638" t="str">
        <f t="shared" si="18"/>
        <v>60602386.STATAM</v>
      </c>
      <c r="AS638">
        <f t="shared" si="19"/>
        <v>11383038.910000008</v>
      </c>
      <c r="AT638" t="s">
        <v>82</v>
      </c>
    </row>
    <row r="639" spans="1:46" x14ac:dyDescent="0.35">
      <c r="A639" t="s">
        <v>52</v>
      </c>
      <c r="B639" t="s">
        <v>53</v>
      </c>
      <c r="C639" t="s">
        <v>54</v>
      </c>
      <c r="D639" t="s">
        <v>55</v>
      </c>
      <c r="E639" t="s">
        <v>56</v>
      </c>
      <c r="F639" t="s">
        <v>1947</v>
      </c>
      <c r="G639" t="s">
        <v>2191</v>
      </c>
      <c r="H639" t="s">
        <v>56</v>
      </c>
      <c r="I639" t="s">
        <v>2192</v>
      </c>
      <c r="J639" t="s">
        <v>476</v>
      </c>
      <c r="K639" t="s">
        <v>640</v>
      </c>
      <c r="L639" t="s">
        <v>56</v>
      </c>
      <c r="M639" t="s">
        <v>56</v>
      </c>
      <c r="N639" t="s">
        <v>254</v>
      </c>
      <c r="O639" t="s">
        <v>1950</v>
      </c>
      <c r="P639" t="s">
        <v>1951</v>
      </c>
      <c r="Q639" t="s">
        <v>641</v>
      </c>
      <c r="R639" t="s">
        <v>248</v>
      </c>
      <c r="S639">
        <v>8000000</v>
      </c>
      <c r="T639">
        <v>-5391770.46</v>
      </c>
      <c r="U639" t="s">
        <v>68</v>
      </c>
      <c r="V639" t="s">
        <v>1952</v>
      </c>
      <c r="W639" s="9">
        <v>60602386</v>
      </c>
      <c r="X639" t="s">
        <v>2193</v>
      </c>
      <c r="Y639" s="1">
        <v>46065</v>
      </c>
      <c r="Z639" s="1">
        <v>46125</v>
      </c>
      <c r="AA639" s="2">
        <v>272471.44</v>
      </c>
      <c r="AB639" s="2">
        <v>230908</v>
      </c>
      <c r="AC639" s="2">
        <v>41563.440000000002</v>
      </c>
      <c r="AD639" s="2">
        <v>272471.44</v>
      </c>
      <c r="AE639" t="s">
        <v>2194</v>
      </c>
      <c r="AF639" t="s">
        <v>72</v>
      </c>
      <c r="AG639">
        <v>-47</v>
      </c>
      <c r="AH639" t="s">
        <v>117</v>
      </c>
      <c r="AI639" t="s">
        <v>74</v>
      </c>
      <c r="AJ639" t="s">
        <v>75</v>
      </c>
      <c r="AK639" t="s">
        <v>76</v>
      </c>
      <c r="AL639" t="s">
        <v>118</v>
      </c>
      <c r="AM639" t="s">
        <v>78</v>
      </c>
      <c r="AN639" t="s">
        <v>979</v>
      </c>
      <c r="AO639" t="s">
        <v>119</v>
      </c>
      <c r="AP639" t="s">
        <v>46</v>
      </c>
      <c r="AQ639" t="s">
        <v>81</v>
      </c>
      <c r="AR639" t="str">
        <f t="shared" si="18"/>
        <v>60602386.STATAM</v>
      </c>
      <c r="AS639">
        <f t="shared" si="19"/>
        <v>11383038.910000008</v>
      </c>
      <c r="AT639" t="s">
        <v>82</v>
      </c>
    </row>
    <row r="640" spans="1:46" x14ac:dyDescent="0.35">
      <c r="A640" t="s">
        <v>52</v>
      </c>
      <c r="B640" t="s">
        <v>53</v>
      </c>
      <c r="C640" t="s">
        <v>54</v>
      </c>
      <c r="D640" t="s">
        <v>55</v>
      </c>
      <c r="E640" t="s">
        <v>56</v>
      </c>
      <c r="F640" t="s">
        <v>1947</v>
      </c>
      <c r="G640" t="s">
        <v>2179</v>
      </c>
      <c r="H640" t="s">
        <v>56</v>
      </c>
      <c r="I640" t="s">
        <v>2195</v>
      </c>
      <c r="J640" t="s">
        <v>61</v>
      </c>
      <c r="K640" t="s">
        <v>640</v>
      </c>
      <c r="L640" t="s">
        <v>56</v>
      </c>
      <c r="M640" t="s">
        <v>56</v>
      </c>
      <c r="N640" t="s">
        <v>1384</v>
      </c>
      <c r="O640" t="s">
        <v>1950</v>
      </c>
      <c r="P640" t="s">
        <v>1951</v>
      </c>
      <c r="Q640" t="s">
        <v>87</v>
      </c>
      <c r="R640" t="s">
        <v>248</v>
      </c>
      <c r="S640">
        <v>8000000</v>
      </c>
      <c r="T640">
        <v>-5391770.46</v>
      </c>
      <c r="U640" t="s">
        <v>68</v>
      </c>
      <c r="V640" t="s">
        <v>1952</v>
      </c>
      <c r="W640" s="9">
        <v>60602386</v>
      </c>
      <c r="X640" t="s">
        <v>2196</v>
      </c>
      <c r="Y640" s="1">
        <v>46066</v>
      </c>
      <c r="Z640" s="1">
        <v>46126</v>
      </c>
      <c r="AA640" s="2">
        <v>31323.05</v>
      </c>
      <c r="AB640" s="2">
        <v>26544.959999999999</v>
      </c>
      <c r="AC640" s="2">
        <v>4778.09</v>
      </c>
      <c r="AD640" s="2">
        <v>31323.05</v>
      </c>
      <c r="AE640" t="s">
        <v>2197</v>
      </c>
      <c r="AF640" t="s">
        <v>72</v>
      </c>
      <c r="AG640">
        <v>-48</v>
      </c>
      <c r="AH640" t="s">
        <v>117</v>
      </c>
      <c r="AI640" t="s">
        <v>74</v>
      </c>
      <c r="AJ640" t="s">
        <v>75</v>
      </c>
      <c r="AK640" t="s">
        <v>76</v>
      </c>
      <c r="AL640" t="s">
        <v>118</v>
      </c>
      <c r="AM640" t="s">
        <v>78</v>
      </c>
      <c r="AN640" t="s">
        <v>979</v>
      </c>
      <c r="AO640" t="s">
        <v>119</v>
      </c>
      <c r="AP640" t="s">
        <v>46</v>
      </c>
      <c r="AQ640" t="s">
        <v>81</v>
      </c>
      <c r="AR640" t="str">
        <f t="shared" si="18"/>
        <v>60602386.STATAM</v>
      </c>
      <c r="AS640">
        <f t="shared" si="19"/>
        <v>11383038.910000008</v>
      </c>
      <c r="AT640" t="s">
        <v>82</v>
      </c>
    </row>
    <row r="641" spans="1:46" x14ac:dyDescent="0.35">
      <c r="A641" t="s">
        <v>52</v>
      </c>
      <c r="B641" t="s">
        <v>53</v>
      </c>
      <c r="C641" t="s">
        <v>54</v>
      </c>
      <c r="D641" t="s">
        <v>55</v>
      </c>
      <c r="E641" t="s">
        <v>56</v>
      </c>
      <c r="F641" t="s">
        <v>1947</v>
      </c>
      <c r="G641" t="s">
        <v>2173</v>
      </c>
      <c r="H641" t="s">
        <v>56</v>
      </c>
      <c r="I641" t="s">
        <v>2198</v>
      </c>
      <c r="J641" t="s">
        <v>61</v>
      </c>
      <c r="K641" t="s">
        <v>640</v>
      </c>
      <c r="L641" t="s">
        <v>56</v>
      </c>
      <c r="M641" t="s">
        <v>56</v>
      </c>
      <c r="N641" t="s">
        <v>252</v>
      </c>
      <c r="O641" t="s">
        <v>1950</v>
      </c>
      <c r="P641" t="s">
        <v>1951</v>
      </c>
      <c r="Q641" t="s">
        <v>87</v>
      </c>
      <c r="R641" t="s">
        <v>248</v>
      </c>
      <c r="S641">
        <v>8000000</v>
      </c>
      <c r="T641">
        <v>-5391770.46</v>
      </c>
      <c r="U641" t="s">
        <v>68</v>
      </c>
      <c r="V641" t="s">
        <v>1952</v>
      </c>
      <c r="W641" s="9">
        <v>60602386</v>
      </c>
      <c r="X641" t="s">
        <v>2199</v>
      </c>
      <c r="Y641" s="1">
        <v>46067</v>
      </c>
      <c r="Z641" s="1">
        <v>46127</v>
      </c>
      <c r="AA641" s="2">
        <v>13979.04</v>
      </c>
      <c r="AB641" s="2">
        <v>11846.64</v>
      </c>
      <c r="AC641" s="2">
        <v>2132.4</v>
      </c>
      <c r="AD641" s="2">
        <v>13979.04</v>
      </c>
      <c r="AE641" t="s">
        <v>2200</v>
      </c>
      <c r="AF641" t="s">
        <v>72</v>
      </c>
      <c r="AG641">
        <v>-49</v>
      </c>
      <c r="AH641" t="s">
        <v>117</v>
      </c>
      <c r="AI641" t="s">
        <v>74</v>
      </c>
      <c r="AJ641" t="s">
        <v>75</v>
      </c>
      <c r="AK641" t="s">
        <v>76</v>
      </c>
      <c r="AL641" t="s">
        <v>118</v>
      </c>
      <c r="AM641" t="s">
        <v>78</v>
      </c>
      <c r="AN641" t="s">
        <v>979</v>
      </c>
      <c r="AO641" t="s">
        <v>119</v>
      </c>
      <c r="AP641" t="s">
        <v>46</v>
      </c>
      <c r="AQ641" t="s">
        <v>81</v>
      </c>
      <c r="AR641" t="str">
        <f t="shared" si="18"/>
        <v>60602386.STATAM</v>
      </c>
      <c r="AS641">
        <f t="shared" si="19"/>
        <v>11383038.910000008</v>
      </c>
      <c r="AT641" t="s">
        <v>82</v>
      </c>
    </row>
    <row r="642" spans="1:46" x14ac:dyDescent="0.35">
      <c r="A642" t="s">
        <v>52</v>
      </c>
      <c r="B642" t="s">
        <v>53</v>
      </c>
      <c r="C642" t="s">
        <v>54</v>
      </c>
      <c r="D642" t="s">
        <v>55</v>
      </c>
      <c r="E642" t="s">
        <v>56</v>
      </c>
      <c r="F642" t="s">
        <v>1947</v>
      </c>
      <c r="G642" t="s">
        <v>2112</v>
      </c>
      <c r="H642" t="s">
        <v>56</v>
      </c>
      <c r="I642" t="s">
        <v>2201</v>
      </c>
      <c r="J642" t="s">
        <v>61</v>
      </c>
      <c r="K642" t="s">
        <v>640</v>
      </c>
      <c r="L642" t="s">
        <v>56</v>
      </c>
      <c r="M642" t="s">
        <v>56</v>
      </c>
      <c r="N642" t="s">
        <v>252</v>
      </c>
      <c r="O642" t="s">
        <v>1950</v>
      </c>
      <c r="P642" t="s">
        <v>1951</v>
      </c>
      <c r="Q642" t="s">
        <v>87</v>
      </c>
      <c r="R642" t="s">
        <v>248</v>
      </c>
      <c r="S642">
        <v>8000000</v>
      </c>
      <c r="T642">
        <v>-5391770.46</v>
      </c>
      <c r="U642" t="s">
        <v>68</v>
      </c>
      <c r="V642" t="s">
        <v>1952</v>
      </c>
      <c r="W642" s="9">
        <v>60602386</v>
      </c>
      <c r="X642" t="s">
        <v>2202</v>
      </c>
      <c r="Y642" s="1">
        <v>46067</v>
      </c>
      <c r="Z642" s="1">
        <v>46127</v>
      </c>
      <c r="AA642" s="2">
        <v>1397.17</v>
      </c>
      <c r="AB642" s="2">
        <v>1184.04</v>
      </c>
      <c r="AC642" s="2">
        <v>213.13</v>
      </c>
      <c r="AD642" s="2">
        <v>1397.17</v>
      </c>
      <c r="AE642" t="s">
        <v>2203</v>
      </c>
      <c r="AF642" t="s">
        <v>72</v>
      </c>
      <c r="AG642">
        <v>-49</v>
      </c>
      <c r="AH642" t="s">
        <v>117</v>
      </c>
      <c r="AI642" t="s">
        <v>74</v>
      </c>
      <c r="AJ642" t="s">
        <v>75</v>
      </c>
      <c r="AK642" t="s">
        <v>76</v>
      </c>
      <c r="AL642" t="s">
        <v>118</v>
      </c>
      <c r="AM642" t="s">
        <v>78</v>
      </c>
      <c r="AN642" t="s">
        <v>979</v>
      </c>
      <c r="AO642" t="s">
        <v>119</v>
      </c>
      <c r="AP642" t="s">
        <v>46</v>
      </c>
      <c r="AQ642" t="s">
        <v>81</v>
      </c>
      <c r="AR642" t="str">
        <f t="shared" si="18"/>
        <v>60602386.STATAM</v>
      </c>
      <c r="AS642">
        <f t="shared" si="19"/>
        <v>11383038.910000008</v>
      </c>
      <c r="AT642" t="s">
        <v>82</v>
      </c>
    </row>
    <row r="643" spans="1:46" x14ac:dyDescent="0.35">
      <c r="A643" t="s">
        <v>52</v>
      </c>
      <c r="B643" t="s">
        <v>53</v>
      </c>
      <c r="C643" t="s">
        <v>54</v>
      </c>
      <c r="D643" t="s">
        <v>55</v>
      </c>
      <c r="E643" t="s">
        <v>56</v>
      </c>
      <c r="F643" t="s">
        <v>1947</v>
      </c>
      <c r="G643" t="s">
        <v>2138</v>
      </c>
      <c r="H643" t="s">
        <v>56</v>
      </c>
      <c r="I643" t="s">
        <v>2204</v>
      </c>
      <c r="J643" t="s">
        <v>61</v>
      </c>
      <c r="K643" t="s">
        <v>640</v>
      </c>
      <c r="L643" t="s">
        <v>56</v>
      </c>
      <c r="M643" t="s">
        <v>56</v>
      </c>
      <c r="N643" t="s">
        <v>252</v>
      </c>
      <c r="O643" t="s">
        <v>1950</v>
      </c>
      <c r="P643" t="s">
        <v>1951</v>
      </c>
      <c r="Q643" t="s">
        <v>87</v>
      </c>
      <c r="R643" t="s">
        <v>248</v>
      </c>
      <c r="S643">
        <v>8000000</v>
      </c>
      <c r="T643">
        <v>-5391770.46</v>
      </c>
      <c r="U643" t="s">
        <v>68</v>
      </c>
      <c r="V643" t="s">
        <v>1952</v>
      </c>
      <c r="W643" s="9">
        <v>60602386</v>
      </c>
      <c r="X643" t="s">
        <v>2205</v>
      </c>
      <c r="Y643" s="1">
        <v>46067</v>
      </c>
      <c r="Z643" s="1">
        <v>46127</v>
      </c>
      <c r="AA643" s="2">
        <v>1397.17</v>
      </c>
      <c r="AB643" s="2">
        <v>1184.04</v>
      </c>
      <c r="AC643" s="2">
        <v>213.13</v>
      </c>
      <c r="AD643" s="2">
        <v>1397.17</v>
      </c>
      <c r="AE643" t="s">
        <v>2206</v>
      </c>
      <c r="AF643" t="s">
        <v>72</v>
      </c>
      <c r="AG643">
        <v>-49</v>
      </c>
      <c r="AH643" t="s">
        <v>117</v>
      </c>
      <c r="AI643" t="s">
        <v>74</v>
      </c>
      <c r="AJ643" t="s">
        <v>75</v>
      </c>
      <c r="AK643" t="s">
        <v>76</v>
      </c>
      <c r="AL643" t="s">
        <v>118</v>
      </c>
      <c r="AM643" t="s">
        <v>78</v>
      </c>
      <c r="AN643" t="s">
        <v>979</v>
      </c>
      <c r="AO643" t="s">
        <v>119</v>
      </c>
      <c r="AP643" t="s">
        <v>46</v>
      </c>
      <c r="AQ643" t="s">
        <v>81</v>
      </c>
      <c r="AR643" t="str">
        <f t="shared" si="18"/>
        <v>60602386.STATAM</v>
      </c>
      <c r="AS643">
        <f t="shared" si="19"/>
        <v>11383038.910000008</v>
      </c>
      <c r="AT643" t="s">
        <v>82</v>
      </c>
    </row>
    <row r="644" spans="1:46" x14ac:dyDescent="0.35">
      <c r="A644" t="s">
        <v>52</v>
      </c>
      <c r="B644" t="s">
        <v>53</v>
      </c>
      <c r="C644" t="s">
        <v>54</v>
      </c>
      <c r="D644" t="s">
        <v>55</v>
      </c>
      <c r="E644" t="s">
        <v>56</v>
      </c>
      <c r="F644" t="s">
        <v>1947</v>
      </c>
      <c r="G644" t="s">
        <v>2051</v>
      </c>
      <c r="H644" t="s">
        <v>56</v>
      </c>
      <c r="I644" t="s">
        <v>2207</v>
      </c>
      <c r="J644" t="s">
        <v>61</v>
      </c>
      <c r="K644" t="s">
        <v>640</v>
      </c>
      <c r="L644" t="s">
        <v>56</v>
      </c>
      <c r="M644" t="s">
        <v>56</v>
      </c>
      <c r="N644" t="s">
        <v>655</v>
      </c>
      <c r="O644" t="s">
        <v>1950</v>
      </c>
      <c r="P644" t="s">
        <v>1951</v>
      </c>
      <c r="Q644" t="s">
        <v>87</v>
      </c>
      <c r="R644" t="s">
        <v>248</v>
      </c>
      <c r="S644">
        <v>8000000</v>
      </c>
      <c r="T644">
        <v>-5391770.46</v>
      </c>
      <c r="U644" t="s">
        <v>68</v>
      </c>
      <c r="V644" t="s">
        <v>1952</v>
      </c>
      <c r="W644" s="9">
        <v>60602386</v>
      </c>
      <c r="X644" t="s">
        <v>2208</v>
      </c>
      <c r="Y644" s="1">
        <v>46067</v>
      </c>
      <c r="Z644" s="1">
        <v>46127</v>
      </c>
      <c r="AA644" s="2">
        <v>1767.17</v>
      </c>
      <c r="AB644" s="2">
        <v>1497.6</v>
      </c>
      <c r="AC644" s="2">
        <v>269.57</v>
      </c>
      <c r="AD644" s="2">
        <v>1767.17</v>
      </c>
      <c r="AE644" t="s">
        <v>2209</v>
      </c>
      <c r="AF644" t="s">
        <v>72</v>
      </c>
      <c r="AG644">
        <v>-49</v>
      </c>
      <c r="AH644" t="s">
        <v>117</v>
      </c>
      <c r="AI644" t="s">
        <v>74</v>
      </c>
      <c r="AJ644" t="s">
        <v>75</v>
      </c>
      <c r="AK644" t="s">
        <v>76</v>
      </c>
      <c r="AL644" t="s">
        <v>118</v>
      </c>
      <c r="AM644" t="s">
        <v>78</v>
      </c>
      <c r="AN644" t="s">
        <v>979</v>
      </c>
      <c r="AO644" t="s">
        <v>119</v>
      </c>
      <c r="AP644" t="s">
        <v>46</v>
      </c>
      <c r="AQ644" t="s">
        <v>81</v>
      </c>
      <c r="AR644" t="str">
        <f t="shared" si="18"/>
        <v>60602386.STATAM</v>
      </c>
      <c r="AS644">
        <f t="shared" si="19"/>
        <v>11383038.910000008</v>
      </c>
      <c r="AT644" t="s">
        <v>82</v>
      </c>
    </row>
    <row r="645" spans="1:46" x14ac:dyDescent="0.35">
      <c r="A645" t="s">
        <v>52</v>
      </c>
      <c r="B645" t="s">
        <v>53</v>
      </c>
      <c r="C645" t="s">
        <v>54</v>
      </c>
      <c r="D645" t="s">
        <v>55</v>
      </c>
      <c r="E645" t="s">
        <v>56</v>
      </c>
      <c r="F645" t="s">
        <v>1947</v>
      </c>
      <c r="G645" t="s">
        <v>2037</v>
      </c>
      <c r="H645" t="s">
        <v>56</v>
      </c>
      <c r="I645" t="s">
        <v>2210</v>
      </c>
      <c r="J645" t="s">
        <v>61</v>
      </c>
      <c r="K645" t="s">
        <v>640</v>
      </c>
      <c r="L645" t="s">
        <v>56</v>
      </c>
      <c r="M645" t="s">
        <v>56</v>
      </c>
      <c r="N645" t="s">
        <v>655</v>
      </c>
      <c r="O645" t="s">
        <v>1950</v>
      </c>
      <c r="P645" t="s">
        <v>1951</v>
      </c>
      <c r="Q645" t="s">
        <v>87</v>
      </c>
      <c r="R645" t="s">
        <v>248</v>
      </c>
      <c r="S645">
        <v>8000000</v>
      </c>
      <c r="T645">
        <v>-5391770.46</v>
      </c>
      <c r="U645" t="s">
        <v>68</v>
      </c>
      <c r="V645" t="s">
        <v>1952</v>
      </c>
      <c r="W645" s="9">
        <v>60602386</v>
      </c>
      <c r="X645" t="s">
        <v>2211</v>
      </c>
      <c r="Y645" s="1">
        <v>46067</v>
      </c>
      <c r="Z645" s="1">
        <v>46127</v>
      </c>
      <c r="AA645" s="2">
        <v>3976.13</v>
      </c>
      <c r="AB645" s="2">
        <v>3369.6</v>
      </c>
      <c r="AC645" s="2">
        <v>606.53</v>
      </c>
      <c r="AD645" s="2">
        <v>3976.13</v>
      </c>
      <c r="AE645" t="s">
        <v>2212</v>
      </c>
      <c r="AF645" t="s">
        <v>72</v>
      </c>
      <c r="AG645">
        <v>-49</v>
      </c>
      <c r="AH645" t="s">
        <v>117</v>
      </c>
      <c r="AI645" t="s">
        <v>74</v>
      </c>
      <c r="AJ645" t="s">
        <v>75</v>
      </c>
      <c r="AK645" t="s">
        <v>76</v>
      </c>
      <c r="AL645" t="s">
        <v>118</v>
      </c>
      <c r="AM645" t="s">
        <v>78</v>
      </c>
      <c r="AN645" t="s">
        <v>979</v>
      </c>
      <c r="AO645" t="s">
        <v>119</v>
      </c>
      <c r="AP645" t="s">
        <v>46</v>
      </c>
      <c r="AQ645" t="s">
        <v>81</v>
      </c>
      <c r="AR645" t="str">
        <f t="shared" si="18"/>
        <v>60602386.STATAM</v>
      </c>
      <c r="AS645">
        <f t="shared" si="19"/>
        <v>11383038.910000008</v>
      </c>
      <c r="AT645" t="s">
        <v>82</v>
      </c>
    </row>
    <row r="646" spans="1:46" x14ac:dyDescent="0.35">
      <c r="A646" t="s">
        <v>52</v>
      </c>
      <c r="B646" t="s">
        <v>53</v>
      </c>
      <c r="C646" t="s">
        <v>54</v>
      </c>
      <c r="D646" t="s">
        <v>55</v>
      </c>
      <c r="E646" t="s">
        <v>56</v>
      </c>
      <c r="F646" t="s">
        <v>1947</v>
      </c>
      <c r="G646" t="s">
        <v>2002</v>
      </c>
      <c r="H646" t="s">
        <v>59</v>
      </c>
      <c r="I646" t="s">
        <v>2003</v>
      </c>
      <c r="J646" t="s">
        <v>61</v>
      </c>
      <c r="K646" t="s">
        <v>640</v>
      </c>
      <c r="L646" t="s">
        <v>56</v>
      </c>
      <c r="M646" t="s">
        <v>56</v>
      </c>
      <c r="N646" t="s">
        <v>63</v>
      </c>
      <c r="O646" t="s">
        <v>1950</v>
      </c>
      <c r="P646" t="s">
        <v>1951</v>
      </c>
      <c r="Q646" t="s">
        <v>2004</v>
      </c>
      <c r="R646" t="s">
        <v>248</v>
      </c>
      <c r="S646">
        <v>8000000</v>
      </c>
      <c r="T646">
        <v>-5391770.46</v>
      </c>
      <c r="U646" t="s">
        <v>68</v>
      </c>
      <c r="V646" t="s">
        <v>1952</v>
      </c>
      <c r="W646" s="9">
        <v>60602386</v>
      </c>
      <c r="X646" t="s">
        <v>2213</v>
      </c>
      <c r="Y646" s="1">
        <v>46067</v>
      </c>
      <c r="Z646" s="1">
        <v>46127</v>
      </c>
      <c r="AA646" s="2">
        <v>318246</v>
      </c>
      <c r="AB646" s="2">
        <v>269700</v>
      </c>
      <c r="AC646" s="2">
        <v>48546</v>
      </c>
      <c r="AD646" s="2">
        <v>318246</v>
      </c>
      <c r="AE646" t="s">
        <v>2214</v>
      </c>
      <c r="AF646" t="s">
        <v>72</v>
      </c>
      <c r="AG646">
        <v>-49</v>
      </c>
      <c r="AH646" t="s">
        <v>117</v>
      </c>
      <c r="AI646" t="s">
        <v>74</v>
      </c>
      <c r="AJ646" t="s">
        <v>75</v>
      </c>
      <c r="AK646" t="s">
        <v>76</v>
      </c>
      <c r="AL646" t="s">
        <v>118</v>
      </c>
      <c r="AM646" t="s">
        <v>78</v>
      </c>
      <c r="AN646" t="s">
        <v>979</v>
      </c>
      <c r="AO646" t="s">
        <v>119</v>
      </c>
      <c r="AP646" t="s">
        <v>46</v>
      </c>
      <c r="AQ646" t="s">
        <v>81</v>
      </c>
      <c r="AR646" t="str">
        <f t="shared" si="18"/>
        <v>60602386.STATAM</v>
      </c>
      <c r="AS646">
        <f t="shared" si="19"/>
        <v>11383038.910000008</v>
      </c>
      <c r="AT646" t="s">
        <v>82</v>
      </c>
    </row>
    <row r="647" spans="1:46" x14ac:dyDescent="0.35">
      <c r="A647" t="s">
        <v>52</v>
      </c>
      <c r="B647" t="s">
        <v>53</v>
      </c>
      <c r="C647" t="s">
        <v>54</v>
      </c>
      <c r="D647" t="s">
        <v>55</v>
      </c>
      <c r="E647" t="s">
        <v>56</v>
      </c>
      <c r="F647" t="s">
        <v>1947</v>
      </c>
      <c r="G647" t="s">
        <v>2215</v>
      </c>
      <c r="H647" t="s">
        <v>56</v>
      </c>
      <c r="I647" t="s">
        <v>2216</v>
      </c>
      <c r="J647" t="s">
        <v>61</v>
      </c>
      <c r="K647" t="s">
        <v>640</v>
      </c>
      <c r="L647" t="s">
        <v>56</v>
      </c>
      <c r="M647" t="s">
        <v>56</v>
      </c>
      <c r="N647" t="s">
        <v>337</v>
      </c>
      <c r="O647" t="s">
        <v>1950</v>
      </c>
      <c r="P647" t="s">
        <v>1951</v>
      </c>
      <c r="Q647" t="s">
        <v>87</v>
      </c>
      <c r="R647" t="s">
        <v>248</v>
      </c>
      <c r="S647">
        <v>8000000</v>
      </c>
      <c r="T647">
        <v>-5391770.46</v>
      </c>
      <c r="U647" t="s">
        <v>68</v>
      </c>
      <c r="V647" t="s">
        <v>1952</v>
      </c>
      <c r="W647" s="9">
        <v>60602386</v>
      </c>
      <c r="X647" t="s">
        <v>2217</v>
      </c>
      <c r="Y647" s="1">
        <v>46069</v>
      </c>
      <c r="Z647" s="1">
        <v>46129</v>
      </c>
      <c r="AA647" s="2">
        <v>115930.28</v>
      </c>
      <c r="AB647" s="2">
        <v>98246</v>
      </c>
      <c r="AC647" s="2">
        <v>17684.28</v>
      </c>
      <c r="AD647" s="2">
        <v>115930.28</v>
      </c>
      <c r="AE647" t="s">
        <v>2218</v>
      </c>
      <c r="AF647" t="s">
        <v>72</v>
      </c>
      <c r="AG647">
        <v>-51</v>
      </c>
      <c r="AH647" t="s">
        <v>117</v>
      </c>
      <c r="AI647" t="s">
        <v>74</v>
      </c>
      <c r="AJ647" t="s">
        <v>127</v>
      </c>
      <c r="AK647" t="s">
        <v>334</v>
      </c>
      <c r="AL647" t="s">
        <v>118</v>
      </c>
      <c r="AM647" t="s">
        <v>78</v>
      </c>
      <c r="AN647" t="s">
        <v>979</v>
      </c>
      <c r="AO647" t="s">
        <v>119</v>
      </c>
      <c r="AP647" t="s">
        <v>46</v>
      </c>
      <c r="AQ647" t="s">
        <v>335</v>
      </c>
      <c r="AR647" t="str">
        <f t="shared" si="18"/>
        <v>60602386.SPMINAM</v>
      </c>
      <c r="AS647">
        <f t="shared" si="19"/>
        <v>1015972.39</v>
      </c>
      <c r="AT647" t="s">
        <v>82</v>
      </c>
    </row>
    <row r="648" spans="1:46" x14ac:dyDescent="0.35">
      <c r="A648" t="s">
        <v>52</v>
      </c>
      <c r="B648" t="s">
        <v>53</v>
      </c>
      <c r="C648" t="s">
        <v>54</v>
      </c>
      <c r="D648" t="s">
        <v>55</v>
      </c>
      <c r="E648" t="s">
        <v>56</v>
      </c>
      <c r="F648" t="s">
        <v>1947</v>
      </c>
      <c r="G648" t="s">
        <v>2051</v>
      </c>
      <c r="H648" t="s">
        <v>56</v>
      </c>
      <c r="I648" t="s">
        <v>2219</v>
      </c>
      <c r="J648" t="s">
        <v>61</v>
      </c>
      <c r="K648" t="s">
        <v>640</v>
      </c>
      <c r="L648" t="s">
        <v>56</v>
      </c>
      <c r="M648" t="s">
        <v>56</v>
      </c>
      <c r="N648" t="s">
        <v>252</v>
      </c>
      <c r="O648" t="s">
        <v>1950</v>
      </c>
      <c r="P648" t="s">
        <v>1951</v>
      </c>
      <c r="Q648" t="s">
        <v>87</v>
      </c>
      <c r="R648" t="s">
        <v>248</v>
      </c>
      <c r="S648">
        <v>8000000</v>
      </c>
      <c r="T648">
        <v>-5391770.46</v>
      </c>
      <c r="U648" t="s">
        <v>68</v>
      </c>
      <c r="V648" t="s">
        <v>1952</v>
      </c>
      <c r="W648" s="9">
        <v>60602386</v>
      </c>
      <c r="X648" t="s">
        <v>2220</v>
      </c>
      <c r="Y648" s="1">
        <v>46069</v>
      </c>
      <c r="Z648" s="1">
        <v>46129</v>
      </c>
      <c r="AA648" s="2">
        <v>574.33000000000004</v>
      </c>
      <c r="AB648" s="2">
        <v>486.72</v>
      </c>
      <c r="AC648" s="2">
        <v>87.61</v>
      </c>
      <c r="AD648" s="2">
        <v>574.33000000000004</v>
      </c>
      <c r="AE648" t="s">
        <v>2221</v>
      </c>
      <c r="AF648" t="s">
        <v>72</v>
      </c>
      <c r="AG648">
        <v>-51</v>
      </c>
      <c r="AH648" t="s">
        <v>117</v>
      </c>
      <c r="AI648" t="s">
        <v>74</v>
      </c>
      <c r="AJ648" t="s">
        <v>75</v>
      </c>
      <c r="AK648" t="s">
        <v>76</v>
      </c>
      <c r="AL648" t="s">
        <v>118</v>
      </c>
      <c r="AM648" t="s">
        <v>78</v>
      </c>
      <c r="AN648" t="s">
        <v>979</v>
      </c>
      <c r="AO648" t="s">
        <v>119</v>
      </c>
      <c r="AP648" t="s">
        <v>46</v>
      </c>
      <c r="AQ648" t="s">
        <v>81</v>
      </c>
      <c r="AR648" t="str">
        <f t="shared" ref="AR648:AR711" si="20">W648&amp;"."&amp;AQ648</f>
        <v>60602386.STATAM</v>
      </c>
      <c r="AS648">
        <f t="shared" ref="AS648:AS711" si="21">SUMIFS(AD:AD,AQ:AQ,AQ648,W:W,W648)</f>
        <v>11383038.910000008</v>
      </c>
      <c r="AT648" t="s">
        <v>82</v>
      </c>
    </row>
    <row r="649" spans="1:46" x14ac:dyDescent="0.35">
      <c r="A649" t="s">
        <v>52</v>
      </c>
      <c r="B649" t="s">
        <v>53</v>
      </c>
      <c r="C649" t="s">
        <v>54</v>
      </c>
      <c r="D649" t="s">
        <v>55</v>
      </c>
      <c r="E649" t="s">
        <v>56</v>
      </c>
      <c r="F649" t="s">
        <v>1947</v>
      </c>
      <c r="G649" t="s">
        <v>2222</v>
      </c>
      <c r="H649" t="s">
        <v>56</v>
      </c>
      <c r="I649" t="s">
        <v>2223</v>
      </c>
      <c r="J649" t="s">
        <v>61</v>
      </c>
      <c r="K649" t="s">
        <v>640</v>
      </c>
      <c r="L649" t="s">
        <v>56</v>
      </c>
      <c r="M649" t="s">
        <v>56</v>
      </c>
      <c r="N649" t="s">
        <v>1384</v>
      </c>
      <c r="O649" t="s">
        <v>1950</v>
      </c>
      <c r="P649" t="s">
        <v>1951</v>
      </c>
      <c r="Q649" t="s">
        <v>87</v>
      </c>
      <c r="R649" t="s">
        <v>248</v>
      </c>
      <c r="S649">
        <v>8000000</v>
      </c>
      <c r="T649">
        <v>-5391770.46</v>
      </c>
      <c r="U649" t="s">
        <v>68</v>
      </c>
      <c r="V649" t="s">
        <v>1952</v>
      </c>
      <c r="W649" s="9">
        <v>60602386</v>
      </c>
      <c r="X649" t="s">
        <v>2224</v>
      </c>
      <c r="Y649" s="1">
        <v>46073</v>
      </c>
      <c r="Z649" s="1">
        <v>46133</v>
      </c>
      <c r="AA649" s="2">
        <v>43830.91</v>
      </c>
      <c r="AB649" s="2">
        <v>37144.839999999997</v>
      </c>
      <c r="AC649" s="2">
        <v>6686.07</v>
      </c>
      <c r="AD649" s="2">
        <v>43830.91</v>
      </c>
      <c r="AE649" t="s">
        <v>2225</v>
      </c>
      <c r="AF649" t="s">
        <v>72</v>
      </c>
      <c r="AG649">
        <v>-55</v>
      </c>
      <c r="AH649" t="s">
        <v>117</v>
      </c>
      <c r="AI649" t="s">
        <v>74</v>
      </c>
      <c r="AJ649" t="s">
        <v>75</v>
      </c>
      <c r="AK649" t="s">
        <v>76</v>
      </c>
      <c r="AL649" t="s">
        <v>118</v>
      </c>
      <c r="AM649" t="s">
        <v>78</v>
      </c>
      <c r="AN649" t="s">
        <v>979</v>
      </c>
      <c r="AO649" t="s">
        <v>119</v>
      </c>
      <c r="AP649" t="s">
        <v>46</v>
      </c>
      <c r="AQ649" t="s">
        <v>81</v>
      </c>
      <c r="AR649" t="str">
        <f t="shared" si="20"/>
        <v>60602386.STATAM</v>
      </c>
      <c r="AS649">
        <f t="shared" si="21"/>
        <v>11383038.910000008</v>
      </c>
      <c r="AT649" t="s">
        <v>82</v>
      </c>
    </row>
    <row r="650" spans="1:46" x14ac:dyDescent="0.35">
      <c r="A650" t="s">
        <v>52</v>
      </c>
      <c r="B650" t="s">
        <v>53</v>
      </c>
      <c r="C650" t="s">
        <v>54</v>
      </c>
      <c r="D650" t="s">
        <v>55</v>
      </c>
      <c r="E650" t="s">
        <v>56</v>
      </c>
      <c r="F650" t="s">
        <v>1947</v>
      </c>
      <c r="G650" t="s">
        <v>2226</v>
      </c>
      <c r="H650" t="s">
        <v>56</v>
      </c>
      <c r="I650" t="s">
        <v>2227</v>
      </c>
      <c r="J650" t="s">
        <v>61</v>
      </c>
      <c r="K650" t="s">
        <v>640</v>
      </c>
      <c r="L650" t="s">
        <v>56</v>
      </c>
      <c r="M650" t="s">
        <v>56</v>
      </c>
      <c r="N650" t="s">
        <v>252</v>
      </c>
      <c r="O650" t="s">
        <v>1950</v>
      </c>
      <c r="P650" t="s">
        <v>1951</v>
      </c>
      <c r="Q650" t="s">
        <v>87</v>
      </c>
      <c r="R650" t="s">
        <v>248</v>
      </c>
      <c r="S650">
        <v>8000000</v>
      </c>
      <c r="T650">
        <v>-5391770.46</v>
      </c>
      <c r="U650" t="s">
        <v>68</v>
      </c>
      <c r="V650" t="s">
        <v>1952</v>
      </c>
      <c r="W650" s="9">
        <v>60602386</v>
      </c>
      <c r="X650" t="s">
        <v>2228</v>
      </c>
      <c r="Y650" s="1">
        <v>46076</v>
      </c>
      <c r="Z650" s="1">
        <v>46136</v>
      </c>
      <c r="AA650" s="2">
        <v>8927.8799999999992</v>
      </c>
      <c r="AB650" s="2">
        <v>7566</v>
      </c>
      <c r="AC650" s="2">
        <v>1361.88</v>
      </c>
      <c r="AD650" s="2">
        <v>8927.8799999999992</v>
      </c>
      <c r="AE650" t="s">
        <v>2229</v>
      </c>
      <c r="AF650" t="s">
        <v>72</v>
      </c>
      <c r="AG650">
        <v>-58</v>
      </c>
      <c r="AH650" t="s">
        <v>117</v>
      </c>
      <c r="AI650" t="s">
        <v>74</v>
      </c>
      <c r="AJ650" t="s">
        <v>75</v>
      </c>
      <c r="AK650" t="s">
        <v>76</v>
      </c>
      <c r="AL650" t="s">
        <v>118</v>
      </c>
      <c r="AM650" t="s">
        <v>78</v>
      </c>
      <c r="AN650" t="s">
        <v>979</v>
      </c>
      <c r="AO650" t="s">
        <v>119</v>
      </c>
      <c r="AP650" t="s">
        <v>46</v>
      </c>
      <c r="AQ650" t="s">
        <v>81</v>
      </c>
      <c r="AR650" t="str">
        <f t="shared" si="20"/>
        <v>60602386.STATAM</v>
      </c>
      <c r="AS650">
        <f t="shared" si="21"/>
        <v>11383038.910000008</v>
      </c>
      <c r="AT650" t="s">
        <v>82</v>
      </c>
    </row>
    <row r="651" spans="1:46" x14ac:dyDescent="0.35">
      <c r="A651" t="s">
        <v>52</v>
      </c>
      <c r="B651" t="s">
        <v>53</v>
      </c>
      <c r="C651" t="s">
        <v>54</v>
      </c>
      <c r="D651" t="s">
        <v>55</v>
      </c>
      <c r="E651" t="s">
        <v>56</v>
      </c>
      <c r="F651" t="s">
        <v>1947</v>
      </c>
      <c r="G651" t="s">
        <v>2226</v>
      </c>
      <c r="H651" t="s">
        <v>56</v>
      </c>
      <c r="I651" t="s">
        <v>2227</v>
      </c>
      <c r="J651" t="s">
        <v>61</v>
      </c>
      <c r="K651" t="s">
        <v>640</v>
      </c>
      <c r="L651" t="s">
        <v>56</v>
      </c>
      <c r="M651" t="s">
        <v>56</v>
      </c>
      <c r="N651" t="s">
        <v>655</v>
      </c>
      <c r="O651" t="s">
        <v>1950</v>
      </c>
      <c r="P651" t="s">
        <v>1951</v>
      </c>
      <c r="Q651" t="s">
        <v>87</v>
      </c>
      <c r="R651" t="s">
        <v>248</v>
      </c>
      <c r="S651">
        <v>8000000</v>
      </c>
      <c r="T651">
        <v>-5391770.46</v>
      </c>
      <c r="U651" t="s">
        <v>68</v>
      </c>
      <c r="V651" t="s">
        <v>1952</v>
      </c>
      <c r="W651" s="9">
        <v>60602386</v>
      </c>
      <c r="X651" t="s">
        <v>2228</v>
      </c>
      <c r="Y651" s="1">
        <v>46076</v>
      </c>
      <c r="Z651" s="1">
        <v>46136</v>
      </c>
      <c r="AA651" s="2">
        <v>123.33</v>
      </c>
      <c r="AB651" s="2">
        <v>104.52</v>
      </c>
      <c r="AC651" s="2">
        <v>18.809999999999999</v>
      </c>
      <c r="AD651" s="2">
        <v>123.33</v>
      </c>
      <c r="AE651" t="s">
        <v>2230</v>
      </c>
      <c r="AF651" t="s">
        <v>72</v>
      </c>
      <c r="AG651">
        <v>-58</v>
      </c>
      <c r="AH651" t="s">
        <v>117</v>
      </c>
      <c r="AI651" t="s">
        <v>74</v>
      </c>
      <c r="AJ651" t="s">
        <v>75</v>
      </c>
      <c r="AK651" t="s">
        <v>76</v>
      </c>
      <c r="AL651" t="s">
        <v>118</v>
      </c>
      <c r="AM651" t="s">
        <v>78</v>
      </c>
      <c r="AN651" t="s">
        <v>979</v>
      </c>
      <c r="AO651" t="s">
        <v>119</v>
      </c>
      <c r="AP651" t="s">
        <v>46</v>
      </c>
      <c r="AQ651" t="s">
        <v>81</v>
      </c>
      <c r="AR651" t="str">
        <f t="shared" si="20"/>
        <v>60602386.STATAM</v>
      </c>
      <c r="AS651">
        <f t="shared" si="21"/>
        <v>11383038.910000008</v>
      </c>
      <c r="AT651" t="s">
        <v>82</v>
      </c>
    </row>
    <row r="652" spans="1:46" x14ac:dyDescent="0.35">
      <c r="A652" t="s">
        <v>52</v>
      </c>
      <c r="B652" t="s">
        <v>53</v>
      </c>
      <c r="C652" t="s">
        <v>54</v>
      </c>
      <c r="D652" t="s">
        <v>55</v>
      </c>
      <c r="E652" t="s">
        <v>56</v>
      </c>
      <c r="F652" t="s">
        <v>1947</v>
      </c>
      <c r="G652" t="s">
        <v>2226</v>
      </c>
      <c r="H652" t="s">
        <v>56</v>
      </c>
      <c r="I652" t="s">
        <v>2227</v>
      </c>
      <c r="J652" t="s">
        <v>61</v>
      </c>
      <c r="K652" t="s">
        <v>640</v>
      </c>
      <c r="L652" t="s">
        <v>56</v>
      </c>
      <c r="M652" t="s">
        <v>56</v>
      </c>
      <c r="N652" t="s">
        <v>261</v>
      </c>
      <c r="O652" t="s">
        <v>1950</v>
      </c>
      <c r="P652" t="s">
        <v>1951</v>
      </c>
      <c r="Q652" t="s">
        <v>87</v>
      </c>
      <c r="R652" t="s">
        <v>248</v>
      </c>
      <c r="S652">
        <v>8000000</v>
      </c>
      <c r="T652">
        <v>-5391770.46</v>
      </c>
      <c r="U652" t="s">
        <v>68</v>
      </c>
      <c r="V652" t="s">
        <v>1952</v>
      </c>
      <c r="W652" s="9">
        <v>60602386</v>
      </c>
      <c r="X652" t="s">
        <v>2228</v>
      </c>
      <c r="Y652" s="1">
        <v>46076</v>
      </c>
      <c r="Z652" s="1">
        <v>46136</v>
      </c>
      <c r="AA652" s="2">
        <v>77651.38</v>
      </c>
      <c r="AB652" s="2">
        <v>65806.259999999995</v>
      </c>
      <c r="AC652" s="2">
        <v>11845.12</v>
      </c>
      <c r="AD652" s="2">
        <v>77651.38</v>
      </c>
      <c r="AE652" t="s">
        <v>2231</v>
      </c>
      <c r="AF652" t="s">
        <v>72</v>
      </c>
      <c r="AG652">
        <v>-58</v>
      </c>
      <c r="AH652" t="s">
        <v>117</v>
      </c>
      <c r="AI652" t="s">
        <v>74</v>
      </c>
      <c r="AJ652" t="s">
        <v>75</v>
      </c>
      <c r="AK652" t="s">
        <v>76</v>
      </c>
      <c r="AL652" t="s">
        <v>118</v>
      </c>
      <c r="AM652" t="s">
        <v>78</v>
      </c>
      <c r="AN652" t="s">
        <v>979</v>
      </c>
      <c r="AO652" t="s">
        <v>119</v>
      </c>
      <c r="AP652" t="s">
        <v>46</v>
      </c>
      <c r="AQ652" t="s">
        <v>81</v>
      </c>
      <c r="AR652" t="str">
        <f t="shared" si="20"/>
        <v>60602386.STATAM</v>
      </c>
      <c r="AS652">
        <f t="shared" si="21"/>
        <v>11383038.910000008</v>
      </c>
      <c r="AT652" t="s">
        <v>82</v>
      </c>
    </row>
    <row r="653" spans="1:46" x14ac:dyDescent="0.35">
      <c r="A653" t="s">
        <v>52</v>
      </c>
      <c r="B653" t="s">
        <v>53</v>
      </c>
      <c r="C653" t="s">
        <v>54</v>
      </c>
      <c r="D653" t="s">
        <v>55</v>
      </c>
      <c r="E653" t="s">
        <v>56</v>
      </c>
      <c r="F653" t="s">
        <v>1947</v>
      </c>
      <c r="G653" t="s">
        <v>2226</v>
      </c>
      <c r="H653" t="s">
        <v>56</v>
      </c>
      <c r="I653" t="s">
        <v>2227</v>
      </c>
      <c r="J653" t="s">
        <v>61</v>
      </c>
      <c r="K653" t="s">
        <v>640</v>
      </c>
      <c r="L653" t="s">
        <v>56</v>
      </c>
      <c r="M653" t="s">
        <v>56</v>
      </c>
      <c r="N653" t="s">
        <v>682</v>
      </c>
      <c r="O653" t="s">
        <v>1950</v>
      </c>
      <c r="P653" t="s">
        <v>1951</v>
      </c>
      <c r="Q653" t="s">
        <v>87</v>
      </c>
      <c r="R653" t="s">
        <v>248</v>
      </c>
      <c r="S653">
        <v>8000000</v>
      </c>
      <c r="T653">
        <v>-5391770.46</v>
      </c>
      <c r="U653" t="s">
        <v>68</v>
      </c>
      <c r="V653" t="s">
        <v>1952</v>
      </c>
      <c r="W653" s="9">
        <v>60602386</v>
      </c>
      <c r="X653" t="s">
        <v>2228</v>
      </c>
      <c r="Y653" s="1">
        <v>46076</v>
      </c>
      <c r="Z653" s="1">
        <v>46136</v>
      </c>
      <c r="AA653" s="2">
        <v>8794.42</v>
      </c>
      <c r="AB653" s="2">
        <v>7452.9</v>
      </c>
      <c r="AC653" s="2">
        <v>1341.52</v>
      </c>
      <c r="AD653" s="2">
        <v>8794.42</v>
      </c>
      <c r="AE653" t="s">
        <v>2232</v>
      </c>
      <c r="AF653" t="s">
        <v>72</v>
      </c>
      <c r="AG653">
        <v>-58</v>
      </c>
      <c r="AH653" t="s">
        <v>117</v>
      </c>
      <c r="AI653" t="s">
        <v>74</v>
      </c>
      <c r="AJ653" t="s">
        <v>127</v>
      </c>
      <c r="AK653" t="s">
        <v>334</v>
      </c>
      <c r="AL653" t="s">
        <v>118</v>
      </c>
      <c r="AM653" t="s">
        <v>78</v>
      </c>
      <c r="AN653" t="s">
        <v>979</v>
      </c>
      <c r="AO653" t="s">
        <v>119</v>
      </c>
      <c r="AP653" t="s">
        <v>46</v>
      </c>
      <c r="AQ653" t="s">
        <v>335</v>
      </c>
      <c r="AR653" t="str">
        <f t="shared" si="20"/>
        <v>60602386.SPMINAM</v>
      </c>
      <c r="AS653">
        <f t="shared" si="21"/>
        <v>1015972.39</v>
      </c>
      <c r="AT653" t="s">
        <v>82</v>
      </c>
    </row>
    <row r="654" spans="1:46" x14ac:dyDescent="0.35">
      <c r="A654" t="s">
        <v>52</v>
      </c>
      <c r="B654" t="s">
        <v>53</v>
      </c>
      <c r="C654" t="s">
        <v>54</v>
      </c>
      <c r="D654" t="s">
        <v>55</v>
      </c>
      <c r="E654" t="s">
        <v>56</v>
      </c>
      <c r="F654" t="s">
        <v>1947</v>
      </c>
      <c r="G654" t="s">
        <v>2233</v>
      </c>
      <c r="H654" t="s">
        <v>56</v>
      </c>
      <c r="I654" t="s">
        <v>2234</v>
      </c>
      <c r="J654" t="s">
        <v>476</v>
      </c>
      <c r="K654" t="s">
        <v>640</v>
      </c>
      <c r="L654" t="s">
        <v>56</v>
      </c>
      <c r="M654" t="s">
        <v>56</v>
      </c>
      <c r="N654" t="s">
        <v>244</v>
      </c>
      <c r="O654" t="s">
        <v>1950</v>
      </c>
      <c r="P654" t="s">
        <v>1951</v>
      </c>
      <c r="Q654" t="s">
        <v>641</v>
      </c>
      <c r="R654" t="s">
        <v>248</v>
      </c>
      <c r="S654">
        <v>8000000</v>
      </c>
      <c r="T654">
        <v>-5391770.46</v>
      </c>
      <c r="U654" t="s">
        <v>68</v>
      </c>
      <c r="V654" t="s">
        <v>1952</v>
      </c>
      <c r="W654" s="9">
        <v>60602386</v>
      </c>
      <c r="X654" t="s">
        <v>2235</v>
      </c>
      <c r="Y654" s="1">
        <v>46076</v>
      </c>
      <c r="Z654" s="1">
        <v>46136</v>
      </c>
      <c r="AA654" s="2">
        <v>56717.88</v>
      </c>
      <c r="AB654" s="2">
        <v>48066</v>
      </c>
      <c r="AC654" s="2">
        <v>8651.8799999999992</v>
      </c>
      <c r="AD654" s="2">
        <v>56717.88</v>
      </c>
      <c r="AE654" t="s">
        <v>2236</v>
      </c>
      <c r="AF654" t="s">
        <v>72</v>
      </c>
      <c r="AG654">
        <v>-58</v>
      </c>
      <c r="AH654" t="s">
        <v>117</v>
      </c>
      <c r="AI654" t="s">
        <v>74</v>
      </c>
      <c r="AJ654" t="s">
        <v>75</v>
      </c>
      <c r="AK654" t="s">
        <v>76</v>
      </c>
      <c r="AL654" t="s">
        <v>118</v>
      </c>
      <c r="AM654" t="s">
        <v>78</v>
      </c>
      <c r="AN654" t="s">
        <v>979</v>
      </c>
      <c r="AO654" t="s">
        <v>119</v>
      </c>
      <c r="AP654" t="s">
        <v>46</v>
      </c>
      <c r="AQ654" t="s">
        <v>81</v>
      </c>
      <c r="AR654" t="str">
        <f t="shared" si="20"/>
        <v>60602386.STATAM</v>
      </c>
      <c r="AS654">
        <f t="shared" si="21"/>
        <v>11383038.910000008</v>
      </c>
      <c r="AT654" t="s">
        <v>82</v>
      </c>
    </row>
    <row r="655" spans="1:46" x14ac:dyDescent="0.35">
      <c r="A655" t="s">
        <v>52</v>
      </c>
      <c r="B655" t="s">
        <v>53</v>
      </c>
      <c r="C655" t="s">
        <v>54</v>
      </c>
      <c r="D655" t="s">
        <v>55</v>
      </c>
      <c r="E655" t="s">
        <v>56</v>
      </c>
      <c r="F655" t="s">
        <v>1947</v>
      </c>
      <c r="G655" t="s">
        <v>2237</v>
      </c>
      <c r="H655" t="s">
        <v>56</v>
      </c>
      <c r="I655" t="s">
        <v>2238</v>
      </c>
      <c r="J655" t="s">
        <v>61</v>
      </c>
      <c r="K655" t="s">
        <v>640</v>
      </c>
      <c r="L655" t="s">
        <v>56</v>
      </c>
      <c r="M655" t="s">
        <v>56</v>
      </c>
      <c r="N655" t="s">
        <v>252</v>
      </c>
      <c r="O655" t="s">
        <v>1950</v>
      </c>
      <c r="P655" t="s">
        <v>1951</v>
      </c>
      <c r="Q655" t="s">
        <v>87</v>
      </c>
      <c r="R655" t="s">
        <v>248</v>
      </c>
      <c r="S655">
        <v>8000000</v>
      </c>
      <c r="T655">
        <v>-5391770.46</v>
      </c>
      <c r="U655" t="s">
        <v>68</v>
      </c>
      <c r="V655" t="s">
        <v>1952</v>
      </c>
      <c r="W655" s="9">
        <v>60602386</v>
      </c>
      <c r="X655" t="s">
        <v>2239</v>
      </c>
      <c r="Y655" s="1">
        <v>46076</v>
      </c>
      <c r="Z655" s="1">
        <v>46136</v>
      </c>
      <c r="AA655" s="2">
        <v>128461.15</v>
      </c>
      <c r="AB655" s="2">
        <v>108865.38</v>
      </c>
      <c r="AC655" s="2">
        <v>19595.77</v>
      </c>
      <c r="AD655" s="2">
        <v>128461.15</v>
      </c>
      <c r="AE655" t="s">
        <v>2240</v>
      </c>
      <c r="AF655" t="s">
        <v>72</v>
      </c>
      <c r="AG655">
        <v>-58</v>
      </c>
      <c r="AH655" t="s">
        <v>117</v>
      </c>
      <c r="AI655" t="s">
        <v>74</v>
      </c>
      <c r="AJ655" t="s">
        <v>75</v>
      </c>
      <c r="AK655" t="s">
        <v>76</v>
      </c>
      <c r="AL655" t="s">
        <v>118</v>
      </c>
      <c r="AM655" t="s">
        <v>78</v>
      </c>
      <c r="AN655" t="s">
        <v>979</v>
      </c>
      <c r="AO655" t="s">
        <v>119</v>
      </c>
      <c r="AP655" t="s">
        <v>46</v>
      </c>
      <c r="AQ655" t="s">
        <v>81</v>
      </c>
      <c r="AR655" t="str">
        <f t="shared" si="20"/>
        <v>60602386.STATAM</v>
      </c>
      <c r="AS655">
        <f t="shared" si="21"/>
        <v>11383038.910000008</v>
      </c>
      <c r="AT655" t="s">
        <v>82</v>
      </c>
    </row>
    <row r="656" spans="1:46" x14ac:dyDescent="0.35">
      <c r="A656" t="s">
        <v>52</v>
      </c>
      <c r="B656" t="s">
        <v>53</v>
      </c>
      <c r="C656" t="s">
        <v>54</v>
      </c>
      <c r="D656" t="s">
        <v>55</v>
      </c>
      <c r="E656" t="s">
        <v>56</v>
      </c>
      <c r="F656" t="s">
        <v>1947</v>
      </c>
      <c r="G656" t="s">
        <v>2237</v>
      </c>
      <c r="H656" t="s">
        <v>56</v>
      </c>
      <c r="I656" t="s">
        <v>2238</v>
      </c>
      <c r="J656" t="s">
        <v>61</v>
      </c>
      <c r="K656" t="s">
        <v>640</v>
      </c>
      <c r="L656" t="s">
        <v>56</v>
      </c>
      <c r="M656" t="s">
        <v>56</v>
      </c>
      <c r="N656" t="s">
        <v>682</v>
      </c>
      <c r="O656" t="s">
        <v>1950</v>
      </c>
      <c r="P656" t="s">
        <v>1951</v>
      </c>
      <c r="Q656" t="s">
        <v>87</v>
      </c>
      <c r="R656" t="s">
        <v>248</v>
      </c>
      <c r="S656">
        <v>8000000</v>
      </c>
      <c r="T656">
        <v>-5391770.46</v>
      </c>
      <c r="U656" t="s">
        <v>68</v>
      </c>
      <c r="V656" t="s">
        <v>1952</v>
      </c>
      <c r="W656" s="9">
        <v>60602386</v>
      </c>
      <c r="X656" t="s">
        <v>2239</v>
      </c>
      <c r="Y656" s="1">
        <v>46076</v>
      </c>
      <c r="Z656" s="1">
        <v>46136</v>
      </c>
      <c r="AA656" s="2">
        <v>18494.52</v>
      </c>
      <c r="AB656" s="2">
        <v>15673.32</v>
      </c>
      <c r="AC656" s="2">
        <v>2821.2</v>
      </c>
      <c r="AD656" s="2">
        <v>18494.52</v>
      </c>
      <c r="AE656" t="s">
        <v>2241</v>
      </c>
      <c r="AF656" t="s">
        <v>72</v>
      </c>
      <c r="AG656">
        <v>-58</v>
      </c>
      <c r="AH656" t="s">
        <v>117</v>
      </c>
      <c r="AI656" t="s">
        <v>74</v>
      </c>
      <c r="AJ656" t="s">
        <v>127</v>
      </c>
      <c r="AK656" t="s">
        <v>334</v>
      </c>
      <c r="AL656" t="s">
        <v>118</v>
      </c>
      <c r="AM656" t="s">
        <v>78</v>
      </c>
      <c r="AN656" t="s">
        <v>979</v>
      </c>
      <c r="AO656" t="s">
        <v>119</v>
      </c>
      <c r="AP656" t="s">
        <v>46</v>
      </c>
      <c r="AQ656" t="s">
        <v>335</v>
      </c>
      <c r="AR656" t="str">
        <f t="shared" si="20"/>
        <v>60602386.SPMINAM</v>
      </c>
      <c r="AS656">
        <f t="shared" si="21"/>
        <v>1015972.39</v>
      </c>
      <c r="AT656" t="s">
        <v>82</v>
      </c>
    </row>
    <row r="657" spans="1:46" x14ac:dyDescent="0.35">
      <c r="A657" t="s">
        <v>52</v>
      </c>
      <c r="B657" t="s">
        <v>53</v>
      </c>
      <c r="C657" t="s">
        <v>54</v>
      </c>
      <c r="D657" t="s">
        <v>55</v>
      </c>
      <c r="E657" t="s">
        <v>56</v>
      </c>
      <c r="F657" t="s">
        <v>1947</v>
      </c>
      <c r="G657" t="s">
        <v>2237</v>
      </c>
      <c r="H657" t="s">
        <v>56</v>
      </c>
      <c r="I657" t="s">
        <v>2238</v>
      </c>
      <c r="J657" t="s">
        <v>61</v>
      </c>
      <c r="K657" t="s">
        <v>640</v>
      </c>
      <c r="L657" t="s">
        <v>56</v>
      </c>
      <c r="M657" t="s">
        <v>56</v>
      </c>
      <c r="N657" t="s">
        <v>261</v>
      </c>
      <c r="O657" t="s">
        <v>1950</v>
      </c>
      <c r="P657" t="s">
        <v>1951</v>
      </c>
      <c r="Q657" t="s">
        <v>87</v>
      </c>
      <c r="R657" t="s">
        <v>248</v>
      </c>
      <c r="S657">
        <v>8000000</v>
      </c>
      <c r="T657">
        <v>-5391770.46</v>
      </c>
      <c r="U657" t="s">
        <v>68</v>
      </c>
      <c r="V657" t="s">
        <v>1952</v>
      </c>
      <c r="W657" s="9">
        <v>60602386</v>
      </c>
      <c r="X657" t="s">
        <v>2239</v>
      </c>
      <c r="Y657" s="1">
        <v>46076</v>
      </c>
      <c r="Z657" s="1">
        <v>46136</v>
      </c>
      <c r="AA657" s="2">
        <v>93308.31</v>
      </c>
      <c r="AB657" s="2">
        <v>79074.84</v>
      </c>
      <c r="AC657" s="2">
        <v>14233.47</v>
      </c>
      <c r="AD657" s="2">
        <v>93308.31</v>
      </c>
      <c r="AE657" t="s">
        <v>2242</v>
      </c>
      <c r="AF657" t="s">
        <v>72</v>
      </c>
      <c r="AG657">
        <v>-58</v>
      </c>
      <c r="AH657" t="s">
        <v>117</v>
      </c>
      <c r="AI657" t="s">
        <v>74</v>
      </c>
      <c r="AJ657" t="s">
        <v>75</v>
      </c>
      <c r="AK657" t="s">
        <v>76</v>
      </c>
      <c r="AL657" t="s">
        <v>118</v>
      </c>
      <c r="AM657" t="s">
        <v>78</v>
      </c>
      <c r="AN657" t="s">
        <v>979</v>
      </c>
      <c r="AO657" t="s">
        <v>119</v>
      </c>
      <c r="AP657" t="s">
        <v>46</v>
      </c>
      <c r="AQ657" t="s">
        <v>81</v>
      </c>
      <c r="AR657" t="str">
        <f t="shared" si="20"/>
        <v>60602386.STATAM</v>
      </c>
      <c r="AS657">
        <f t="shared" si="21"/>
        <v>11383038.910000008</v>
      </c>
      <c r="AT657" t="s">
        <v>82</v>
      </c>
    </row>
    <row r="658" spans="1:46" x14ac:dyDescent="0.35">
      <c r="A658" t="s">
        <v>52</v>
      </c>
      <c r="B658" t="s">
        <v>53</v>
      </c>
      <c r="C658" t="s">
        <v>54</v>
      </c>
      <c r="D658" t="s">
        <v>55</v>
      </c>
      <c r="E658" t="s">
        <v>56</v>
      </c>
      <c r="F658" t="s">
        <v>1947</v>
      </c>
      <c r="G658" t="s">
        <v>2237</v>
      </c>
      <c r="H658" t="s">
        <v>56</v>
      </c>
      <c r="I658" t="s">
        <v>2238</v>
      </c>
      <c r="J658" t="s">
        <v>61</v>
      </c>
      <c r="K658" t="s">
        <v>640</v>
      </c>
      <c r="L658" t="s">
        <v>56</v>
      </c>
      <c r="M658" t="s">
        <v>56</v>
      </c>
      <c r="N658" t="s">
        <v>655</v>
      </c>
      <c r="O658" t="s">
        <v>1950</v>
      </c>
      <c r="P658" t="s">
        <v>1951</v>
      </c>
      <c r="Q658" t="s">
        <v>87</v>
      </c>
      <c r="R658" t="s">
        <v>248</v>
      </c>
      <c r="S658">
        <v>8000000</v>
      </c>
      <c r="T658">
        <v>-5391770.46</v>
      </c>
      <c r="U658" t="s">
        <v>68</v>
      </c>
      <c r="V658" t="s">
        <v>1952</v>
      </c>
      <c r="W658" s="9">
        <v>60602386</v>
      </c>
      <c r="X658" t="s">
        <v>2239</v>
      </c>
      <c r="Y658" s="1">
        <v>46076</v>
      </c>
      <c r="Z658" s="1">
        <v>46136</v>
      </c>
      <c r="AA658" s="2">
        <v>2172.14</v>
      </c>
      <c r="AB658" s="2">
        <v>1840.8</v>
      </c>
      <c r="AC658" s="2">
        <v>331.34</v>
      </c>
      <c r="AD658" s="2">
        <v>2172.14</v>
      </c>
      <c r="AE658" t="s">
        <v>2243</v>
      </c>
      <c r="AF658" t="s">
        <v>72</v>
      </c>
      <c r="AG658">
        <v>-58</v>
      </c>
      <c r="AH658" t="s">
        <v>117</v>
      </c>
      <c r="AI658" t="s">
        <v>74</v>
      </c>
      <c r="AJ658" t="s">
        <v>75</v>
      </c>
      <c r="AK658" t="s">
        <v>76</v>
      </c>
      <c r="AL658" t="s">
        <v>118</v>
      </c>
      <c r="AM658" t="s">
        <v>78</v>
      </c>
      <c r="AN658" t="s">
        <v>979</v>
      </c>
      <c r="AO658" t="s">
        <v>119</v>
      </c>
      <c r="AP658" t="s">
        <v>46</v>
      </c>
      <c r="AQ658" t="s">
        <v>81</v>
      </c>
      <c r="AR658" t="str">
        <f t="shared" si="20"/>
        <v>60602386.STATAM</v>
      </c>
      <c r="AS658">
        <f t="shared" si="21"/>
        <v>11383038.910000008</v>
      </c>
      <c r="AT658" t="s">
        <v>82</v>
      </c>
    </row>
    <row r="659" spans="1:46" x14ac:dyDescent="0.35">
      <c r="A659" t="s">
        <v>52</v>
      </c>
      <c r="B659" t="s">
        <v>53</v>
      </c>
      <c r="C659" t="s">
        <v>54</v>
      </c>
      <c r="D659" t="s">
        <v>55</v>
      </c>
      <c r="E659" t="s">
        <v>56</v>
      </c>
      <c r="F659" t="s">
        <v>1947</v>
      </c>
      <c r="G659" t="s">
        <v>2244</v>
      </c>
      <c r="H659" t="s">
        <v>56</v>
      </c>
      <c r="I659" t="s">
        <v>2245</v>
      </c>
      <c r="J659" t="s">
        <v>61</v>
      </c>
      <c r="K659" t="s">
        <v>640</v>
      </c>
      <c r="L659" t="s">
        <v>56</v>
      </c>
      <c r="M659" t="s">
        <v>56</v>
      </c>
      <c r="N659" t="s">
        <v>655</v>
      </c>
      <c r="O659" t="s">
        <v>1950</v>
      </c>
      <c r="P659" t="s">
        <v>1951</v>
      </c>
      <c r="Q659" t="s">
        <v>87</v>
      </c>
      <c r="R659" t="s">
        <v>248</v>
      </c>
      <c r="S659">
        <v>8000000</v>
      </c>
      <c r="T659">
        <v>-5391770.46</v>
      </c>
      <c r="U659" t="s">
        <v>68</v>
      </c>
      <c r="V659" t="s">
        <v>1952</v>
      </c>
      <c r="W659" s="9">
        <v>60602386</v>
      </c>
      <c r="X659" t="s">
        <v>2246</v>
      </c>
      <c r="Y659" s="1">
        <v>46076</v>
      </c>
      <c r="Z659" s="1">
        <v>46136</v>
      </c>
      <c r="AA659" s="2">
        <v>592.74</v>
      </c>
      <c r="AB659" s="2">
        <v>502.32</v>
      </c>
      <c r="AC659" s="2">
        <v>90.42</v>
      </c>
      <c r="AD659" s="2">
        <v>592.74</v>
      </c>
      <c r="AE659" t="s">
        <v>2247</v>
      </c>
      <c r="AF659" t="s">
        <v>72</v>
      </c>
      <c r="AG659">
        <v>-58</v>
      </c>
      <c r="AH659" t="s">
        <v>117</v>
      </c>
      <c r="AI659" t="s">
        <v>74</v>
      </c>
      <c r="AJ659" t="s">
        <v>75</v>
      </c>
      <c r="AK659" t="s">
        <v>76</v>
      </c>
      <c r="AL659" t="s">
        <v>118</v>
      </c>
      <c r="AM659" t="s">
        <v>78</v>
      </c>
      <c r="AN659" t="s">
        <v>979</v>
      </c>
      <c r="AO659" t="s">
        <v>119</v>
      </c>
      <c r="AP659" t="s">
        <v>46</v>
      </c>
      <c r="AQ659" t="s">
        <v>81</v>
      </c>
      <c r="AR659" t="str">
        <f t="shared" si="20"/>
        <v>60602386.STATAM</v>
      </c>
      <c r="AS659">
        <f t="shared" si="21"/>
        <v>11383038.910000008</v>
      </c>
      <c r="AT659" t="s">
        <v>82</v>
      </c>
    </row>
    <row r="660" spans="1:46" x14ac:dyDescent="0.35">
      <c r="A660" t="s">
        <v>52</v>
      </c>
      <c r="B660" t="s">
        <v>53</v>
      </c>
      <c r="C660" t="s">
        <v>54</v>
      </c>
      <c r="D660" t="s">
        <v>55</v>
      </c>
      <c r="E660" t="s">
        <v>56</v>
      </c>
      <c r="F660" t="s">
        <v>1947</v>
      </c>
      <c r="G660" t="s">
        <v>2244</v>
      </c>
      <c r="H660" t="s">
        <v>56</v>
      </c>
      <c r="I660" t="s">
        <v>2245</v>
      </c>
      <c r="J660" t="s">
        <v>61</v>
      </c>
      <c r="K660" t="s">
        <v>640</v>
      </c>
      <c r="L660" t="s">
        <v>56</v>
      </c>
      <c r="M660" t="s">
        <v>56</v>
      </c>
      <c r="N660" t="s">
        <v>261</v>
      </c>
      <c r="O660" t="s">
        <v>1950</v>
      </c>
      <c r="P660" t="s">
        <v>1951</v>
      </c>
      <c r="Q660" t="s">
        <v>87</v>
      </c>
      <c r="R660" t="s">
        <v>248</v>
      </c>
      <c r="S660">
        <v>8000000</v>
      </c>
      <c r="T660">
        <v>-5391770.46</v>
      </c>
      <c r="U660" t="s">
        <v>68</v>
      </c>
      <c r="V660" t="s">
        <v>1952</v>
      </c>
      <c r="W660" s="9">
        <v>60602386</v>
      </c>
      <c r="X660" t="s">
        <v>2246</v>
      </c>
      <c r="Y660" s="1">
        <v>46076</v>
      </c>
      <c r="Z660" s="1">
        <v>46136</v>
      </c>
      <c r="AA660" s="2">
        <v>6435.44</v>
      </c>
      <c r="AB660" s="2">
        <v>5453.76</v>
      </c>
      <c r="AC660" s="2">
        <v>981.68</v>
      </c>
      <c r="AD660" s="2">
        <v>6435.44</v>
      </c>
      <c r="AE660" t="s">
        <v>2248</v>
      </c>
      <c r="AF660" t="s">
        <v>72</v>
      </c>
      <c r="AG660">
        <v>-58</v>
      </c>
      <c r="AH660" t="s">
        <v>117</v>
      </c>
      <c r="AI660" t="s">
        <v>74</v>
      </c>
      <c r="AJ660" t="s">
        <v>75</v>
      </c>
      <c r="AK660" t="s">
        <v>76</v>
      </c>
      <c r="AL660" t="s">
        <v>118</v>
      </c>
      <c r="AM660" t="s">
        <v>78</v>
      </c>
      <c r="AN660" t="s">
        <v>979</v>
      </c>
      <c r="AO660" t="s">
        <v>119</v>
      </c>
      <c r="AP660" t="s">
        <v>46</v>
      </c>
      <c r="AQ660" t="s">
        <v>81</v>
      </c>
      <c r="AR660" t="str">
        <f t="shared" si="20"/>
        <v>60602386.STATAM</v>
      </c>
      <c r="AS660">
        <f t="shared" si="21"/>
        <v>11383038.910000008</v>
      </c>
      <c r="AT660" t="s">
        <v>82</v>
      </c>
    </row>
    <row r="661" spans="1:46" x14ac:dyDescent="0.35">
      <c r="A661" t="s">
        <v>52</v>
      </c>
      <c r="B661" t="s">
        <v>53</v>
      </c>
      <c r="C661" t="s">
        <v>54</v>
      </c>
      <c r="D661" t="s">
        <v>55</v>
      </c>
      <c r="E661" t="s">
        <v>56</v>
      </c>
      <c r="F661" t="s">
        <v>1947</v>
      </c>
      <c r="G661" t="s">
        <v>2244</v>
      </c>
      <c r="H661" t="s">
        <v>56</v>
      </c>
      <c r="I661" t="s">
        <v>2245</v>
      </c>
      <c r="J661" t="s">
        <v>61</v>
      </c>
      <c r="K661" t="s">
        <v>640</v>
      </c>
      <c r="L661" t="s">
        <v>56</v>
      </c>
      <c r="M661" t="s">
        <v>56</v>
      </c>
      <c r="N661" t="s">
        <v>1186</v>
      </c>
      <c r="O661" t="s">
        <v>1950</v>
      </c>
      <c r="P661" t="s">
        <v>1951</v>
      </c>
      <c r="Q661" t="s">
        <v>87</v>
      </c>
      <c r="R661" t="s">
        <v>248</v>
      </c>
      <c r="S661">
        <v>8000000</v>
      </c>
      <c r="T661">
        <v>-5391770.46</v>
      </c>
      <c r="U661" t="s">
        <v>68</v>
      </c>
      <c r="V661" t="s">
        <v>1952</v>
      </c>
      <c r="W661" s="9">
        <v>60602386</v>
      </c>
      <c r="X661" t="s">
        <v>2246</v>
      </c>
      <c r="Y661" s="1">
        <v>46076</v>
      </c>
      <c r="Z661" s="1">
        <v>46136</v>
      </c>
      <c r="AA661" s="2">
        <v>323.98</v>
      </c>
      <c r="AB661" s="2">
        <v>274.56</v>
      </c>
      <c r="AC661" s="2">
        <v>49.42</v>
      </c>
      <c r="AD661" s="2">
        <v>323.98</v>
      </c>
      <c r="AE661" t="s">
        <v>2249</v>
      </c>
      <c r="AF661" t="s">
        <v>72</v>
      </c>
      <c r="AG661">
        <v>-58</v>
      </c>
      <c r="AH661" t="s">
        <v>117</v>
      </c>
      <c r="AI661" t="s">
        <v>74</v>
      </c>
      <c r="AJ661" t="s">
        <v>75</v>
      </c>
      <c r="AK661" t="s">
        <v>76</v>
      </c>
      <c r="AL661" t="s">
        <v>118</v>
      </c>
      <c r="AM661" t="s">
        <v>78</v>
      </c>
      <c r="AN661" t="s">
        <v>979</v>
      </c>
      <c r="AO661" t="s">
        <v>119</v>
      </c>
      <c r="AP661" t="s">
        <v>46</v>
      </c>
      <c r="AQ661" t="s">
        <v>81</v>
      </c>
      <c r="AR661" t="str">
        <f t="shared" si="20"/>
        <v>60602386.STATAM</v>
      </c>
      <c r="AS661">
        <f t="shared" si="21"/>
        <v>11383038.910000008</v>
      </c>
      <c r="AT661" t="s">
        <v>82</v>
      </c>
    </row>
    <row r="662" spans="1:46" x14ac:dyDescent="0.35">
      <c r="A662" t="s">
        <v>52</v>
      </c>
      <c r="B662" t="s">
        <v>53</v>
      </c>
      <c r="C662" t="s">
        <v>54</v>
      </c>
      <c r="D662" t="s">
        <v>55</v>
      </c>
      <c r="E662" t="s">
        <v>56</v>
      </c>
      <c r="F662" t="s">
        <v>1947</v>
      </c>
      <c r="G662" t="s">
        <v>2244</v>
      </c>
      <c r="H662" t="s">
        <v>56</v>
      </c>
      <c r="I662" t="s">
        <v>2245</v>
      </c>
      <c r="J662" t="s">
        <v>61</v>
      </c>
      <c r="K662" t="s">
        <v>640</v>
      </c>
      <c r="L662" t="s">
        <v>56</v>
      </c>
      <c r="M662" t="s">
        <v>56</v>
      </c>
      <c r="N662" t="s">
        <v>680</v>
      </c>
      <c r="O662" t="s">
        <v>1950</v>
      </c>
      <c r="P662" t="s">
        <v>1951</v>
      </c>
      <c r="Q662" t="s">
        <v>87</v>
      </c>
      <c r="R662" t="s">
        <v>248</v>
      </c>
      <c r="S662">
        <v>8000000</v>
      </c>
      <c r="T662">
        <v>-5391770.46</v>
      </c>
      <c r="U662" t="s">
        <v>68</v>
      </c>
      <c r="V662" t="s">
        <v>1952</v>
      </c>
      <c r="W662" s="9">
        <v>60602386</v>
      </c>
      <c r="X662" t="s">
        <v>2246</v>
      </c>
      <c r="Y662" s="1">
        <v>46076</v>
      </c>
      <c r="Z662" s="1">
        <v>46136</v>
      </c>
      <c r="AA662" s="2">
        <v>58809.89</v>
      </c>
      <c r="AB662" s="2">
        <v>49838.879999999997</v>
      </c>
      <c r="AC662" s="2">
        <v>8971.01</v>
      </c>
      <c r="AD662" s="2">
        <v>58809.89</v>
      </c>
      <c r="AE662" t="s">
        <v>2250</v>
      </c>
      <c r="AF662" t="s">
        <v>72</v>
      </c>
      <c r="AG662">
        <v>-58</v>
      </c>
      <c r="AH662" t="s">
        <v>117</v>
      </c>
      <c r="AI662" t="s">
        <v>74</v>
      </c>
      <c r="AJ662" t="s">
        <v>127</v>
      </c>
      <c r="AK662" t="s">
        <v>334</v>
      </c>
      <c r="AL662" t="s">
        <v>118</v>
      </c>
      <c r="AM662" t="s">
        <v>78</v>
      </c>
      <c r="AN662" t="s">
        <v>979</v>
      </c>
      <c r="AO662" t="s">
        <v>119</v>
      </c>
      <c r="AP662" t="s">
        <v>46</v>
      </c>
      <c r="AQ662" t="s">
        <v>335</v>
      </c>
      <c r="AR662" t="str">
        <f t="shared" si="20"/>
        <v>60602386.SPMINAM</v>
      </c>
      <c r="AS662">
        <f t="shared" si="21"/>
        <v>1015972.39</v>
      </c>
      <c r="AT662" t="s">
        <v>82</v>
      </c>
    </row>
    <row r="663" spans="1:46" x14ac:dyDescent="0.35">
      <c r="A663" t="s">
        <v>52</v>
      </c>
      <c r="B663" t="s">
        <v>53</v>
      </c>
      <c r="C663" t="s">
        <v>54</v>
      </c>
      <c r="D663" t="s">
        <v>55</v>
      </c>
      <c r="E663" t="s">
        <v>56</v>
      </c>
      <c r="F663" t="s">
        <v>1947</v>
      </c>
      <c r="G663" t="s">
        <v>2244</v>
      </c>
      <c r="H663" t="s">
        <v>56</v>
      </c>
      <c r="I663" t="s">
        <v>2245</v>
      </c>
      <c r="J663" t="s">
        <v>61</v>
      </c>
      <c r="K663" t="s">
        <v>640</v>
      </c>
      <c r="L663" t="s">
        <v>56</v>
      </c>
      <c r="M663" t="s">
        <v>56</v>
      </c>
      <c r="N663" t="s">
        <v>682</v>
      </c>
      <c r="O663" t="s">
        <v>1950</v>
      </c>
      <c r="P663" t="s">
        <v>1951</v>
      </c>
      <c r="Q663" t="s">
        <v>87</v>
      </c>
      <c r="R663" t="s">
        <v>248</v>
      </c>
      <c r="S663">
        <v>8000000</v>
      </c>
      <c r="T663">
        <v>-5391770.46</v>
      </c>
      <c r="U663" t="s">
        <v>68</v>
      </c>
      <c r="V663" t="s">
        <v>1952</v>
      </c>
      <c r="W663" s="9">
        <v>60602386</v>
      </c>
      <c r="X663" t="s">
        <v>2246</v>
      </c>
      <c r="Y663" s="1">
        <v>46076</v>
      </c>
      <c r="Z663" s="1">
        <v>46136</v>
      </c>
      <c r="AA663" s="2">
        <v>3696.33</v>
      </c>
      <c r="AB663" s="2">
        <v>3132.48</v>
      </c>
      <c r="AC663" s="2">
        <v>563.85</v>
      </c>
      <c r="AD663" s="2">
        <v>3696.33</v>
      </c>
      <c r="AE663" t="s">
        <v>2251</v>
      </c>
      <c r="AF663" t="s">
        <v>72</v>
      </c>
      <c r="AG663">
        <v>-58</v>
      </c>
      <c r="AH663" t="s">
        <v>117</v>
      </c>
      <c r="AI663" t="s">
        <v>74</v>
      </c>
      <c r="AJ663" t="s">
        <v>127</v>
      </c>
      <c r="AK663" t="s">
        <v>334</v>
      </c>
      <c r="AL663" t="s">
        <v>118</v>
      </c>
      <c r="AM663" t="s">
        <v>78</v>
      </c>
      <c r="AN663" t="s">
        <v>979</v>
      </c>
      <c r="AO663" t="s">
        <v>119</v>
      </c>
      <c r="AP663" t="s">
        <v>46</v>
      </c>
      <c r="AQ663" t="s">
        <v>335</v>
      </c>
      <c r="AR663" t="str">
        <f t="shared" si="20"/>
        <v>60602386.SPMINAM</v>
      </c>
      <c r="AS663">
        <f t="shared" si="21"/>
        <v>1015972.39</v>
      </c>
      <c r="AT663" t="s">
        <v>82</v>
      </c>
    </row>
    <row r="664" spans="1:46" x14ac:dyDescent="0.35">
      <c r="A664" t="s">
        <v>52</v>
      </c>
      <c r="B664" t="s">
        <v>53</v>
      </c>
      <c r="C664" t="s">
        <v>54</v>
      </c>
      <c r="D664" t="s">
        <v>55</v>
      </c>
      <c r="E664" t="s">
        <v>56</v>
      </c>
      <c r="F664" t="s">
        <v>1947</v>
      </c>
      <c r="G664" t="s">
        <v>1995</v>
      </c>
      <c r="H664" t="s">
        <v>56</v>
      </c>
      <c r="I664" t="s">
        <v>2252</v>
      </c>
      <c r="J664" t="s">
        <v>61</v>
      </c>
      <c r="K664" t="s">
        <v>640</v>
      </c>
      <c r="L664" t="s">
        <v>56</v>
      </c>
      <c r="M664" t="s">
        <v>56</v>
      </c>
      <c r="N664" t="s">
        <v>252</v>
      </c>
      <c r="O664" t="s">
        <v>1950</v>
      </c>
      <c r="P664" t="s">
        <v>1951</v>
      </c>
      <c r="Q664" t="s">
        <v>87</v>
      </c>
      <c r="R664" t="s">
        <v>248</v>
      </c>
      <c r="S664">
        <v>8000000</v>
      </c>
      <c r="T664">
        <v>-5391770.46</v>
      </c>
      <c r="U664" t="s">
        <v>68</v>
      </c>
      <c r="V664" t="s">
        <v>1952</v>
      </c>
      <c r="W664" s="9">
        <v>60602386</v>
      </c>
      <c r="X664" t="s">
        <v>2253</v>
      </c>
      <c r="Y664" s="1">
        <v>46076</v>
      </c>
      <c r="Z664" s="1">
        <v>46136</v>
      </c>
      <c r="AA664" s="2">
        <v>15462.72</v>
      </c>
      <c r="AB664" s="2">
        <v>13104</v>
      </c>
      <c r="AC664" s="2">
        <v>2358.7199999999998</v>
      </c>
      <c r="AD664" s="2">
        <v>15462.72</v>
      </c>
      <c r="AE664" t="s">
        <v>2254</v>
      </c>
      <c r="AF664" t="s">
        <v>72</v>
      </c>
      <c r="AG664">
        <v>-58</v>
      </c>
      <c r="AH664" t="s">
        <v>117</v>
      </c>
      <c r="AI664" t="s">
        <v>74</v>
      </c>
      <c r="AJ664" t="s">
        <v>75</v>
      </c>
      <c r="AK664" t="s">
        <v>76</v>
      </c>
      <c r="AL664" t="s">
        <v>118</v>
      </c>
      <c r="AM664" t="s">
        <v>78</v>
      </c>
      <c r="AN664" t="s">
        <v>979</v>
      </c>
      <c r="AO664" t="s">
        <v>119</v>
      </c>
      <c r="AP664" t="s">
        <v>46</v>
      </c>
      <c r="AQ664" t="s">
        <v>81</v>
      </c>
      <c r="AR664" t="str">
        <f t="shared" si="20"/>
        <v>60602386.STATAM</v>
      </c>
      <c r="AS664">
        <f t="shared" si="21"/>
        <v>11383038.910000008</v>
      </c>
      <c r="AT664" t="s">
        <v>82</v>
      </c>
    </row>
    <row r="665" spans="1:46" x14ac:dyDescent="0.35">
      <c r="A665" t="s">
        <v>52</v>
      </c>
      <c r="B665" t="s">
        <v>53</v>
      </c>
      <c r="C665" t="s">
        <v>54</v>
      </c>
      <c r="D665" t="s">
        <v>55</v>
      </c>
      <c r="E665" t="s">
        <v>56</v>
      </c>
      <c r="F665" t="s">
        <v>1947</v>
      </c>
      <c r="G665" t="s">
        <v>2117</v>
      </c>
      <c r="H665" t="s">
        <v>56</v>
      </c>
      <c r="I665" t="s">
        <v>2255</v>
      </c>
      <c r="J665" t="s">
        <v>61</v>
      </c>
      <c r="K665" t="s">
        <v>640</v>
      </c>
      <c r="L665" t="s">
        <v>56</v>
      </c>
      <c r="M665" t="s">
        <v>56</v>
      </c>
      <c r="N665" t="s">
        <v>252</v>
      </c>
      <c r="O665" t="s">
        <v>1950</v>
      </c>
      <c r="P665" t="s">
        <v>1951</v>
      </c>
      <c r="Q665" t="s">
        <v>87</v>
      </c>
      <c r="R665" t="s">
        <v>248</v>
      </c>
      <c r="S665">
        <v>8000000</v>
      </c>
      <c r="T665">
        <v>-5391770.46</v>
      </c>
      <c r="U665" t="s">
        <v>68</v>
      </c>
      <c r="V665" t="s">
        <v>1952</v>
      </c>
      <c r="W665" s="9">
        <v>60602386</v>
      </c>
      <c r="X665" t="s">
        <v>2256</v>
      </c>
      <c r="Y665" s="1">
        <v>46076</v>
      </c>
      <c r="Z665" s="1">
        <v>46136</v>
      </c>
      <c r="AA665" s="2">
        <v>10492.56</v>
      </c>
      <c r="AB665" s="2">
        <v>8892</v>
      </c>
      <c r="AC665" s="2">
        <v>1600.56</v>
      </c>
      <c r="AD665" s="2">
        <v>10492.56</v>
      </c>
      <c r="AE665" t="s">
        <v>2257</v>
      </c>
      <c r="AF665" t="s">
        <v>72</v>
      </c>
      <c r="AG665">
        <v>-58</v>
      </c>
      <c r="AH665" t="s">
        <v>117</v>
      </c>
      <c r="AI665" t="s">
        <v>74</v>
      </c>
      <c r="AJ665" t="s">
        <v>75</v>
      </c>
      <c r="AK665" t="s">
        <v>76</v>
      </c>
      <c r="AL665" t="s">
        <v>118</v>
      </c>
      <c r="AM665" t="s">
        <v>78</v>
      </c>
      <c r="AN665" t="s">
        <v>979</v>
      </c>
      <c r="AO665" t="s">
        <v>119</v>
      </c>
      <c r="AP665" t="s">
        <v>46</v>
      </c>
      <c r="AQ665" t="s">
        <v>81</v>
      </c>
      <c r="AR665" t="str">
        <f t="shared" si="20"/>
        <v>60602386.STATAM</v>
      </c>
      <c r="AS665">
        <f t="shared" si="21"/>
        <v>11383038.910000008</v>
      </c>
      <c r="AT665" t="s">
        <v>82</v>
      </c>
    </row>
    <row r="666" spans="1:46" x14ac:dyDescent="0.35">
      <c r="A666" t="s">
        <v>52</v>
      </c>
      <c r="B666" t="s">
        <v>53</v>
      </c>
      <c r="C666" t="s">
        <v>54</v>
      </c>
      <c r="D666" t="s">
        <v>55</v>
      </c>
      <c r="E666" t="s">
        <v>56</v>
      </c>
      <c r="F666" t="s">
        <v>1947</v>
      </c>
      <c r="G666" t="s">
        <v>2258</v>
      </c>
      <c r="H666" t="s">
        <v>56</v>
      </c>
      <c r="I666" t="s">
        <v>2259</v>
      </c>
      <c r="J666" t="s">
        <v>61</v>
      </c>
      <c r="K666" t="s">
        <v>640</v>
      </c>
      <c r="L666" t="s">
        <v>56</v>
      </c>
      <c r="M666" t="s">
        <v>56</v>
      </c>
      <c r="N666" t="s">
        <v>1384</v>
      </c>
      <c r="O666" t="s">
        <v>1950</v>
      </c>
      <c r="P666" t="s">
        <v>1951</v>
      </c>
      <c r="Q666" t="s">
        <v>87</v>
      </c>
      <c r="R666" t="s">
        <v>248</v>
      </c>
      <c r="S666">
        <v>8000000</v>
      </c>
      <c r="T666">
        <v>-5391770.46</v>
      </c>
      <c r="U666" t="s">
        <v>68</v>
      </c>
      <c r="V666" t="s">
        <v>1952</v>
      </c>
      <c r="W666" s="9">
        <v>60602386</v>
      </c>
      <c r="X666" t="s">
        <v>2260</v>
      </c>
      <c r="Y666" s="1">
        <v>46076</v>
      </c>
      <c r="Z666" s="1">
        <v>46136</v>
      </c>
      <c r="AA666" s="2">
        <v>85553.02</v>
      </c>
      <c r="AB666" s="2">
        <v>72502.559999999998</v>
      </c>
      <c r="AC666" s="2">
        <v>13050.46</v>
      </c>
      <c r="AD666" s="2">
        <v>85553.02</v>
      </c>
      <c r="AE666" t="s">
        <v>2261</v>
      </c>
      <c r="AF666" t="s">
        <v>72</v>
      </c>
      <c r="AG666">
        <v>-58</v>
      </c>
      <c r="AH666" t="s">
        <v>117</v>
      </c>
      <c r="AI666" t="s">
        <v>74</v>
      </c>
      <c r="AJ666" t="s">
        <v>75</v>
      </c>
      <c r="AK666" t="s">
        <v>76</v>
      </c>
      <c r="AL666" t="s">
        <v>118</v>
      </c>
      <c r="AM666" t="s">
        <v>78</v>
      </c>
      <c r="AN666" t="s">
        <v>979</v>
      </c>
      <c r="AO666" t="s">
        <v>119</v>
      </c>
      <c r="AP666" t="s">
        <v>46</v>
      </c>
      <c r="AQ666" t="s">
        <v>81</v>
      </c>
      <c r="AR666" t="str">
        <f t="shared" si="20"/>
        <v>60602386.STATAM</v>
      </c>
      <c r="AS666">
        <f t="shared" si="21"/>
        <v>11383038.910000008</v>
      </c>
      <c r="AT666" t="s">
        <v>82</v>
      </c>
    </row>
    <row r="667" spans="1:46" x14ac:dyDescent="0.35">
      <c r="A667" t="s">
        <v>52</v>
      </c>
      <c r="B667" t="s">
        <v>53</v>
      </c>
      <c r="C667" t="s">
        <v>54</v>
      </c>
      <c r="D667" t="s">
        <v>55</v>
      </c>
      <c r="E667" t="s">
        <v>56</v>
      </c>
      <c r="F667" t="s">
        <v>1947</v>
      </c>
      <c r="G667" t="s">
        <v>2262</v>
      </c>
      <c r="H667" t="s">
        <v>56</v>
      </c>
      <c r="I667" t="s">
        <v>2263</v>
      </c>
      <c r="J667" t="s">
        <v>61</v>
      </c>
      <c r="K667" t="s">
        <v>640</v>
      </c>
      <c r="L667" t="s">
        <v>56</v>
      </c>
      <c r="M667" t="s">
        <v>56</v>
      </c>
      <c r="N667" t="s">
        <v>1384</v>
      </c>
      <c r="O667" t="s">
        <v>1950</v>
      </c>
      <c r="P667" t="s">
        <v>1951</v>
      </c>
      <c r="Q667" t="s">
        <v>87</v>
      </c>
      <c r="R667" t="s">
        <v>248</v>
      </c>
      <c r="S667">
        <v>8000000</v>
      </c>
      <c r="T667">
        <v>-5391770.46</v>
      </c>
      <c r="U667" t="s">
        <v>68</v>
      </c>
      <c r="V667" t="s">
        <v>1952</v>
      </c>
      <c r="W667" s="9">
        <v>60602386</v>
      </c>
      <c r="X667" t="s">
        <v>2264</v>
      </c>
      <c r="Y667" s="1">
        <v>46076</v>
      </c>
      <c r="Z667" s="1">
        <v>46136</v>
      </c>
      <c r="AA667" s="2">
        <v>47739.31</v>
      </c>
      <c r="AB667" s="2">
        <v>40457.040000000001</v>
      </c>
      <c r="AC667" s="2">
        <v>7282.27</v>
      </c>
      <c r="AD667" s="2">
        <v>47739.31</v>
      </c>
      <c r="AE667" t="s">
        <v>2265</v>
      </c>
      <c r="AF667" t="s">
        <v>72</v>
      </c>
      <c r="AG667">
        <v>-58</v>
      </c>
      <c r="AH667" t="s">
        <v>117</v>
      </c>
      <c r="AI667" t="s">
        <v>74</v>
      </c>
      <c r="AJ667" t="s">
        <v>75</v>
      </c>
      <c r="AK667" t="s">
        <v>76</v>
      </c>
      <c r="AL667" t="s">
        <v>118</v>
      </c>
      <c r="AM667" t="s">
        <v>78</v>
      </c>
      <c r="AN667" t="s">
        <v>979</v>
      </c>
      <c r="AO667" t="s">
        <v>119</v>
      </c>
      <c r="AP667" t="s">
        <v>46</v>
      </c>
      <c r="AQ667" t="s">
        <v>81</v>
      </c>
      <c r="AR667" t="str">
        <f t="shared" si="20"/>
        <v>60602386.STATAM</v>
      </c>
      <c r="AS667">
        <f t="shared" si="21"/>
        <v>11383038.910000008</v>
      </c>
      <c r="AT667" t="s">
        <v>82</v>
      </c>
    </row>
    <row r="668" spans="1:46" x14ac:dyDescent="0.35">
      <c r="A668" t="s">
        <v>52</v>
      </c>
      <c r="B668" t="s">
        <v>53</v>
      </c>
      <c r="C668" t="s">
        <v>54</v>
      </c>
      <c r="D668" t="s">
        <v>55</v>
      </c>
      <c r="E668" t="s">
        <v>56</v>
      </c>
      <c r="F668" t="s">
        <v>1947</v>
      </c>
      <c r="G668" t="s">
        <v>2266</v>
      </c>
      <c r="H668" t="s">
        <v>56</v>
      </c>
      <c r="I668" t="s">
        <v>2267</v>
      </c>
      <c r="J668" t="s">
        <v>61</v>
      </c>
      <c r="K668" t="s">
        <v>640</v>
      </c>
      <c r="L668" t="s">
        <v>56</v>
      </c>
      <c r="M668" t="s">
        <v>56</v>
      </c>
      <c r="N668" t="s">
        <v>295</v>
      </c>
      <c r="O668" t="s">
        <v>1950</v>
      </c>
      <c r="P668" t="s">
        <v>1951</v>
      </c>
      <c r="Q668" t="s">
        <v>87</v>
      </c>
      <c r="R668" t="s">
        <v>248</v>
      </c>
      <c r="S668">
        <v>8000000</v>
      </c>
      <c r="T668">
        <v>-5391770.46</v>
      </c>
      <c r="U668" t="s">
        <v>68</v>
      </c>
      <c r="V668" t="s">
        <v>1952</v>
      </c>
      <c r="W668" s="9">
        <v>60602386</v>
      </c>
      <c r="X668" t="s">
        <v>2268</v>
      </c>
      <c r="Y668" s="1">
        <v>46076</v>
      </c>
      <c r="Z668" s="1">
        <v>46136</v>
      </c>
      <c r="AA668" s="2">
        <v>5517.8</v>
      </c>
      <c r="AB668" s="2">
        <v>4676.1000000000004</v>
      </c>
      <c r="AC668" s="2">
        <v>841.7</v>
      </c>
      <c r="AD668" s="2">
        <v>5517.8</v>
      </c>
      <c r="AE668" t="s">
        <v>2269</v>
      </c>
      <c r="AF668" t="s">
        <v>72</v>
      </c>
      <c r="AG668">
        <v>-58</v>
      </c>
      <c r="AH668" t="s">
        <v>117</v>
      </c>
      <c r="AI668" t="s">
        <v>74</v>
      </c>
      <c r="AJ668" t="s">
        <v>75</v>
      </c>
      <c r="AK668" t="s">
        <v>76</v>
      </c>
      <c r="AL668" t="s">
        <v>118</v>
      </c>
      <c r="AM668" t="s">
        <v>78</v>
      </c>
      <c r="AN668" t="s">
        <v>979</v>
      </c>
      <c r="AO668" t="s">
        <v>119</v>
      </c>
      <c r="AP668" t="s">
        <v>46</v>
      </c>
      <c r="AQ668" t="s">
        <v>81</v>
      </c>
      <c r="AR668" t="str">
        <f t="shared" si="20"/>
        <v>60602386.STATAM</v>
      </c>
      <c r="AS668">
        <f t="shared" si="21"/>
        <v>11383038.910000008</v>
      </c>
      <c r="AT668" t="s">
        <v>82</v>
      </c>
    </row>
    <row r="669" spans="1:46" x14ac:dyDescent="0.35">
      <c r="A669" t="s">
        <v>52</v>
      </c>
      <c r="B669" t="s">
        <v>53</v>
      </c>
      <c r="C669" t="s">
        <v>54</v>
      </c>
      <c r="D669" t="s">
        <v>55</v>
      </c>
      <c r="E669" t="s">
        <v>56</v>
      </c>
      <c r="F669" t="s">
        <v>1947</v>
      </c>
      <c r="G669" t="s">
        <v>2266</v>
      </c>
      <c r="H669" t="s">
        <v>56</v>
      </c>
      <c r="I669" t="s">
        <v>2267</v>
      </c>
      <c r="J669" t="s">
        <v>61</v>
      </c>
      <c r="K669" t="s">
        <v>640</v>
      </c>
      <c r="L669" t="s">
        <v>56</v>
      </c>
      <c r="M669" t="s">
        <v>56</v>
      </c>
      <c r="N669" t="s">
        <v>252</v>
      </c>
      <c r="O669" t="s">
        <v>1950</v>
      </c>
      <c r="P669" t="s">
        <v>1951</v>
      </c>
      <c r="Q669" t="s">
        <v>87</v>
      </c>
      <c r="R669" t="s">
        <v>248</v>
      </c>
      <c r="S669">
        <v>8000000</v>
      </c>
      <c r="T669">
        <v>-5391770.46</v>
      </c>
      <c r="U669" t="s">
        <v>68</v>
      </c>
      <c r="V669" t="s">
        <v>1952</v>
      </c>
      <c r="W669" s="9">
        <v>60602386</v>
      </c>
      <c r="X669" t="s">
        <v>2268</v>
      </c>
      <c r="Y669" s="1">
        <v>46076</v>
      </c>
      <c r="Z669" s="1">
        <v>46136</v>
      </c>
      <c r="AA669" s="2">
        <v>11630.17</v>
      </c>
      <c r="AB669" s="2">
        <v>9856.08</v>
      </c>
      <c r="AC669" s="2">
        <v>1774.09</v>
      </c>
      <c r="AD669" s="2">
        <v>11630.17</v>
      </c>
      <c r="AE669" t="s">
        <v>2270</v>
      </c>
      <c r="AF669" t="s">
        <v>72</v>
      </c>
      <c r="AG669">
        <v>-58</v>
      </c>
      <c r="AH669" t="s">
        <v>117</v>
      </c>
      <c r="AI669" t="s">
        <v>74</v>
      </c>
      <c r="AJ669" t="s">
        <v>75</v>
      </c>
      <c r="AK669" t="s">
        <v>76</v>
      </c>
      <c r="AL669" t="s">
        <v>118</v>
      </c>
      <c r="AM669" t="s">
        <v>78</v>
      </c>
      <c r="AN669" t="s">
        <v>979</v>
      </c>
      <c r="AO669" t="s">
        <v>119</v>
      </c>
      <c r="AP669" t="s">
        <v>46</v>
      </c>
      <c r="AQ669" t="s">
        <v>81</v>
      </c>
      <c r="AR669" t="str">
        <f t="shared" si="20"/>
        <v>60602386.STATAM</v>
      </c>
      <c r="AS669">
        <f t="shared" si="21"/>
        <v>11383038.910000008</v>
      </c>
      <c r="AT669" t="s">
        <v>82</v>
      </c>
    </row>
    <row r="670" spans="1:46" x14ac:dyDescent="0.35">
      <c r="A670" t="s">
        <v>52</v>
      </c>
      <c r="B670" t="s">
        <v>53</v>
      </c>
      <c r="C670" t="s">
        <v>54</v>
      </c>
      <c r="D670" t="s">
        <v>55</v>
      </c>
      <c r="E670" t="s">
        <v>56</v>
      </c>
      <c r="F670" t="s">
        <v>1947</v>
      </c>
      <c r="G670" t="s">
        <v>2266</v>
      </c>
      <c r="H670" t="s">
        <v>56</v>
      </c>
      <c r="I670" t="s">
        <v>2267</v>
      </c>
      <c r="J670" t="s">
        <v>61</v>
      </c>
      <c r="K670" t="s">
        <v>640</v>
      </c>
      <c r="L670" t="s">
        <v>56</v>
      </c>
      <c r="M670" t="s">
        <v>56</v>
      </c>
      <c r="N670" t="s">
        <v>682</v>
      </c>
      <c r="O670" t="s">
        <v>1950</v>
      </c>
      <c r="P670" t="s">
        <v>1951</v>
      </c>
      <c r="Q670" t="s">
        <v>87</v>
      </c>
      <c r="R670" t="s">
        <v>248</v>
      </c>
      <c r="S670">
        <v>8000000</v>
      </c>
      <c r="T670">
        <v>-5391770.46</v>
      </c>
      <c r="U670" t="s">
        <v>68</v>
      </c>
      <c r="V670" t="s">
        <v>1952</v>
      </c>
      <c r="W670" s="9">
        <v>60602386</v>
      </c>
      <c r="X670" t="s">
        <v>2268</v>
      </c>
      <c r="Y670" s="1">
        <v>46076</v>
      </c>
      <c r="Z670" s="1">
        <v>46136</v>
      </c>
      <c r="AA670" s="2">
        <v>7179.12</v>
      </c>
      <c r="AB670" s="2">
        <v>6084</v>
      </c>
      <c r="AC670" s="2">
        <v>1095.1199999999999</v>
      </c>
      <c r="AD670" s="2">
        <v>7179.12</v>
      </c>
      <c r="AE670" t="s">
        <v>2271</v>
      </c>
      <c r="AF670" t="s">
        <v>72</v>
      </c>
      <c r="AG670">
        <v>-58</v>
      </c>
      <c r="AH670" t="s">
        <v>117</v>
      </c>
      <c r="AI670" t="s">
        <v>74</v>
      </c>
      <c r="AJ670" t="s">
        <v>127</v>
      </c>
      <c r="AK670" t="s">
        <v>334</v>
      </c>
      <c r="AL670" t="s">
        <v>118</v>
      </c>
      <c r="AM670" t="s">
        <v>78</v>
      </c>
      <c r="AN670" t="s">
        <v>979</v>
      </c>
      <c r="AO670" t="s">
        <v>119</v>
      </c>
      <c r="AP670" t="s">
        <v>46</v>
      </c>
      <c r="AQ670" t="s">
        <v>335</v>
      </c>
      <c r="AR670" t="str">
        <f t="shared" si="20"/>
        <v>60602386.SPMINAM</v>
      </c>
      <c r="AS670">
        <f t="shared" si="21"/>
        <v>1015972.39</v>
      </c>
      <c r="AT670" t="s">
        <v>82</v>
      </c>
    </row>
    <row r="671" spans="1:46" x14ac:dyDescent="0.35">
      <c r="A671" t="s">
        <v>52</v>
      </c>
      <c r="B671" t="s">
        <v>53</v>
      </c>
      <c r="C671" t="s">
        <v>54</v>
      </c>
      <c r="D671" t="s">
        <v>55</v>
      </c>
      <c r="E671" t="s">
        <v>56</v>
      </c>
      <c r="F671" t="s">
        <v>1947</v>
      </c>
      <c r="G671" t="s">
        <v>2266</v>
      </c>
      <c r="H671" t="s">
        <v>56</v>
      </c>
      <c r="I671" t="s">
        <v>2267</v>
      </c>
      <c r="J671" t="s">
        <v>61</v>
      </c>
      <c r="K671" t="s">
        <v>640</v>
      </c>
      <c r="L671" t="s">
        <v>56</v>
      </c>
      <c r="M671" t="s">
        <v>56</v>
      </c>
      <c r="N671" t="s">
        <v>263</v>
      </c>
      <c r="O671" t="s">
        <v>1950</v>
      </c>
      <c r="P671" t="s">
        <v>1951</v>
      </c>
      <c r="Q671" t="s">
        <v>87</v>
      </c>
      <c r="R671" t="s">
        <v>248</v>
      </c>
      <c r="S671">
        <v>8000000</v>
      </c>
      <c r="T671">
        <v>-5391770.46</v>
      </c>
      <c r="U671" t="s">
        <v>68</v>
      </c>
      <c r="V671" t="s">
        <v>1952</v>
      </c>
      <c r="W671" s="9">
        <v>60602386</v>
      </c>
      <c r="X671" t="s">
        <v>2268</v>
      </c>
      <c r="Y671" s="1">
        <v>46076</v>
      </c>
      <c r="Z671" s="1">
        <v>46136</v>
      </c>
      <c r="AA671" s="2">
        <v>192644.32</v>
      </c>
      <c r="AB671" s="2">
        <v>163257.9</v>
      </c>
      <c r="AC671" s="2">
        <v>29386.42</v>
      </c>
      <c r="AD671" s="2">
        <v>192644.32</v>
      </c>
      <c r="AE671" t="s">
        <v>2272</v>
      </c>
      <c r="AF671" t="s">
        <v>72</v>
      </c>
      <c r="AG671">
        <v>-58</v>
      </c>
      <c r="AH671" t="s">
        <v>117</v>
      </c>
      <c r="AI671" t="s">
        <v>74</v>
      </c>
      <c r="AJ671" t="s">
        <v>75</v>
      </c>
      <c r="AK671" t="s">
        <v>76</v>
      </c>
      <c r="AL671" t="s">
        <v>118</v>
      </c>
      <c r="AM671" t="s">
        <v>78</v>
      </c>
      <c r="AN671" t="s">
        <v>979</v>
      </c>
      <c r="AO671" t="s">
        <v>119</v>
      </c>
      <c r="AP671" t="s">
        <v>46</v>
      </c>
      <c r="AQ671" t="s">
        <v>81</v>
      </c>
      <c r="AR671" t="str">
        <f t="shared" si="20"/>
        <v>60602386.STATAM</v>
      </c>
      <c r="AS671">
        <f t="shared" si="21"/>
        <v>11383038.910000008</v>
      </c>
      <c r="AT671" t="s">
        <v>82</v>
      </c>
    </row>
    <row r="672" spans="1:46" x14ac:dyDescent="0.35">
      <c r="A672" t="s">
        <v>52</v>
      </c>
      <c r="B672" t="s">
        <v>53</v>
      </c>
      <c r="C672" t="s">
        <v>54</v>
      </c>
      <c r="D672" t="s">
        <v>55</v>
      </c>
      <c r="E672" t="s">
        <v>56</v>
      </c>
      <c r="F672" t="s">
        <v>1947</v>
      </c>
      <c r="G672" t="s">
        <v>2266</v>
      </c>
      <c r="H672" t="s">
        <v>56</v>
      </c>
      <c r="I672" t="s">
        <v>2267</v>
      </c>
      <c r="J672" t="s">
        <v>61</v>
      </c>
      <c r="K672" t="s">
        <v>640</v>
      </c>
      <c r="L672" t="s">
        <v>56</v>
      </c>
      <c r="M672" t="s">
        <v>56</v>
      </c>
      <c r="N672" t="s">
        <v>1186</v>
      </c>
      <c r="O672" t="s">
        <v>1950</v>
      </c>
      <c r="P672" t="s">
        <v>1951</v>
      </c>
      <c r="Q672" t="s">
        <v>87</v>
      </c>
      <c r="R672" t="s">
        <v>248</v>
      </c>
      <c r="S672">
        <v>8000000</v>
      </c>
      <c r="T672">
        <v>-5391770.46</v>
      </c>
      <c r="U672" t="s">
        <v>68</v>
      </c>
      <c r="V672" t="s">
        <v>1952</v>
      </c>
      <c r="W672" s="9">
        <v>60602386</v>
      </c>
      <c r="X672" t="s">
        <v>2268</v>
      </c>
      <c r="Y672" s="1">
        <v>46076</v>
      </c>
      <c r="Z672" s="1">
        <v>46136</v>
      </c>
      <c r="AA672" s="2">
        <v>647.96</v>
      </c>
      <c r="AB672" s="2">
        <v>549.12</v>
      </c>
      <c r="AC672" s="2">
        <v>98.84</v>
      </c>
      <c r="AD672" s="2">
        <v>647.96</v>
      </c>
      <c r="AE672" t="s">
        <v>2273</v>
      </c>
      <c r="AF672" t="s">
        <v>72</v>
      </c>
      <c r="AG672">
        <v>-58</v>
      </c>
      <c r="AH672" t="s">
        <v>117</v>
      </c>
      <c r="AI672" t="s">
        <v>74</v>
      </c>
      <c r="AJ672" t="s">
        <v>75</v>
      </c>
      <c r="AK672" t="s">
        <v>76</v>
      </c>
      <c r="AL672" t="s">
        <v>118</v>
      </c>
      <c r="AM672" t="s">
        <v>78</v>
      </c>
      <c r="AN672" t="s">
        <v>979</v>
      </c>
      <c r="AO672" t="s">
        <v>119</v>
      </c>
      <c r="AP672" t="s">
        <v>46</v>
      </c>
      <c r="AQ672" t="s">
        <v>81</v>
      </c>
      <c r="AR672" t="str">
        <f t="shared" si="20"/>
        <v>60602386.STATAM</v>
      </c>
      <c r="AS672">
        <f t="shared" si="21"/>
        <v>11383038.910000008</v>
      </c>
      <c r="AT672" t="s">
        <v>82</v>
      </c>
    </row>
    <row r="673" spans="1:46" x14ac:dyDescent="0.35">
      <c r="A673" t="s">
        <v>52</v>
      </c>
      <c r="B673" t="s">
        <v>53</v>
      </c>
      <c r="C673" t="s">
        <v>54</v>
      </c>
      <c r="D673" t="s">
        <v>55</v>
      </c>
      <c r="E673" t="s">
        <v>56</v>
      </c>
      <c r="F673" t="s">
        <v>1947</v>
      </c>
      <c r="G673" t="s">
        <v>2266</v>
      </c>
      <c r="H673" t="s">
        <v>56</v>
      </c>
      <c r="I673" t="s">
        <v>2267</v>
      </c>
      <c r="J673" t="s">
        <v>61</v>
      </c>
      <c r="K673" t="s">
        <v>640</v>
      </c>
      <c r="L673" t="s">
        <v>56</v>
      </c>
      <c r="M673" t="s">
        <v>56</v>
      </c>
      <c r="N673" t="s">
        <v>261</v>
      </c>
      <c r="O673" t="s">
        <v>1950</v>
      </c>
      <c r="P673" t="s">
        <v>1951</v>
      </c>
      <c r="Q673" t="s">
        <v>87</v>
      </c>
      <c r="R673" t="s">
        <v>248</v>
      </c>
      <c r="S673">
        <v>8000000</v>
      </c>
      <c r="T673">
        <v>-5391770.46</v>
      </c>
      <c r="U673" t="s">
        <v>68</v>
      </c>
      <c r="V673" t="s">
        <v>1952</v>
      </c>
      <c r="W673" s="9">
        <v>60602386</v>
      </c>
      <c r="X673" t="s">
        <v>2268</v>
      </c>
      <c r="Y673" s="1">
        <v>46076</v>
      </c>
      <c r="Z673" s="1">
        <v>46136</v>
      </c>
      <c r="AA673" s="2">
        <v>9310.77</v>
      </c>
      <c r="AB673" s="2">
        <v>7890.48</v>
      </c>
      <c r="AC673" s="2">
        <v>1420.29</v>
      </c>
      <c r="AD673" s="2">
        <v>9310.77</v>
      </c>
      <c r="AE673" t="s">
        <v>2274</v>
      </c>
      <c r="AF673" t="s">
        <v>72</v>
      </c>
      <c r="AG673">
        <v>-58</v>
      </c>
      <c r="AH673" t="s">
        <v>117</v>
      </c>
      <c r="AI673" t="s">
        <v>74</v>
      </c>
      <c r="AJ673" t="s">
        <v>75</v>
      </c>
      <c r="AK673" t="s">
        <v>76</v>
      </c>
      <c r="AL673" t="s">
        <v>118</v>
      </c>
      <c r="AM673" t="s">
        <v>78</v>
      </c>
      <c r="AN673" t="s">
        <v>979</v>
      </c>
      <c r="AO673" t="s">
        <v>119</v>
      </c>
      <c r="AP673" t="s">
        <v>46</v>
      </c>
      <c r="AQ673" t="s">
        <v>81</v>
      </c>
      <c r="AR673" t="str">
        <f t="shared" si="20"/>
        <v>60602386.STATAM</v>
      </c>
      <c r="AS673">
        <f t="shared" si="21"/>
        <v>11383038.910000008</v>
      </c>
      <c r="AT673" t="s">
        <v>82</v>
      </c>
    </row>
    <row r="674" spans="1:46" x14ac:dyDescent="0.35">
      <c r="A674" t="s">
        <v>52</v>
      </c>
      <c r="B674" t="s">
        <v>53</v>
      </c>
      <c r="C674" t="s">
        <v>54</v>
      </c>
      <c r="D674" t="s">
        <v>55</v>
      </c>
      <c r="E674" t="s">
        <v>56</v>
      </c>
      <c r="F674" t="s">
        <v>1947</v>
      </c>
      <c r="G674" t="s">
        <v>2266</v>
      </c>
      <c r="H674" t="s">
        <v>56</v>
      </c>
      <c r="I674" t="s">
        <v>2267</v>
      </c>
      <c r="J674" t="s">
        <v>61</v>
      </c>
      <c r="K674" t="s">
        <v>640</v>
      </c>
      <c r="L674" t="s">
        <v>56</v>
      </c>
      <c r="M674" t="s">
        <v>56</v>
      </c>
      <c r="N674" t="s">
        <v>655</v>
      </c>
      <c r="O674" t="s">
        <v>1950</v>
      </c>
      <c r="P674" t="s">
        <v>1951</v>
      </c>
      <c r="Q674" t="s">
        <v>87</v>
      </c>
      <c r="R674" t="s">
        <v>248</v>
      </c>
      <c r="S674">
        <v>8000000</v>
      </c>
      <c r="T674">
        <v>-5391770.46</v>
      </c>
      <c r="U674" t="s">
        <v>68</v>
      </c>
      <c r="V674" t="s">
        <v>1952</v>
      </c>
      <c r="W674" s="9">
        <v>60602386</v>
      </c>
      <c r="X674" t="s">
        <v>2268</v>
      </c>
      <c r="Y674" s="1">
        <v>46076</v>
      </c>
      <c r="Z674" s="1">
        <v>46136</v>
      </c>
      <c r="AA674" s="2">
        <v>8690.42</v>
      </c>
      <c r="AB674" s="2">
        <v>7364.76</v>
      </c>
      <c r="AC674" s="2">
        <v>1325.66</v>
      </c>
      <c r="AD674" s="2">
        <v>8690.42</v>
      </c>
      <c r="AE674" t="s">
        <v>2275</v>
      </c>
      <c r="AF674" t="s">
        <v>72</v>
      </c>
      <c r="AG674">
        <v>-58</v>
      </c>
      <c r="AH674" t="s">
        <v>117</v>
      </c>
      <c r="AI674" t="s">
        <v>74</v>
      </c>
      <c r="AJ674" t="s">
        <v>75</v>
      </c>
      <c r="AK674" t="s">
        <v>76</v>
      </c>
      <c r="AL674" t="s">
        <v>118</v>
      </c>
      <c r="AM674" t="s">
        <v>78</v>
      </c>
      <c r="AN674" t="s">
        <v>979</v>
      </c>
      <c r="AO674" t="s">
        <v>119</v>
      </c>
      <c r="AP674" t="s">
        <v>46</v>
      </c>
      <c r="AQ674" t="s">
        <v>81</v>
      </c>
      <c r="AR674" t="str">
        <f t="shared" si="20"/>
        <v>60602386.STATAM</v>
      </c>
      <c r="AS674">
        <f t="shared" si="21"/>
        <v>11383038.910000008</v>
      </c>
      <c r="AT674" t="s">
        <v>82</v>
      </c>
    </row>
    <row r="675" spans="1:46" x14ac:dyDescent="0.35">
      <c r="A675" t="s">
        <v>52</v>
      </c>
      <c r="B675" t="s">
        <v>53</v>
      </c>
      <c r="C675" t="s">
        <v>54</v>
      </c>
      <c r="D675" t="s">
        <v>55</v>
      </c>
      <c r="E675" t="s">
        <v>56</v>
      </c>
      <c r="F675" t="s">
        <v>1947</v>
      </c>
      <c r="G675" t="s">
        <v>2276</v>
      </c>
      <c r="H675" t="s">
        <v>56</v>
      </c>
      <c r="I675" t="s">
        <v>2277</v>
      </c>
      <c r="J675" t="s">
        <v>476</v>
      </c>
      <c r="K675" t="s">
        <v>640</v>
      </c>
      <c r="L675" t="s">
        <v>56</v>
      </c>
      <c r="M675" t="s">
        <v>56</v>
      </c>
      <c r="N675" t="s">
        <v>254</v>
      </c>
      <c r="O675" t="s">
        <v>1950</v>
      </c>
      <c r="P675" t="s">
        <v>1951</v>
      </c>
      <c r="Q675" t="s">
        <v>641</v>
      </c>
      <c r="R675" t="s">
        <v>248</v>
      </c>
      <c r="S675">
        <v>8000000</v>
      </c>
      <c r="T675">
        <v>-5391770.46</v>
      </c>
      <c r="U675" t="s">
        <v>68</v>
      </c>
      <c r="V675" t="s">
        <v>1952</v>
      </c>
      <c r="W675" s="9">
        <v>60602386</v>
      </c>
      <c r="X675" t="s">
        <v>2278</v>
      </c>
      <c r="Y675" s="1">
        <v>46076</v>
      </c>
      <c r="Z675" s="1">
        <v>46136</v>
      </c>
      <c r="AA675" s="2">
        <v>272471.44</v>
      </c>
      <c r="AB675" s="2">
        <v>230908</v>
      </c>
      <c r="AC675" s="2">
        <v>41563.440000000002</v>
      </c>
      <c r="AD675" s="2">
        <v>272471.44</v>
      </c>
      <c r="AE675" t="s">
        <v>2279</v>
      </c>
      <c r="AF675" t="s">
        <v>72</v>
      </c>
      <c r="AG675">
        <v>-58</v>
      </c>
      <c r="AH675" t="s">
        <v>117</v>
      </c>
      <c r="AI675" t="s">
        <v>74</v>
      </c>
      <c r="AJ675" t="s">
        <v>75</v>
      </c>
      <c r="AK675" t="s">
        <v>76</v>
      </c>
      <c r="AL675" t="s">
        <v>118</v>
      </c>
      <c r="AM675" t="s">
        <v>78</v>
      </c>
      <c r="AN675" t="s">
        <v>979</v>
      </c>
      <c r="AO675" t="s">
        <v>119</v>
      </c>
      <c r="AP675" t="s">
        <v>46</v>
      </c>
      <c r="AQ675" t="s">
        <v>81</v>
      </c>
      <c r="AR675" t="str">
        <f t="shared" si="20"/>
        <v>60602386.STATAM</v>
      </c>
      <c r="AS675">
        <f t="shared" si="21"/>
        <v>11383038.910000008</v>
      </c>
      <c r="AT675" t="s">
        <v>82</v>
      </c>
    </row>
    <row r="676" spans="1:46" x14ac:dyDescent="0.35">
      <c r="A676" t="s">
        <v>52</v>
      </c>
      <c r="B676" t="s">
        <v>53</v>
      </c>
      <c r="C676" t="s">
        <v>54</v>
      </c>
      <c r="D676" t="s">
        <v>55</v>
      </c>
      <c r="E676" t="s">
        <v>56</v>
      </c>
      <c r="F676" t="s">
        <v>2280</v>
      </c>
      <c r="G676" t="s">
        <v>56</v>
      </c>
      <c r="H676" t="s">
        <v>56</v>
      </c>
      <c r="I676" t="s">
        <v>2281</v>
      </c>
      <c r="J676" t="s">
        <v>61</v>
      </c>
      <c r="K676" t="s">
        <v>640</v>
      </c>
      <c r="L676" t="s">
        <v>56</v>
      </c>
      <c r="M676" t="s">
        <v>56</v>
      </c>
      <c r="N676" t="s">
        <v>56</v>
      </c>
      <c r="O676" t="s">
        <v>1833</v>
      </c>
      <c r="P676" t="s">
        <v>1834</v>
      </c>
      <c r="Q676" t="s">
        <v>87</v>
      </c>
      <c r="R676" t="s">
        <v>67</v>
      </c>
      <c r="S676">
        <v>10206050</v>
      </c>
      <c r="T676">
        <v>8715243.6899999995</v>
      </c>
      <c r="U676" t="s">
        <v>68</v>
      </c>
      <c r="V676" t="s">
        <v>1952</v>
      </c>
      <c r="W676" s="9">
        <v>60602807</v>
      </c>
      <c r="X676" t="s">
        <v>2282</v>
      </c>
      <c r="Y676" s="1">
        <v>45869</v>
      </c>
      <c r="Z676" s="1">
        <v>45869</v>
      </c>
      <c r="AA676" s="2">
        <v>-200000</v>
      </c>
      <c r="AB676" s="2">
        <v>-200000</v>
      </c>
      <c r="AC676" s="2">
        <v>0</v>
      </c>
      <c r="AD676" s="2">
        <v>-200000</v>
      </c>
      <c r="AE676" t="s">
        <v>2282</v>
      </c>
      <c r="AF676" t="s">
        <v>72</v>
      </c>
      <c r="AG676">
        <v>209</v>
      </c>
      <c r="AH676" t="s">
        <v>101</v>
      </c>
      <c r="AI676" t="s">
        <v>74</v>
      </c>
      <c r="AJ676" t="s">
        <v>75</v>
      </c>
      <c r="AK676" t="s">
        <v>102</v>
      </c>
      <c r="AL676" t="s">
        <v>77</v>
      </c>
      <c r="AM676" t="s">
        <v>103</v>
      </c>
      <c r="AN676" t="s">
        <v>738</v>
      </c>
      <c r="AO676" t="s">
        <v>80</v>
      </c>
      <c r="AP676" t="e">
        <v>#N/A</v>
      </c>
      <c r="AQ676" t="s">
        <v>105</v>
      </c>
      <c r="AR676" t="str">
        <f t="shared" si="20"/>
        <v>60602807.STATEQ</v>
      </c>
      <c r="AS676">
        <f t="shared" si="21"/>
        <v>-437582.29000000004</v>
      </c>
      <c r="AT676" t="s">
        <v>93</v>
      </c>
    </row>
    <row r="677" spans="1:46" x14ac:dyDescent="0.35">
      <c r="A677" t="s">
        <v>52</v>
      </c>
      <c r="B677" t="s">
        <v>53</v>
      </c>
      <c r="C677" t="s">
        <v>54</v>
      </c>
      <c r="D677" t="s">
        <v>55</v>
      </c>
      <c r="E677" t="s">
        <v>56</v>
      </c>
      <c r="F677" t="s">
        <v>2280</v>
      </c>
      <c r="G677" t="s">
        <v>56</v>
      </c>
      <c r="H677" t="s">
        <v>56</v>
      </c>
      <c r="I677" t="s">
        <v>2283</v>
      </c>
      <c r="J677" t="s">
        <v>61</v>
      </c>
      <c r="K677" t="s">
        <v>640</v>
      </c>
      <c r="L677" t="s">
        <v>56</v>
      </c>
      <c r="M677" t="s">
        <v>56</v>
      </c>
      <c r="N677" t="s">
        <v>56</v>
      </c>
      <c r="O677" t="s">
        <v>1833</v>
      </c>
      <c r="P677" t="s">
        <v>1834</v>
      </c>
      <c r="Q677" t="s">
        <v>87</v>
      </c>
      <c r="R677" t="s">
        <v>67</v>
      </c>
      <c r="S677">
        <v>10206050</v>
      </c>
      <c r="T677">
        <v>8715243.6899999995</v>
      </c>
      <c r="U677" t="s">
        <v>68</v>
      </c>
      <c r="V677" t="s">
        <v>1952</v>
      </c>
      <c r="W677" s="9">
        <v>60602807</v>
      </c>
      <c r="X677" t="s">
        <v>2284</v>
      </c>
      <c r="Y677" s="1">
        <v>45876</v>
      </c>
      <c r="Z677" s="1">
        <v>45876</v>
      </c>
      <c r="AA677" s="2">
        <v>-6150000</v>
      </c>
      <c r="AB677" s="2">
        <v>-6150000</v>
      </c>
      <c r="AC677" s="2">
        <v>0</v>
      </c>
      <c r="AD677" s="2">
        <v>-37582.29</v>
      </c>
      <c r="AE677" t="s">
        <v>2284</v>
      </c>
      <c r="AF677" t="s">
        <v>72</v>
      </c>
      <c r="AG677">
        <v>202</v>
      </c>
      <c r="AH677" t="s">
        <v>101</v>
      </c>
      <c r="AI677" t="s">
        <v>74</v>
      </c>
      <c r="AJ677" t="s">
        <v>75</v>
      </c>
      <c r="AK677" t="s">
        <v>102</v>
      </c>
      <c r="AL677" t="s">
        <v>77</v>
      </c>
      <c r="AM677" t="s">
        <v>103</v>
      </c>
      <c r="AN677" t="s">
        <v>738</v>
      </c>
      <c r="AO677" t="s">
        <v>80</v>
      </c>
      <c r="AP677" t="e">
        <v>#N/A</v>
      </c>
      <c r="AQ677" t="s">
        <v>105</v>
      </c>
      <c r="AR677" t="str">
        <f t="shared" si="20"/>
        <v>60602807.STATEQ</v>
      </c>
      <c r="AS677">
        <f t="shared" si="21"/>
        <v>-437582.29000000004</v>
      </c>
      <c r="AT677" t="s">
        <v>93</v>
      </c>
    </row>
    <row r="678" spans="1:46" x14ac:dyDescent="0.35">
      <c r="A678" t="s">
        <v>52</v>
      </c>
      <c r="B678" t="s">
        <v>53</v>
      </c>
      <c r="C678" t="s">
        <v>54</v>
      </c>
      <c r="D678" t="s">
        <v>55</v>
      </c>
      <c r="E678" t="s">
        <v>56</v>
      </c>
      <c r="F678" t="s">
        <v>2280</v>
      </c>
      <c r="G678" t="s">
        <v>56</v>
      </c>
      <c r="H678" t="s">
        <v>56</v>
      </c>
      <c r="I678" t="s">
        <v>2285</v>
      </c>
      <c r="J678" t="s">
        <v>61</v>
      </c>
      <c r="K678" t="s">
        <v>640</v>
      </c>
      <c r="L678" t="s">
        <v>56</v>
      </c>
      <c r="M678" t="s">
        <v>56</v>
      </c>
      <c r="N678" t="s">
        <v>56</v>
      </c>
      <c r="O678" t="s">
        <v>1833</v>
      </c>
      <c r="P678" t="s">
        <v>1834</v>
      </c>
      <c r="Q678" t="s">
        <v>87</v>
      </c>
      <c r="R678" t="s">
        <v>67</v>
      </c>
      <c r="S678">
        <v>10206050</v>
      </c>
      <c r="T678">
        <v>8715243.6899999995</v>
      </c>
      <c r="U678" t="s">
        <v>68</v>
      </c>
      <c r="V678" t="s">
        <v>1952</v>
      </c>
      <c r="W678" s="9">
        <v>60602807</v>
      </c>
      <c r="X678" t="s">
        <v>2286</v>
      </c>
      <c r="Y678" s="1">
        <v>45898</v>
      </c>
      <c r="Z678" s="1">
        <v>45898</v>
      </c>
      <c r="AA678" s="2">
        <v>-200000</v>
      </c>
      <c r="AB678" s="2">
        <v>-200000</v>
      </c>
      <c r="AC678" s="2">
        <v>0</v>
      </c>
      <c r="AD678" s="2">
        <v>-200000</v>
      </c>
      <c r="AE678" t="s">
        <v>2286</v>
      </c>
      <c r="AF678" t="s">
        <v>72</v>
      </c>
      <c r="AG678">
        <v>180</v>
      </c>
      <c r="AH678" t="s">
        <v>91</v>
      </c>
      <c r="AI678" t="s">
        <v>74</v>
      </c>
      <c r="AJ678" t="s">
        <v>75</v>
      </c>
      <c r="AK678" t="s">
        <v>102</v>
      </c>
      <c r="AL678" t="s">
        <v>77</v>
      </c>
      <c r="AM678" t="s">
        <v>103</v>
      </c>
      <c r="AN678" t="s">
        <v>738</v>
      </c>
      <c r="AO678" t="s">
        <v>80</v>
      </c>
      <c r="AP678" t="e">
        <v>#N/A</v>
      </c>
      <c r="AQ678" t="s">
        <v>105</v>
      </c>
      <c r="AR678" t="str">
        <f t="shared" si="20"/>
        <v>60602807.STATEQ</v>
      </c>
      <c r="AS678">
        <f t="shared" si="21"/>
        <v>-437582.29000000004</v>
      </c>
      <c r="AT678" t="s">
        <v>93</v>
      </c>
    </row>
    <row r="679" spans="1:46" x14ac:dyDescent="0.35">
      <c r="A679" t="s">
        <v>52</v>
      </c>
      <c r="B679" t="s">
        <v>53</v>
      </c>
      <c r="C679" t="s">
        <v>54</v>
      </c>
      <c r="D679" t="s">
        <v>55</v>
      </c>
      <c r="E679" t="s">
        <v>56</v>
      </c>
      <c r="F679" t="s">
        <v>2287</v>
      </c>
      <c r="G679" t="s">
        <v>2288</v>
      </c>
      <c r="H679" t="s">
        <v>56</v>
      </c>
      <c r="I679" t="s">
        <v>2289</v>
      </c>
      <c r="J679" t="s">
        <v>56</v>
      </c>
      <c r="K679" t="s">
        <v>62</v>
      </c>
      <c r="L679" t="s">
        <v>56</v>
      </c>
      <c r="M679" t="s">
        <v>56</v>
      </c>
      <c r="N679" t="s">
        <v>263</v>
      </c>
      <c r="O679" t="s">
        <v>391</v>
      </c>
      <c r="P679" t="s">
        <v>392</v>
      </c>
      <c r="Q679" t="s">
        <v>393</v>
      </c>
      <c r="R679" t="s">
        <v>88</v>
      </c>
      <c r="T679">
        <v>-565593.86</v>
      </c>
      <c r="U679" t="s">
        <v>68</v>
      </c>
      <c r="V679" t="s">
        <v>2290</v>
      </c>
      <c r="W679" s="9">
        <v>60601554</v>
      </c>
      <c r="X679" t="s">
        <v>2291</v>
      </c>
      <c r="Y679" s="1">
        <v>46069</v>
      </c>
      <c r="Z679" s="1">
        <v>46069</v>
      </c>
      <c r="AA679" s="2">
        <v>273320.08</v>
      </c>
      <c r="AB679" s="2">
        <v>231627.18</v>
      </c>
      <c r="AC679" s="2">
        <v>41692.9</v>
      </c>
      <c r="AD679" s="2">
        <v>273320.08</v>
      </c>
      <c r="AE679" t="s">
        <v>2292</v>
      </c>
      <c r="AF679" t="s">
        <v>72</v>
      </c>
      <c r="AG679">
        <v>9</v>
      </c>
      <c r="AH679" t="s">
        <v>73</v>
      </c>
      <c r="AI679" t="s">
        <v>74</v>
      </c>
      <c r="AJ679" t="s">
        <v>75</v>
      </c>
      <c r="AK679" t="s">
        <v>76</v>
      </c>
      <c r="AL679" t="s">
        <v>77</v>
      </c>
      <c r="AM679" t="s">
        <v>78</v>
      </c>
      <c r="AN679" t="s">
        <v>104</v>
      </c>
      <c r="AO679" t="s">
        <v>80</v>
      </c>
      <c r="AP679" t="e">
        <v>#N/A</v>
      </c>
      <c r="AQ679" t="s">
        <v>81</v>
      </c>
      <c r="AR679" t="str">
        <f t="shared" si="20"/>
        <v>60601554.STATAM</v>
      </c>
      <c r="AS679">
        <f t="shared" si="21"/>
        <v>433710</v>
      </c>
      <c r="AT679" t="s">
        <v>82</v>
      </c>
    </row>
    <row r="680" spans="1:46" x14ac:dyDescent="0.35">
      <c r="A680" t="s">
        <v>52</v>
      </c>
      <c r="B680" t="s">
        <v>53</v>
      </c>
      <c r="C680" t="s">
        <v>54</v>
      </c>
      <c r="D680" t="s">
        <v>55</v>
      </c>
      <c r="E680" t="s">
        <v>56</v>
      </c>
      <c r="F680" t="s">
        <v>2287</v>
      </c>
      <c r="G680" t="s">
        <v>2288</v>
      </c>
      <c r="H680" t="s">
        <v>56</v>
      </c>
      <c r="I680" t="s">
        <v>2289</v>
      </c>
      <c r="J680" t="s">
        <v>56</v>
      </c>
      <c r="K680" t="s">
        <v>62</v>
      </c>
      <c r="L680" t="s">
        <v>56</v>
      </c>
      <c r="M680" t="s">
        <v>56</v>
      </c>
      <c r="N680" t="s">
        <v>1183</v>
      </c>
      <c r="O680" t="s">
        <v>391</v>
      </c>
      <c r="P680" t="s">
        <v>392</v>
      </c>
      <c r="Q680" t="s">
        <v>393</v>
      </c>
      <c r="R680" t="s">
        <v>88</v>
      </c>
      <c r="T680">
        <v>-565593.86</v>
      </c>
      <c r="U680" t="s">
        <v>68</v>
      </c>
      <c r="V680" t="s">
        <v>2290</v>
      </c>
      <c r="W680" s="9">
        <v>60601554</v>
      </c>
      <c r="X680" t="s">
        <v>2291</v>
      </c>
      <c r="Y680" s="1">
        <v>46069</v>
      </c>
      <c r="Z680" s="1">
        <v>46069</v>
      </c>
      <c r="AA680" s="2">
        <v>71952.7</v>
      </c>
      <c r="AB680" s="2">
        <v>60976.86</v>
      </c>
      <c r="AC680" s="2">
        <v>10975.84</v>
      </c>
      <c r="AD680" s="2">
        <v>71952.7</v>
      </c>
      <c r="AE680" t="s">
        <v>2293</v>
      </c>
      <c r="AF680" t="s">
        <v>72</v>
      </c>
      <c r="AG680">
        <v>9</v>
      </c>
      <c r="AH680" t="s">
        <v>73</v>
      </c>
      <c r="AI680" t="s">
        <v>74</v>
      </c>
      <c r="AJ680" t="s">
        <v>75</v>
      </c>
      <c r="AK680" t="s">
        <v>76</v>
      </c>
      <c r="AL680" t="s">
        <v>77</v>
      </c>
      <c r="AM680" t="s">
        <v>78</v>
      </c>
      <c r="AN680" t="s">
        <v>104</v>
      </c>
      <c r="AO680" t="s">
        <v>80</v>
      </c>
      <c r="AP680" t="e">
        <v>#N/A</v>
      </c>
      <c r="AQ680" t="s">
        <v>81</v>
      </c>
      <c r="AR680" t="str">
        <f t="shared" si="20"/>
        <v>60601554.STATAM</v>
      </c>
      <c r="AS680">
        <f t="shared" si="21"/>
        <v>433710</v>
      </c>
      <c r="AT680" t="s">
        <v>82</v>
      </c>
    </row>
    <row r="681" spans="1:46" x14ac:dyDescent="0.35">
      <c r="A681" t="s">
        <v>52</v>
      </c>
      <c r="B681" t="s">
        <v>53</v>
      </c>
      <c r="C681" t="s">
        <v>54</v>
      </c>
      <c r="D681" t="s">
        <v>55</v>
      </c>
      <c r="E681" t="s">
        <v>56</v>
      </c>
      <c r="F681" t="s">
        <v>2287</v>
      </c>
      <c r="G681" t="s">
        <v>2288</v>
      </c>
      <c r="H681" t="s">
        <v>56</v>
      </c>
      <c r="I681" t="s">
        <v>2289</v>
      </c>
      <c r="J681" t="s">
        <v>56</v>
      </c>
      <c r="K681" t="s">
        <v>62</v>
      </c>
      <c r="L681" t="s">
        <v>56</v>
      </c>
      <c r="M681" t="s">
        <v>56</v>
      </c>
      <c r="N681" t="s">
        <v>1189</v>
      </c>
      <c r="O681" t="s">
        <v>391</v>
      </c>
      <c r="P681" t="s">
        <v>392</v>
      </c>
      <c r="Q681" t="s">
        <v>393</v>
      </c>
      <c r="R681" t="s">
        <v>88</v>
      </c>
      <c r="T681">
        <v>-565593.86</v>
      </c>
      <c r="U681" t="s">
        <v>68</v>
      </c>
      <c r="V681" t="s">
        <v>2290</v>
      </c>
      <c r="W681" s="9">
        <v>60601554</v>
      </c>
      <c r="X681" t="s">
        <v>2291</v>
      </c>
      <c r="Y681" s="1">
        <v>46069</v>
      </c>
      <c r="Z681" s="1">
        <v>46069</v>
      </c>
      <c r="AA681" s="2">
        <v>10021.11</v>
      </c>
      <c r="AB681" s="2">
        <v>8492.4699999999993</v>
      </c>
      <c r="AC681" s="2">
        <v>1528.64</v>
      </c>
      <c r="AD681" s="2">
        <v>10021.11</v>
      </c>
      <c r="AE681" t="s">
        <v>2294</v>
      </c>
      <c r="AF681" t="s">
        <v>72</v>
      </c>
      <c r="AG681">
        <v>9</v>
      </c>
      <c r="AH681" t="s">
        <v>73</v>
      </c>
      <c r="AI681" t="s">
        <v>74</v>
      </c>
      <c r="AJ681" t="s">
        <v>75</v>
      </c>
      <c r="AK681" t="s">
        <v>76</v>
      </c>
      <c r="AL681" t="s">
        <v>77</v>
      </c>
      <c r="AM681" t="s">
        <v>78</v>
      </c>
      <c r="AN681" t="s">
        <v>104</v>
      </c>
      <c r="AO681" t="s">
        <v>80</v>
      </c>
      <c r="AP681" t="e">
        <v>#N/A</v>
      </c>
      <c r="AQ681" t="s">
        <v>81</v>
      </c>
      <c r="AR681" t="str">
        <f t="shared" si="20"/>
        <v>60601554.STATAM</v>
      </c>
      <c r="AS681">
        <f t="shared" si="21"/>
        <v>433710</v>
      </c>
      <c r="AT681" t="s">
        <v>82</v>
      </c>
    </row>
    <row r="682" spans="1:46" x14ac:dyDescent="0.35">
      <c r="A682" t="s">
        <v>52</v>
      </c>
      <c r="B682" t="s">
        <v>53</v>
      </c>
      <c r="C682" t="s">
        <v>54</v>
      </c>
      <c r="D682" t="s">
        <v>55</v>
      </c>
      <c r="E682" t="s">
        <v>56</v>
      </c>
      <c r="F682" t="s">
        <v>2287</v>
      </c>
      <c r="G682" t="s">
        <v>2288</v>
      </c>
      <c r="H682" t="s">
        <v>56</v>
      </c>
      <c r="I682" t="s">
        <v>2295</v>
      </c>
      <c r="J682" t="s">
        <v>56</v>
      </c>
      <c r="K682" t="s">
        <v>62</v>
      </c>
      <c r="L682" t="s">
        <v>56</v>
      </c>
      <c r="M682" t="s">
        <v>56</v>
      </c>
      <c r="N682" t="s">
        <v>1183</v>
      </c>
      <c r="O682" t="s">
        <v>391</v>
      </c>
      <c r="P682" t="s">
        <v>392</v>
      </c>
      <c r="Q682" t="s">
        <v>393</v>
      </c>
      <c r="R682" t="s">
        <v>88</v>
      </c>
      <c r="T682">
        <v>-565593.86</v>
      </c>
      <c r="U682" t="s">
        <v>68</v>
      </c>
      <c r="V682" t="s">
        <v>2290</v>
      </c>
      <c r="W682" s="9">
        <v>60601554</v>
      </c>
      <c r="X682" t="s">
        <v>2296</v>
      </c>
      <c r="Y682" s="1">
        <v>46069</v>
      </c>
      <c r="Z682" s="1">
        <v>46069</v>
      </c>
      <c r="AA682" s="2">
        <v>78416.11</v>
      </c>
      <c r="AB682" s="2">
        <v>66454.33</v>
      </c>
      <c r="AC682" s="2">
        <v>11961.78</v>
      </c>
      <c r="AD682" s="2">
        <v>78416.11</v>
      </c>
      <c r="AE682" t="s">
        <v>2297</v>
      </c>
      <c r="AF682" t="s">
        <v>72</v>
      </c>
      <c r="AG682">
        <v>9</v>
      </c>
      <c r="AH682" t="s">
        <v>73</v>
      </c>
      <c r="AI682" t="s">
        <v>74</v>
      </c>
      <c r="AJ682" t="s">
        <v>75</v>
      </c>
      <c r="AK682" t="s">
        <v>76</v>
      </c>
      <c r="AL682" t="s">
        <v>77</v>
      </c>
      <c r="AM682" t="s">
        <v>78</v>
      </c>
      <c r="AN682" t="s">
        <v>104</v>
      </c>
      <c r="AO682" t="s">
        <v>80</v>
      </c>
      <c r="AP682" t="e">
        <v>#N/A</v>
      </c>
      <c r="AQ682" t="s">
        <v>81</v>
      </c>
      <c r="AR682" t="str">
        <f t="shared" si="20"/>
        <v>60601554.STATAM</v>
      </c>
      <c r="AS682">
        <f t="shared" si="21"/>
        <v>433710</v>
      </c>
      <c r="AT682" t="s">
        <v>82</v>
      </c>
    </row>
    <row r="683" spans="1:46" x14ac:dyDescent="0.35">
      <c r="A683" t="s">
        <v>52</v>
      </c>
      <c r="B683" t="s">
        <v>53</v>
      </c>
      <c r="C683" t="s">
        <v>54</v>
      </c>
      <c r="D683" t="s">
        <v>55</v>
      </c>
      <c r="E683" t="s">
        <v>56</v>
      </c>
      <c r="F683" t="s">
        <v>2298</v>
      </c>
      <c r="G683" t="s">
        <v>2299</v>
      </c>
      <c r="H683" t="s">
        <v>59</v>
      </c>
      <c r="I683" t="s">
        <v>2300</v>
      </c>
      <c r="J683" t="s">
        <v>2301</v>
      </c>
      <c r="K683" t="s">
        <v>62</v>
      </c>
      <c r="L683" t="s">
        <v>56</v>
      </c>
      <c r="M683" t="s">
        <v>56</v>
      </c>
      <c r="N683" t="s">
        <v>63</v>
      </c>
      <c r="O683" t="s">
        <v>391</v>
      </c>
      <c r="P683" t="s">
        <v>392</v>
      </c>
      <c r="Q683" t="s">
        <v>2302</v>
      </c>
      <c r="R683" t="s">
        <v>232</v>
      </c>
      <c r="S683">
        <v>15000000</v>
      </c>
      <c r="T683">
        <v>8776410.8900000006</v>
      </c>
      <c r="U683" t="s">
        <v>68</v>
      </c>
      <c r="V683" t="s">
        <v>2303</v>
      </c>
      <c r="W683" s="9">
        <v>60602497</v>
      </c>
      <c r="X683" t="s">
        <v>2304</v>
      </c>
      <c r="Y683" s="1">
        <v>45974</v>
      </c>
      <c r="Z683" s="1">
        <v>46064</v>
      </c>
      <c r="AA683" s="2">
        <v>1001014.66</v>
      </c>
      <c r="AB683" s="2">
        <v>848317.5</v>
      </c>
      <c r="AC683" s="2">
        <v>152697.16</v>
      </c>
      <c r="AD683" s="2">
        <v>988983.89</v>
      </c>
      <c r="AE683" t="s">
        <v>2305</v>
      </c>
      <c r="AF683" t="s">
        <v>72</v>
      </c>
      <c r="AG683">
        <v>14</v>
      </c>
      <c r="AH683" t="s">
        <v>73</v>
      </c>
      <c r="AI683" t="s">
        <v>74</v>
      </c>
      <c r="AJ683" t="s">
        <v>75</v>
      </c>
      <c r="AK683" t="s">
        <v>76</v>
      </c>
      <c r="AL683" t="s">
        <v>77</v>
      </c>
      <c r="AM683" t="s">
        <v>78</v>
      </c>
      <c r="AN683" t="s">
        <v>104</v>
      </c>
      <c r="AO683" t="s">
        <v>80</v>
      </c>
      <c r="AP683" t="e">
        <v>#N/A</v>
      </c>
      <c r="AQ683" t="s">
        <v>81</v>
      </c>
      <c r="AR683" t="str">
        <f t="shared" si="20"/>
        <v>60602497.STATAM</v>
      </c>
      <c r="AS683">
        <f t="shared" si="21"/>
        <v>6223589.1099999994</v>
      </c>
      <c r="AT683" t="s">
        <v>82</v>
      </c>
    </row>
    <row r="684" spans="1:46" x14ac:dyDescent="0.35">
      <c r="A684" t="s">
        <v>52</v>
      </c>
      <c r="B684" t="s">
        <v>53</v>
      </c>
      <c r="C684" t="s">
        <v>54</v>
      </c>
      <c r="D684" t="s">
        <v>55</v>
      </c>
      <c r="E684" t="s">
        <v>56</v>
      </c>
      <c r="F684" t="s">
        <v>2298</v>
      </c>
      <c r="G684" t="s">
        <v>2306</v>
      </c>
      <c r="H684" t="s">
        <v>59</v>
      </c>
      <c r="I684" t="s">
        <v>2307</v>
      </c>
      <c r="J684" t="s">
        <v>2308</v>
      </c>
      <c r="K684" t="s">
        <v>62</v>
      </c>
      <c r="L684" t="s">
        <v>56</v>
      </c>
      <c r="M684" t="s">
        <v>56</v>
      </c>
      <c r="N684" t="s">
        <v>63</v>
      </c>
      <c r="O684" t="s">
        <v>391</v>
      </c>
      <c r="P684" t="s">
        <v>392</v>
      </c>
      <c r="Q684" t="s">
        <v>2309</v>
      </c>
      <c r="R684" t="s">
        <v>232</v>
      </c>
      <c r="S684">
        <v>15000000</v>
      </c>
      <c r="T684">
        <v>8776410.8900000006</v>
      </c>
      <c r="U684" t="s">
        <v>68</v>
      </c>
      <c r="V684" t="s">
        <v>2303</v>
      </c>
      <c r="W684" s="9">
        <v>60602497</v>
      </c>
      <c r="X684" t="s">
        <v>2310</v>
      </c>
      <c r="Y684" s="1">
        <v>45974</v>
      </c>
      <c r="Z684" s="1">
        <v>46064</v>
      </c>
      <c r="AA684" s="2">
        <v>444429.9</v>
      </c>
      <c r="AB684" s="2">
        <v>376635.5</v>
      </c>
      <c r="AC684" s="2">
        <v>67794.399999999994</v>
      </c>
      <c r="AD684" s="2">
        <v>444429.9</v>
      </c>
      <c r="AE684" t="s">
        <v>2311</v>
      </c>
      <c r="AF684" t="s">
        <v>72</v>
      </c>
      <c r="AG684">
        <v>14</v>
      </c>
      <c r="AH684" t="s">
        <v>73</v>
      </c>
      <c r="AI684" t="s">
        <v>74</v>
      </c>
      <c r="AJ684" t="s">
        <v>75</v>
      </c>
      <c r="AK684" t="s">
        <v>76</v>
      </c>
      <c r="AL684" t="s">
        <v>77</v>
      </c>
      <c r="AM684" t="s">
        <v>78</v>
      </c>
      <c r="AN684" t="s">
        <v>104</v>
      </c>
      <c r="AO684" t="s">
        <v>80</v>
      </c>
      <c r="AP684" t="e">
        <v>#N/A</v>
      </c>
      <c r="AQ684" t="s">
        <v>81</v>
      </c>
      <c r="AR684" t="str">
        <f t="shared" si="20"/>
        <v>60602497.STATAM</v>
      </c>
      <c r="AS684">
        <f t="shared" si="21"/>
        <v>6223589.1099999994</v>
      </c>
      <c r="AT684" t="s">
        <v>82</v>
      </c>
    </row>
    <row r="685" spans="1:46" x14ac:dyDescent="0.35">
      <c r="A685" t="s">
        <v>52</v>
      </c>
      <c r="B685" t="s">
        <v>53</v>
      </c>
      <c r="C685" t="s">
        <v>54</v>
      </c>
      <c r="D685" t="s">
        <v>55</v>
      </c>
      <c r="E685" t="s">
        <v>56</v>
      </c>
      <c r="F685" t="s">
        <v>2298</v>
      </c>
      <c r="G685" t="s">
        <v>2299</v>
      </c>
      <c r="H685" t="s">
        <v>59</v>
      </c>
      <c r="I685" t="s">
        <v>2300</v>
      </c>
      <c r="J685" t="s">
        <v>2301</v>
      </c>
      <c r="K685" t="s">
        <v>62</v>
      </c>
      <c r="L685" t="s">
        <v>56</v>
      </c>
      <c r="M685" t="s">
        <v>56</v>
      </c>
      <c r="N685" t="s">
        <v>63</v>
      </c>
      <c r="O685" t="s">
        <v>391</v>
      </c>
      <c r="P685" t="s">
        <v>392</v>
      </c>
      <c r="Q685" t="s">
        <v>2302</v>
      </c>
      <c r="R685" t="s">
        <v>232</v>
      </c>
      <c r="S685">
        <v>15000000</v>
      </c>
      <c r="T685">
        <v>8776410.8900000006</v>
      </c>
      <c r="U685" t="s">
        <v>68</v>
      </c>
      <c r="V685" t="s">
        <v>2303</v>
      </c>
      <c r="W685" s="9">
        <v>60602497</v>
      </c>
      <c r="X685" t="s">
        <v>2312</v>
      </c>
      <c r="Y685" s="1">
        <v>46012</v>
      </c>
      <c r="Z685" s="1">
        <v>46102</v>
      </c>
      <c r="AA685" s="2">
        <v>1070106.6000000001</v>
      </c>
      <c r="AB685" s="2">
        <v>906870</v>
      </c>
      <c r="AC685" s="2">
        <v>163236.6</v>
      </c>
      <c r="AD685" s="2">
        <v>1070106.6000000001</v>
      </c>
      <c r="AE685" t="s">
        <v>2313</v>
      </c>
      <c r="AF685" t="s">
        <v>72</v>
      </c>
      <c r="AG685">
        <v>-24</v>
      </c>
      <c r="AH685" t="s">
        <v>117</v>
      </c>
      <c r="AI685" t="s">
        <v>74</v>
      </c>
      <c r="AJ685" t="s">
        <v>75</v>
      </c>
      <c r="AK685" t="s">
        <v>76</v>
      </c>
      <c r="AL685" t="s">
        <v>118</v>
      </c>
      <c r="AM685" t="s">
        <v>78</v>
      </c>
      <c r="AN685" t="s">
        <v>104</v>
      </c>
      <c r="AO685" t="s">
        <v>119</v>
      </c>
      <c r="AP685" t="e">
        <v>#N/A</v>
      </c>
      <c r="AQ685" t="s">
        <v>81</v>
      </c>
      <c r="AR685" t="str">
        <f t="shared" si="20"/>
        <v>60602497.STATAM</v>
      </c>
      <c r="AS685">
        <f t="shared" si="21"/>
        <v>6223589.1099999994</v>
      </c>
      <c r="AT685" t="s">
        <v>82</v>
      </c>
    </row>
    <row r="686" spans="1:46" x14ac:dyDescent="0.35">
      <c r="A686" t="s">
        <v>52</v>
      </c>
      <c r="B686" t="s">
        <v>53</v>
      </c>
      <c r="C686" t="s">
        <v>54</v>
      </c>
      <c r="D686" t="s">
        <v>55</v>
      </c>
      <c r="E686" t="s">
        <v>56</v>
      </c>
      <c r="F686" t="s">
        <v>2298</v>
      </c>
      <c r="G686" t="s">
        <v>2314</v>
      </c>
      <c r="H686" t="s">
        <v>59</v>
      </c>
      <c r="I686" t="s">
        <v>2315</v>
      </c>
      <c r="J686" t="s">
        <v>61</v>
      </c>
      <c r="K686" t="s">
        <v>62</v>
      </c>
      <c r="L686" t="s">
        <v>56</v>
      </c>
      <c r="M686" t="s">
        <v>56</v>
      </c>
      <c r="N686" t="s">
        <v>63</v>
      </c>
      <c r="O686" t="s">
        <v>391</v>
      </c>
      <c r="P686" t="s">
        <v>392</v>
      </c>
      <c r="Q686" t="s">
        <v>2316</v>
      </c>
      <c r="R686" t="s">
        <v>232</v>
      </c>
      <c r="S686">
        <v>15000000</v>
      </c>
      <c r="T686">
        <v>8776410.8900000006</v>
      </c>
      <c r="U686" t="s">
        <v>68</v>
      </c>
      <c r="V686" t="s">
        <v>2303</v>
      </c>
      <c r="W686" s="9">
        <v>60602497</v>
      </c>
      <c r="X686" t="s">
        <v>2317</v>
      </c>
      <c r="Y686" s="1">
        <v>46012</v>
      </c>
      <c r="Z686" s="1">
        <v>46102</v>
      </c>
      <c r="AA686" s="2">
        <v>236259.6</v>
      </c>
      <c r="AB686" s="2">
        <v>200220</v>
      </c>
      <c r="AC686" s="2">
        <v>36039.599999999999</v>
      </c>
      <c r="AD686" s="2">
        <v>236259.6</v>
      </c>
      <c r="AE686" t="s">
        <v>2318</v>
      </c>
      <c r="AF686" t="s">
        <v>72</v>
      </c>
      <c r="AG686">
        <v>-24</v>
      </c>
      <c r="AH686" t="s">
        <v>117</v>
      </c>
      <c r="AI686" t="s">
        <v>74</v>
      </c>
      <c r="AJ686" t="s">
        <v>75</v>
      </c>
      <c r="AK686" t="s">
        <v>76</v>
      </c>
      <c r="AL686" t="s">
        <v>118</v>
      </c>
      <c r="AM686" t="s">
        <v>78</v>
      </c>
      <c r="AN686" t="s">
        <v>104</v>
      </c>
      <c r="AO686" t="s">
        <v>119</v>
      </c>
      <c r="AP686" t="e">
        <v>#N/A</v>
      </c>
      <c r="AQ686" t="s">
        <v>81</v>
      </c>
      <c r="AR686" t="str">
        <f t="shared" si="20"/>
        <v>60602497.STATAM</v>
      </c>
      <c r="AS686">
        <f t="shared" si="21"/>
        <v>6223589.1099999994</v>
      </c>
      <c r="AT686" t="s">
        <v>82</v>
      </c>
    </row>
    <row r="687" spans="1:46" x14ac:dyDescent="0.35">
      <c r="A687" t="s">
        <v>52</v>
      </c>
      <c r="B687" t="s">
        <v>53</v>
      </c>
      <c r="C687" t="s">
        <v>54</v>
      </c>
      <c r="D687" t="s">
        <v>55</v>
      </c>
      <c r="E687" t="s">
        <v>56</v>
      </c>
      <c r="F687" t="s">
        <v>2298</v>
      </c>
      <c r="G687" t="s">
        <v>2306</v>
      </c>
      <c r="H687" t="s">
        <v>59</v>
      </c>
      <c r="I687" t="s">
        <v>2307</v>
      </c>
      <c r="J687" t="s">
        <v>2308</v>
      </c>
      <c r="K687" t="s">
        <v>62</v>
      </c>
      <c r="L687" t="s">
        <v>56</v>
      </c>
      <c r="M687" t="s">
        <v>56</v>
      </c>
      <c r="N687" t="s">
        <v>63</v>
      </c>
      <c r="O687" t="s">
        <v>391</v>
      </c>
      <c r="P687" t="s">
        <v>392</v>
      </c>
      <c r="Q687" t="s">
        <v>2309</v>
      </c>
      <c r="R687" t="s">
        <v>232</v>
      </c>
      <c r="S687">
        <v>15000000</v>
      </c>
      <c r="T687">
        <v>8776410.8900000006</v>
      </c>
      <c r="U687" t="s">
        <v>68</v>
      </c>
      <c r="V687" t="s">
        <v>2303</v>
      </c>
      <c r="W687" s="9">
        <v>60602497</v>
      </c>
      <c r="X687" t="s">
        <v>2319</v>
      </c>
      <c r="Y687" s="1">
        <v>46012</v>
      </c>
      <c r="Z687" s="1">
        <v>46102</v>
      </c>
      <c r="AA687" s="2">
        <v>462391.26</v>
      </c>
      <c r="AB687" s="2">
        <v>391857</v>
      </c>
      <c r="AC687" s="2">
        <v>70534.259999999995</v>
      </c>
      <c r="AD687" s="2">
        <v>462391.26</v>
      </c>
      <c r="AE687" t="s">
        <v>2320</v>
      </c>
      <c r="AF687" t="s">
        <v>72</v>
      </c>
      <c r="AG687">
        <v>-24</v>
      </c>
      <c r="AH687" t="s">
        <v>117</v>
      </c>
      <c r="AI687" t="s">
        <v>74</v>
      </c>
      <c r="AJ687" t="s">
        <v>75</v>
      </c>
      <c r="AK687" t="s">
        <v>76</v>
      </c>
      <c r="AL687" t="s">
        <v>118</v>
      </c>
      <c r="AM687" t="s">
        <v>78</v>
      </c>
      <c r="AN687" t="s">
        <v>104</v>
      </c>
      <c r="AO687" t="s">
        <v>119</v>
      </c>
      <c r="AP687" t="e">
        <v>#N/A</v>
      </c>
      <c r="AQ687" t="s">
        <v>81</v>
      </c>
      <c r="AR687" t="str">
        <f t="shared" si="20"/>
        <v>60602497.STATAM</v>
      </c>
      <c r="AS687">
        <f t="shared" si="21"/>
        <v>6223589.1099999994</v>
      </c>
      <c r="AT687" t="s">
        <v>82</v>
      </c>
    </row>
    <row r="688" spans="1:46" x14ac:dyDescent="0.35">
      <c r="A688" t="s">
        <v>52</v>
      </c>
      <c r="B688" t="s">
        <v>53</v>
      </c>
      <c r="C688" t="s">
        <v>54</v>
      </c>
      <c r="D688" t="s">
        <v>55</v>
      </c>
      <c r="E688" t="s">
        <v>56</v>
      </c>
      <c r="F688" t="s">
        <v>2298</v>
      </c>
      <c r="G688" t="s">
        <v>2299</v>
      </c>
      <c r="H688" t="s">
        <v>59</v>
      </c>
      <c r="I688" t="s">
        <v>2300</v>
      </c>
      <c r="J688" t="s">
        <v>2301</v>
      </c>
      <c r="K688" t="s">
        <v>62</v>
      </c>
      <c r="L688" t="s">
        <v>56</v>
      </c>
      <c r="M688" t="s">
        <v>56</v>
      </c>
      <c r="N688" t="s">
        <v>63</v>
      </c>
      <c r="O688" t="s">
        <v>391</v>
      </c>
      <c r="P688" t="s">
        <v>392</v>
      </c>
      <c r="Q688" t="s">
        <v>2302</v>
      </c>
      <c r="R688" t="s">
        <v>232</v>
      </c>
      <c r="S688">
        <v>15000000</v>
      </c>
      <c r="T688">
        <v>8776410.8900000006</v>
      </c>
      <c r="U688" t="s">
        <v>68</v>
      </c>
      <c r="V688" t="s">
        <v>2303</v>
      </c>
      <c r="W688" s="9">
        <v>60602497</v>
      </c>
      <c r="X688" t="s">
        <v>2321</v>
      </c>
      <c r="Y688" s="1">
        <v>46047</v>
      </c>
      <c r="Z688" s="1">
        <v>46137</v>
      </c>
      <c r="AA688" s="2">
        <v>759662.18</v>
      </c>
      <c r="AB688" s="2">
        <v>643781.5</v>
      </c>
      <c r="AC688" s="2">
        <v>115880.68</v>
      </c>
      <c r="AD688" s="2">
        <v>759662.18</v>
      </c>
      <c r="AE688" t="s">
        <v>2322</v>
      </c>
      <c r="AF688" t="s">
        <v>72</v>
      </c>
      <c r="AG688">
        <v>-59</v>
      </c>
      <c r="AH688" t="s">
        <v>117</v>
      </c>
      <c r="AI688" t="s">
        <v>74</v>
      </c>
      <c r="AJ688" t="s">
        <v>75</v>
      </c>
      <c r="AK688" t="s">
        <v>76</v>
      </c>
      <c r="AL688" t="s">
        <v>118</v>
      </c>
      <c r="AM688" t="s">
        <v>78</v>
      </c>
      <c r="AN688" t="s">
        <v>104</v>
      </c>
      <c r="AO688" t="s">
        <v>119</v>
      </c>
      <c r="AP688" t="e">
        <v>#N/A</v>
      </c>
      <c r="AQ688" t="s">
        <v>81</v>
      </c>
      <c r="AR688" t="str">
        <f t="shared" si="20"/>
        <v>60602497.STATAM</v>
      </c>
      <c r="AS688">
        <f t="shared" si="21"/>
        <v>6223589.1099999994</v>
      </c>
      <c r="AT688" t="s">
        <v>82</v>
      </c>
    </row>
    <row r="689" spans="1:46" x14ac:dyDescent="0.35">
      <c r="A689" t="s">
        <v>52</v>
      </c>
      <c r="B689" t="s">
        <v>53</v>
      </c>
      <c r="C689" t="s">
        <v>54</v>
      </c>
      <c r="D689" t="s">
        <v>55</v>
      </c>
      <c r="E689" t="s">
        <v>56</v>
      </c>
      <c r="F689" t="s">
        <v>2298</v>
      </c>
      <c r="G689" t="s">
        <v>2306</v>
      </c>
      <c r="H689" t="s">
        <v>59</v>
      </c>
      <c r="I689" t="s">
        <v>2307</v>
      </c>
      <c r="J689" t="s">
        <v>2308</v>
      </c>
      <c r="K689" t="s">
        <v>62</v>
      </c>
      <c r="L689" t="s">
        <v>56</v>
      </c>
      <c r="M689" t="s">
        <v>56</v>
      </c>
      <c r="N689" t="s">
        <v>63</v>
      </c>
      <c r="O689" t="s">
        <v>391</v>
      </c>
      <c r="P689" t="s">
        <v>392</v>
      </c>
      <c r="Q689" t="s">
        <v>2309</v>
      </c>
      <c r="R689" t="s">
        <v>232</v>
      </c>
      <c r="S689">
        <v>15000000</v>
      </c>
      <c r="T689">
        <v>8776410.8900000006</v>
      </c>
      <c r="U689" t="s">
        <v>68</v>
      </c>
      <c r="V689" t="s">
        <v>2303</v>
      </c>
      <c r="W689" s="9">
        <v>60602497</v>
      </c>
      <c r="X689" t="s">
        <v>2323</v>
      </c>
      <c r="Y689" s="1">
        <v>46047</v>
      </c>
      <c r="Z689" s="1">
        <v>46137</v>
      </c>
      <c r="AA689" s="2">
        <v>428370.1</v>
      </c>
      <c r="AB689" s="2">
        <v>363025.5</v>
      </c>
      <c r="AC689" s="2">
        <v>65344.6</v>
      </c>
      <c r="AD689" s="2">
        <v>428370.1</v>
      </c>
      <c r="AE689" t="s">
        <v>2324</v>
      </c>
      <c r="AF689" t="s">
        <v>72</v>
      </c>
      <c r="AG689">
        <v>-59</v>
      </c>
      <c r="AH689" t="s">
        <v>117</v>
      </c>
      <c r="AI689" t="s">
        <v>74</v>
      </c>
      <c r="AJ689" t="s">
        <v>75</v>
      </c>
      <c r="AK689" t="s">
        <v>76</v>
      </c>
      <c r="AL689" t="s">
        <v>118</v>
      </c>
      <c r="AM689" t="s">
        <v>78</v>
      </c>
      <c r="AN689" t="s">
        <v>104</v>
      </c>
      <c r="AO689" t="s">
        <v>119</v>
      </c>
      <c r="AP689" t="e">
        <v>#N/A</v>
      </c>
      <c r="AQ689" t="s">
        <v>81</v>
      </c>
      <c r="AR689" t="str">
        <f t="shared" si="20"/>
        <v>60602497.STATAM</v>
      </c>
      <c r="AS689">
        <f t="shared" si="21"/>
        <v>6223589.1099999994</v>
      </c>
      <c r="AT689" t="s">
        <v>82</v>
      </c>
    </row>
    <row r="690" spans="1:46" x14ac:dyDescent="0.35">
      <c r="A690" t="s">
        <v>52</v>
      </c>
      <c r="B690" t="s">
        <v>53</v>
      </c>
      <c r="C690" t="s">
        <v>54</v>
      </c>
      <c r="D690" t="s">
        <v>55</v>
      </c>
      <c r="E690" t="s">
        <v>56</v>
      </c>
      <c r="F690" t="s">
        <v>2298</v>
      </c>
      <c r="G690" t="s">
        <v>2314</v>
      </c>
      <c r="H690" t="s">
        <v>59</v>
      </c>
      <c r="I690" t="s">
        <v>2315</v>
      </c>
      <c r="J690" t="s">
        <v>61</v>
      </c>
      <c r="K690" t="s">
        <v>62</v>
      </c>
      <c r="L690" t="s">
        <v>56</v>
      </c>
      <c r="M690" t="s">
        <v>56</v>
      </c>
      <c r="N690" t="s">
        <v>63</v>
      </c>
      <c r="O690" t="s">
        <v>391</v>
      </c>
      <c r="P690" t="s">
        <v>392</v>
      </c>
      <c r="Q690" t="s">
        <v>2316</v>
      </c>
      <c r="R690" t="s">
        <v>232</v>
      </c>
      <c r="S690">
        <v>15000000</v>
      </c>
      <c r="T690">
        <v>8776410.8900000006</v>
      </c>
      <c r="U690" t="s">
        <v>68</v>
      </c>
      <c r="V690" t="s">
        <v>2303</v>
      </c>
      <c r="W690" s="9">
        <v>60602497</v>
      </c>
      <c r="X690" t="s">
        <v>2325</v>
      </c>
      <c r="Y690" s="1">
        <v>46050</v>
      </c>
      <c r="Z690" s="1">
        <v>46140</v>
      </c>
      <c r="AA690" s="2">
        <v>283270.8</v>
      </c>
      <c r="AB690" s="2">
        <v>240060</v>
      </c>
      <c r="AC690" s="2">
        <v>43210.8</v>
      </c>
      <c r="AD690" s="2">
        <v>283270.8</v>
      </c>
      <c r="AE690" t="s">
        <v>2326</v>
      </c>
      <c r="AF690" t="s">
        <v>72</v>
      </c>
      <c r="AG690">
        <v>-62</v>
      </c>
      <c r="AH690" t="s">
        <v>117</v>
      </c>
      <c r="AI690" t="s">
        <v>74</v>
      </c>
      <c r="AJ690" t="s">
        <v>75</v>
      </c>
      <c r="AK690" t="s">
        <v>76</v>
      </c>
      <c r="AL690" t="s">
        <v>118</v>
      </c>
      <c r="AM690" t="s">
        <v>78</v>
      </c>
      <c r="AN690" t="s">
        <v>104</v>
      </c>
      <c r="AO690" t="s">
        <v>119</v>
      </c>
      <c r="AP690" t="e">
        <v>#N/A</v>
      </c>
      <c r="AQ690" t="s">
        <v>81</v>
      </c>
      <c r="AR690" t="str">
        <f t="shared" si="20"/>
        <v>60602497.STATAM</v>
      </c>
      <c r="AS690">
        <f t="shared" si="21"/>
        <v>6223589.1099999994</v>
      </c>
      <c r="AT690" t="s">
        <v>82</v>
      </c>
    </row>
    <row r="691" spans="1:46" x14ac:dyDescent="0.35">
      <c r="A691" t="s">
        <v>52</v>
      </c>
      <c r="B691" t="s">
        <v>53</v>
      </c>
      <c r="C691" t="s">
        <v>54</v>
      </c>
      <c r="D691" t="s">
        <v>55</v>
      </c>
      <c r="E691" t="s">
        <v>56</v>
      </c>
      <c r="F691" t="s">
        <v>2298</v>
      </c>
      <c r="G691" t="s">
        <v>2306</v>
      </c>
      <c r="H691" t="s">
        <v>59</v>
      </c>
      <c r="I691" t="s">
        <v>2307</v>
      </c>
      <c r="J691" t="s">
        <v>2308</v>
      </c>
      <c r="K691" t="s">
        <v>62</v>
      </c>
      <c r="L691" t="s">
        <v>56</v>
      </c>
      <c r="M691" t="s">
        <v>56</v>
      </c>
      <c r="N691" t="s">
        <v>63</v>
      </c>
      <c r="O691" t="s">
        <v>391</v>
      </c>
      <c r="P691" t="s">
        <v>392</v>
      </c>
      <c r="Q691" t="s">
        <v>2309</v>
      </c>
      <c r="R691" t="s">
        <v>232</v>
      </c>
      <c r="S691">
        <v>15000000</v>
      </c>
      <c r="T691">
        <v>8776410.8900000006</v>
      </c>
      <c r="U691" t="s">
        <v>68</v>
      </c>
      <c r="V691" t="s">
        <v>2303</v>
      </c>
      <c r="W691" s="9">
        <v>60602497</v>
      </c>
      <c r="X691" t="s">
        <v>2327</v>
      </c>
      <c r="Y691" s="1">
        <v>46072</v>
      </c>
      <c r="Z691" s="1">
        <v>46162</v>
      </c>
      <c r="AA691" s="2">
        <v>364938.02</v>
      </c>
      <c r="AB691" s="2">
        <v>309269.5</v>
      </c>
      <c r="AC691" s="2">
        <v>55668.52</v>
      </c>
      <c r="AD691" s="2">
        <v>364938.02</v>
      </c>
      <c r="AE691" t="s">
        <v>2328</v>
      </c>
      <c r="AF691" t="s">
        <v>72</v>
      </c>
      <c r="AG691">
        <v>-84</v>
      </c>
      <c r="AH691" t="s">
        <v>117</v>
      </c>
      <c r="AI691" t="s">
        <v>74</v>
      </c>
      <c r="AJ691" t="s">
        <v>75</v>
      </c>
      <c r="AK691" t="s">
        <v>76</v>
      </c>
      <c r="AL691" t="s">
        <v>118</v>
      </c>
      <c r="AM691" t="s">
        <v>78</v>
      </c>
      <c r="AN691" t="s">
        <v>104</v>
      </c>
      <c r="AO691" t="s">
        <v>119</v>
      </c>
      <c r="AP691" t="e">
        <v>#N/A</v>
      </c>
      <c r="AQ691" t="s">
        <v>81</v>
      </c>
      <c r="AR691" t="str">
        <f t="shared" si="20"/>
        <v>60602497.STATAM</v>
      </c>
      <c r="AS691">
        <f t="shared" si="21"/>
        <v>6223589.1099999994</v>
      </c>
      <c r="AT691" t="s">
        <v>82</v>
      </c>
    </row>
    <row r="692" spans="1:46" x14ac:dyDescent="0.35">
      <c r="A692" t="s">
        <v>52</v>
      </c>
      <c r="B692" t="s">
        <v>53</v>
      </c>
      <c r="C692" t="s">
        <v>54</v>
      </c>
      <c r="D692" t="s">
        <v>55</v>
      </c>
      <c r="E692" t="s">
        <v>56</v>
      </c>
      <c r="F692" t="s">
        <v>2298</v>
      </c>
      <c r="G692" t="s">
        <v>2299</v>
      </c>
      <c r="H692" t="s">
        <v>59</v>
      </c>
      <c r="I692" t="s">
        <v>2300</v>
      </c>
      <c r="J692" t="s">
        <v>2301</v>
      </c>
      <c r="K692" t="s">
        <v>62</v>
      </c>
      <c r="L692" t="s">
        <v>56</v>
      </c>
      <c r="M692" t="s">
        <v>56</v>
      </c>
      <c r="N692" t="s">
        <v>63</v>
      </c>
      <c r="O692" t="s">
        <v>391</v>
      </c>
      <c r="P692" t="s">
        <v>392</v>
      </c>
      <c r="Q692" t="s">
        <v>2302</v>
      </c>
      <c r="R692" t="s">
        <v>232</v>
      </c>
      <c r="S692">
        <v>15000000</v>
      </c>
      <c r="T692">
        <v>8776410.8900000006</v>
      </c>
      <c r="U692" t="s">
        <v>68</v>
      </c>
      <c r="V692" t="s">
        <v>2303</v>
      </c>
      <c r="W692" s="9">
        <v>60602497</v>
      </c>
      <c r="X692" t="s">
        <v>2329</v>
      </c>
      <c r="Y692" s="1">
        <v>46072</v>
      </c>
      <c r="Z692" s="1">
        <v>46162</v>
      </c>
      <c r="AA692" s="2">
        <v>902692.34</v>
      </c>
      <c r="AB692" s="2">
        <v>764993.5</v>
      </c>
      <c r="AC692" s="2">
        <v>137698.84</v>
      </c>
      <c r="AD692" s="2">
        <v>902692.34</v>
      </c>
      <c r="AE692" t="s">
        <v>2330</v>
      </c>
      <c r="AF692" t="s">
        <v>72</v>
      </c>
      <c r="AG692">
        <v>-84</v>
      </c>
      <c r="AH692" t="s">
        <v>117</v>
      </c>
      <c r="AI692" t="s">
        <v>74</v>
      </c>
      <c r="AJ692" t="s">
        <v>75</v>
      </c>
      <c r="AK692" t="s">
        <v>76</v>
      </c>
      <c r="AL692" t="s">
        <v>118</v>
      </c>
      <c r="AM692" t="s">
        <v>78</v>
      </c>
      <c r="AN692" t="s">
        <v>104</v>
      </c>
      <c r="AO692" t="s">
        <v>119</v>
      </c>
      <c r="AP692" t="e">
        <v>#N/A</v>
      </c>
      <c r="AQ692" t="s">
        <v>81</v>
      </c>
      <c r="AR692" t="str">
        <f t="shared" si="20"/>
        <v>60602497.STATAM</v>
      </c>
      <c r="AS692">
        <f t="shared" si="21"/>
        <v>6223589.1099999994</v>
      </c>
      <c r="AT692" t="s">
        <v>82</v>
      </c>
    </row>
    <row r="693" spans="1:46" x14ac:dyDescent="0.35">
      <c r="A693" t="s">
        <v>52</v>
      </c>
      <c r="B693" t="s">
        <v>53</v>
      </c>
      <c r="C693" t="s">
        <v>54</v>
      </c>
      <c r="D693" t="s">
        <v>55</v>
      </c>
      <c r="E693" t="s">
        <v>56</v>
      </c>
      <c r="F693" t="s">
        <v>2298</v>
      </c>
      <c r="G693" t="s">
        <v>2331</v>
      </c>
      <c r="H693" t="s">
        <v>59</v>
      </c>
      <c r="I693" t="s">
        <v>2332</v>
      </c>
      <c r="J693" t="s">
        <v>2333</v>
      </c>
      <c r="K693" t="s">
        <v>62</v>
      </c>
      <c r="L693" t="s">
        <v>56</v>
      </c>
      <c r="M693" t="s">
        <v>56</v>
      </c>
      <c r="N693" t="s">
        <v>63</v>
      </c>
      <c r="O693" t="s">
        <v>406</v>
      </c>
      <c r="P693" t="s">
        <v>407</v>
      </c>
      <c r="Q693" t="s">
        <v>2334</v>
      </c>
      <c r="R693" t="s">
        <v>232</v>
      </c>
      <c r="S693">
        <v>15000000</v>
      </c>
      <c r="T693">
        <v>8776410.8900000006</v>
      </c>
      <c r="U693" t="s">
        <v>68</v>
      </c>
      <c r="V693" t="s">
        <v>2303</v>
      </c>
      <c r="W693" s="9">
        <v>60602497</v>
      </c>
      <c r="X693" t="s">
        <v>2335</v>
      </c>
      <c r="Y693" s="1">
        <v>46076</v>
      </c>
      <c r="Z693" s="1">
        <v>46166</v>
      </c>
      <c r="AA693" s="2">
        <v>77773.3</v>
      </c>
      <c r="AB693" s="2">
        <v>65909.58</v>
      </c>
      <c r="AC693" s="2">
        <v>11863.72</v>
      </c>
      <c r="AD693" s="2">
        <v>77773.3</v>
      </c>
      <c r="AE693" t="s">
        <v>2336</v>
      </c>
      <c r="AF693" t="s">
        <v>72</v>
      </c>
      <c r="AG693">
        <v>-88</v>
      </c>
      <c r="AH693" t="s">
        <v>117</v>
      </c>
      <c r="AI693" t="s">
        <v>74</v>
      </c>
      <c r="AJ693" t="s">
        <v>75</v>
      </c>
      <c r="AK693" t="s">
        <v>76</v>
      </c>
      <c r="AL693" t="s">
        <v>118</v>
      </c>
      <c r="AM693" t="s">
        <v>78</v>
      </c>
      <c r="AN693" t="s">
        <v>104</v>
      </c>
      <c r="AO693" t="s">
        <v>119</v>
      </c>
      <c r="AP693" t="e">
        <v>#N/A</v>
      </c>
      <c r="AQ693" t="s">
        <v>81</v>
      </c>
      <c r="AR693" t="str">
        <f t="shared" si="20"/>
        <v>60602497.STATAM</v>
      </c>
      <c r="AS693">
        <f t="shared" si="21"/>
        <v>6223589.1099999994</v>
      </c>
      <c r="AT693" t="s">
        <v>82</v>
      </c>
    </row>
    <row r="694" spans="1:46" x14ac:dyDescent="0.35">
      <c r="A694" t="s">
        <v>52</v>
      </c>
      <c r="B694" t="s">
        <v>53</v>
      </c>
      <c r="C694" t="s">
        <v>54</v>
      </c>
      <c r="D694" t="s">
        <v>55</v>
      </c>
      <c r="E694" t="s">
        <v>56</v>
      </c>
      <c r="F694" t="s">
        <v>2298</v>
      </c>
      <c r="G694" t="s">
        <v>2314</v>
      </c>
      <c r="H694" t="s">
        <v>59</v>
      </c>
      <c r="I694" t="s">
        <v>2315</v>
      </c>
      <c r="J694" t="s">
        <v>61</v>
      </c>
      <c r="K694" t="s">
        <v>62</v>
      </c>
      <c r="L694" t="s">
        <v>56</v>
      </c>
      <c r="M694" t="s">
        <v>56</v>
      </c>
      <c r="N694" t="s">
        <v>63</v>
      </c>
      <c r="O694" t="s">
        <v>391</v>
      </c>
      <c r="P694" t="s">
        <v>392</v>
      </c>
      <c r="Q694" t="s">
        <v>2316</v>
      </c>
      <c r="R694" t="s">
        <v>232</v>
      </c>
      <c r="S694">
        <v>15000000</v>
      </c>
      <c r="T694">
        <v>8776410.8900000006</v>
      </c>
      <c r="U694" t="s">
        <v>68</v>
      </c>
      <c r="V694" t="s">
        <v>2303</v>
      </c>
      <c r="W694" s="9">
        <v>60602497</v>
      </c>
      <c r="X694" t="s">
        <v>2337</v>
      </c>
      <c r="Y694" s="1">
        <v>46076</v>
      </c>
      <c r="Z694" s="1">
        <v>46166</v>
      </c>
      <c r="AA694" s="2">
        <v>204711.12</v>
      </c>
      <c r="AB694" s="2">
        <v>173484</v>
      </c>
      <c r="AC694" s="2">
        <v>31227.119999999999</v>
      </c>
      <c r="AD694" s="2">
        <v>204711.12</v>
      </c>
      <c r="AE694" t="s">
        <v>2338</v>
      </c>
      <c r="AF694" t="s">
        <v>72</v>
      </c>
      <c r="AG694">
        <v>-88</v>
      </c>
      <c r="AH694" t="s">
        <v>117</v>
      </c>
      <c r="AI694" t="s">
        <v>74</v>
      </c>
      <c r="AJ694" t="s">
        <v>75</v>
      </c>
      <c r="AK694" t="s">
        <v>76</v>
      </c>
      <c r="AL694" t="s">
        <v>118</v>
      </c>
      <c r="AM694" t="s">
        <v>78</v>
      </c>
      <c r="AN694" t="s">
        <v>104</v>
      </c>
      <c r="AO694" t="s">
        <v>119</v>
      </c>
      <c r="AP694" t="e">
        <v>#N/A</v>
      </c>
      <c r="AQ694" t="s">
        <v>81</v>
      </c>
      <c r="AR694" t="str">
        <f t="shared" si="20"/>
        <v>60602497.STATAM</v>
      </c>
      <c r="AS694">
        <f t="shared" si="21"/>
        <v>6223589.1099999994</v>
      </c>
      <c r="AT694" t="s">
        <v>82</v>
      </c>
    </row>
    <row r="695" spans="1:46" x14ac:dyDescent="0.35">
      <c r="A695" t="s">
        <v>52</v>
      </c>
      <c r="B695" t="s">
        <v>53</v>
      </c>
      <c r="C695" t="s">
        <v>621</v>
      </c>
      <c r="D695" t="s">
        <v>55</v>
      </c>
      <c r="E695" t="s">
        <v>56</v>
      </c>
      <c r="F695" t="s">
        <v>2339</v>
      </c>
      <c r="G695" t="s">
        <v>56</v>
      </c>
      <c r="H695" t="s">
        <v>56</v>
      </c>
      <c r="I695" t="s">
        <v>2340</v>
      </c>
      <c r="J695" t="s">
        <v>61</v>
      </c>
      <c r="K695" t="s">
        <v>62</v>
      </c>
      <c r="L695" t="s">
        <v>56</v>
      </c>
      <c r="M695" t="s">
        <v>56</v>
      </c>
      <c r="N695" t="s">
        <v>624</v>
      </c>
      <c r="O695" t="s">
        <v>2341</v>
      </c>
      <c r="P695" t="s">
        <v>2342</v>
      </c>
      <c r="Q695" t="s">
        <v>87</v>
      </c>
      <c r="R695" t="s">
        <v>88</v>
      </c>
      <c r="S695">
        <v>500000</v>
      </c>
      <c r="T695">
        <v>524391.36</v>
      </c>
      <c r="U695" t="s">
        <v>68</v>
      </c>
      <c r="V695" t="s">
        <v>2343</v>
      </c>
      <c r="W695" s="9">
        <v>60603991</v>
      </c>
      <c r="X695" t="s">
        <v>2344</v>
      </c>
      <c r="Y695" s="1">
        <v>46011</v>
      </c>
      <c r="Z695" s="1">
        <v>46011</v>
      </c>
      <c r="AA695" s="2">
        <v>-235000</v>
      </c>
      <c r="AB695" s="2">
        <v>-235000</v>
      </c>
      <c r="AC695" s="2">
        <v>0</v>
      </c>
      <c r="AD695" s="2">
        <v>-24391.360000000001</v>
      </c>
      <c r="AE695" t="s">
        <v>2345</v>
      </c>
      <c r="AF695" t="s">
        <v>72</v>
      </c>
      <c r="AG695">
        <v>67</v>
      </c>
      <c r="AH695" t="s">
        <v>260</v>
      </c>
      <c r="AI695" t="s">
        <v>74</v>
      </c>
      <c r="AJ695" t="s">
        <v>75</v>
      </c>
      <c r="AK695" t="s">
        <v>102</v>
      </c>
      <c r="AL695" t="s">
        <v>77</v>
      </c>
      <c r="AM695" t="s">
        <v>103</v>
      </c>
      <c r="AN695" t="s">
        <v>2346</v>
      </c>
      <c r="AO695" t="s">
        <v>80</v>
      </c>
      <c r="AP695" t="e">
        <v>#N/A</v>
      </c>
      <c r="AQ695" t="s">
        <v>105</v>
      </c>
      <c r="AR695" t="str">
        <f t="shared" si="20"/>
        <v>60603991.STATEQ</v>
      </c>
      <c r="AS695">
        <f t="shared" si="21"/>
        <v>-24391.360000000001</v>
      </c>
      <c r="AT695" t="s">
        <v>93</v>
      </c>
    </row>
    <row r="696" spans="1:46" x14ac:dyDescent="0.35">
      <c r="A696" t="s">
        <v>52</v>
      </c>
      <c r="B696" t="s">
        <v>53</v>
      </c>
      <c r="C696" t="s">
        <v>54</v>
      </c>
      <c r="D696" t="s">
        <v>55</v>
      </c>
      <c r="E696" t="s">
        <v>56</v>
      </c>
      <c r="F696" t="s">
        <v>2347</v>
      </c>
      <c r="G696" t="s">
        <v>2348</v>
      </c>
      <c r="H696" t="s">
        <v>59</v>
      </c>
      <c r="I696" t="s">
        <v>2349</v>
      </c>
      <c r="J696" t="s">
        <v>61</v>
      </c>
      <c r="K696" t="s">
        <v>62</v>
      </c>
      <c r="L696" t="s">
        <v>56</v>
      </c>
      <c r="M696" t="s">
        <v>56</v>
      </c>
      <c r="N696" t="s">
        <v>63</v>
      </c>
      <c r="O696" t="s">
        <v>64</v>
      </c>
      <c r="P696" t="s">
        <v>65</v>
      </c>
      <c r="Q696" t="s">
        <v>2350</v>
      </c>
      <c r="R696" t="s">
        <v>88</v>
      </c>
      <c r="T696">
        <v>-663850.68000000005</v>
      </c>
      <c r="U696" t="s">
        <v>68</v>
      </c>
      <c r="V696" t="s">
        <v>2351</v>
      </c>
      <c r="W696" s="9">
        <v>60604211</v>
      </c>
      <c r="X696" t="s">
        <v>2352</v>
      </c>
      <c r="Y696" s="1">
        <v>46006</v>
      </c>
      <c r="Z696" s="1">
        <v>46006</v>
      </c>
      <c r="AA696" s="2">
        <v>184909.02</v>
      </c>
      <c r="AB696" s="2">
        <v>156702.56</v>
      </c>
      <c r="AC696" s="2">
        <v>28206.46</v>
      </c>
      <c r="AD696" s="2">
        <v>579.84</v>
      </c>
      <c r="AE696" t="s">
        <v>2353</v>
      </c>
      <c r="AF696" t="s">
        <v>72</v>
      </c>
      <c r="AG696">
        <v>72</v>
      </c>
      <c r="AH696" t="s">
        <v>260</v>
      </c>
      <c r="AI696" t="s">
        <v>74</v>
      </c>
      <c r="AJ696" t="s">
        <v>75</v>
      </c>
      <c r="AK696" t="s">
        <v>76</v>
      </c>
      <c r="AL696" t="s">
        <v>77</v>
      </c>
      <c r="AM696" t="s">
        <v>78</v>
      </c>
      <c r="AN696" t="s">
        <v>79</v>
      </c>
      <c r="AO696" t="s">
        <v>80</v>
      </c>
      <c r="AP696" t="e">
        <v>#N/A</v>
      </c>
      <c r="AQ696" t="s">
        <v>81</v>
      </c>
      <c r="AR696" t="str">
        <f t="shared" si="20"/>
        <v>60604211.STATAM</v>
      </c>
      <c r="AS696">
        <f t="shared" si="21"/>
        <v>663850.67999999993</v>
      </c>
      <c r="AT696" t="s">
        <v>82</v>
      </c>
    </row>
    <row r="697" spans="1:46" x14ac:dyDescent="0.35">
      <c r="A697" t="s">
        <v>52</v>
      </c>
      <c r="B697" t="s">
        <v>53</v>
      </c>
      <c r="C697" t="s">
        <v>54</v>
      </c>
      <c r="D697" t="s">
        <v>55</v>
      </c>
      <c r="E697" t="s">
        <v>56</v>
      </c>
      <c r="F697" t="s">
        <v>2347</v>
      </c>
      <c r="G697" t="s">
        <v>2348</v>
      </c>
      <c r="H697" t="s">
        <v>59</v>
      </c>
      <c r="I697" t="s">
        <v>2349</v>
      </c>
      <c r="J697" t="s">
        <v>61</v>
      </c>
      <c r="K697" t="s">
        <v>62</v>
      </c>
      <c r="L697" t="s">
        <v>56</v>
      </c>
      <c r="M697" t="s">
        <v>56</v>
      </c>
      <c r="N697" t="s">
        <v>63</v>
      </c>
      <c r="O697" t="s">
        <v>64</v>
      </c>
      <c r="P697" t="s">
        <v>65</v>
      </c>
      <c r="Q697" t="s">
        <v>2350</v>
      </c>
      <c r="R697" t="s">
        <v>88</v>
      </c>
      <c r="T697">
        <v>-663850.68000000005</v>
      </c>
      <c r="U697" t="s">
        <v>68</v>
      </c>
      <c r="V697" t="s">
        <v>2351</v>
      </c>
      <c r="W697" s="9">
        <v>60604211</v>
      </c>
      <c r="X697" t="s">
        <v>2354</v>
      </c>
      <c r="Y697" s="1">
        <v>46048</v>
      </c>
      <c r="Z697" s="1">
        <v>46048</v>
      </c>
      <c r="AA697" s="2">
        <v>303646.86</v>
      </c>
      <c r="AB697" s="2">
        <v>257327.84</v>
      </c>
      <c r="AC697" s="2">
        <v>46319.02</v>
      </c>
      <c r="AD697" s="2">
        <v>303646.86</v>
      </c>
      <c r="AE697" t="s">
        <v>2355</v>
      </c>
      <c r="AF697" t="s">
        <v>72</v>
      </c>
      <c r="AG697">
        <v>30</v>
      </c>
      <c r="AH697" t="s">
        <v>73</v>
      </c>
      <c r="AI697" t="s">
        <v>74</v>
      </c>
      <c r="AJ697" t="s">
        <v>75</v>
      </c>
      <c r="AK697" t="s">
        <v>76</v>
      </c>
      <c r="AL697" t="s">
        <v>77</v>
      </c>
      <c r="AM697" t="s">
        <v>78</v>
      </c>
      <c r="AN697" t="s">
        <v>79</v>
      </c>
      <c r="AO697" t="s">
        <v>80</v>
      </c>
      <c r="AP697" t="e">
        <v>#N/A</v>
      </c>
      <c r="AQ697" t="s">
        <v>81</v>
      </c>
      <c r="AR697" t="str">
        <f t="shared" si="20"/>
        <v>60604211.STATAM</v>
      </c>
      <c r="AS697">
        <f t="shared" si="21"/>
        <v>663850.67999999993</v>
      </c>
      <c r="AT697" t="s">
        <v>82</v>
      </c>
    </row>
    <row r="698" spans="1:46" x14ac:dyDescent="0.35">
      <c r="A698" t="s">
        <v>52</v>
      </c>
      <c r="B698" t="s">
        <v>53</v>
      </c>
      <c r="C698" t="s">
        <v>54</v>
      </c>
      <c r="D698" t="s">
        <v>55</v>
      </c>
      <c r="E698" t="s">
        <v>56</v>
      </c>
      <c r="F698" t="s">
        <v>2347</v>
      </c>
      <c r="G698" t="s">
        <v>2348</v>
      </c>
      <c r="H698" t="s">
        <v>59</v>
      </c>
      <c r="I698" t="s">
        <v>2349</v>
      </c>
      <c r="J698" t="s">
        <v>61</v>
      </c>
      <c r="K698" t="s">
        <v>62</v>
      </c>
      <c r="L698" t="s">
        <v>56</v>
      </c>
      <c r="M698" t="s">
        <v>56</v>
      </c>
      <c r="N698" t="s">
        <v>63</v>
      </c>
      <c r="O698" t="s">
        <v>64</v>
      </c>
      <c r="P698" t="s">
        <v>65</v>
      </c>
      <c r="Q698" t="s">
        <v>2350</v>
      </c>
      <c r="R698" t="s">
        <v>88</v>
      </c>
      <c r="T698">
        <v>-663850.68000000005</v>
      </c>
      <c r="U698" t="s">
        <v>68</v>
      </c>
      <c r="V698" t="s">
        <v>2351</v>
      </c>
      <c r="W698" s="9">
        <v>60604211</v>
      </c>
      <c r="X698" t="s">
        <v>2356</v>
      </c>
      <c r="Y698" s="1">
        <v>46072</v>
      </c>
      <c r="Z698" s="1">
        <v>46072</v>
      </c>
      <c r="AA698" s="2">
        <v>359623.98</v>
      </c>
      <c r="AB698" s="2">
        <v>304766.08000000002</v>
      </c>
      <c r="AC698" s="2">
        <v>54857.9</v>
      </c>
      <c r="AD698" s="2">
        <v>359623.98</v>
      </c>
      <c r="AE698" t="s">
        <v>2357</v>
      </c>
      <c r="AF698" t="s">
        <v>72</v>
      </c>
      <c r="AG698">
        <v>6</v>
      </c>
      <c r="AH698" t="s">
        <v>73</v>
      </c>
      <c r="AI698" t="s">
        <v>74</v>
      </c>
      <c r="AJ698" t="s">
        <v>75</v>
      </c>
      <c r="AK698" t="s">
        <v>76</v>
      </c>
      <c r="AL698" t="s">
        <v>77</v>
      </c>
      <c r="AM698" t="s">
        <v>78</v>
      </c>
      <c r="AN698" t="s">
        <v>79</v>
      </c>
      <c r="AO698" t="s">
        <v>80</v>
      </c>
      <c r="AP698" t="e">
        <v>#N/A</v>
      </c>
      <c r="AQ698" t="s">
        <v>81</v>
      </c>
      <c r="AR698" t="str">
        <f t="shared" si="20"/>
        <v>60604211.STATAM</v>
      </c>
      <c r="AS698">
        <f t="shared" si="21"/>
        <v>663850.67999999993</v>
      </c>
      <c r="AT698" t="s">
        <v>82</v>
      </c>
    </row>
    <row r="699" spans="1:46" x14ac:dyDescent="0.35">
      <c r="A699" t="s">
        <v>52</v>
      </c>
      <c r="B699" t="s">
        <v>53</v>
      </c>
      <c r="C699" t="s">
        <v>54</v>
      </c>
      <c r="D699" t="s">
        <v>55</v>
      </c>
      <c r="E699" t="s">
        <v>56</v>
      </c>
      <c r="F699" t="s">
        <v>2358</v>
      </c>
      <c r="G699" t="s">
        <v>2359</v>
      </c>
      <c r="H699" t="s">
        <v>56</v>
      </c>
      <c r="I699" t="s">
        <v>2360</v>
      </c>
      <c r="J699" t="s">
        <v>56</v>
      </c>
      <c r="K699" t="s">
        <v>62</v>
      </c>
      <c r="L699" t="s">
        <v>56</v>
      </c>
      <c r="M699" t="s">
        <v>56</v>
      </c>
      <c r="N699" t="s">
        <v>261</v>
      </c>
      <c r="O699" t="s">
        <v>85</v>
      </c>
      <c r="P699" t="s">
        <v>86</v>
      </c>
      <c r="Q699" t="s">
        <v>114</v>
      </c>
      <c r="R699" t="s">
        <v>67</v>
      </c>
      <c r="S699">
        <v>1500000</v>
      </c>
      <c r="T699">
        <v>-686991.76</v>
      </c>
      <c r="U699" t="s">
        <v>68</v>
      </c>
      <c r="V699" t="s">
        <v>2361</v>
      </c>
      <c r="W699" s="9">
        <v>60604193</v>
      </c>
      <c r="X699" t="s">
        <v>2362</v>
      </c>
      <c r="Y699" s="1">
        <v>46038</v>
      </c>
      <c r="Z699" s="1">
        <v>46068</v>
      </c>
      <c r="AA699" s="2">
        <v>136536.68</v>
      </c>
      <c r="AB699" s="2">
        <v>115709.05</v>
      </c>
      <c r="AC699" s="2">
        <v>20827.63</v>
      </c>
      <c r="AD699" s="2">
        <v>136536.68</v>
      </c>
      <c r="AE699" t="s">
        <v>2363</v>
      </c>
      <c r="AF699" t="s">
        <v>72</v>
      </c>
      <c r="AG699">
        <v>10</v>
      </c>
      <c r="AH699" t="s">
        <v>73</v>
      </c>
      <c r="AI699" t="s">
        <v>74</v>
      </c>
      <c r="AJ699" t="s">
        <v>75</v>
      </c>
      <c r="AK699" t="s">
        <v>76</v>
      </c>
      <c r="AL699" t="s">
        <v>77</v>
      </c>
      <c r="AM699" t="s">
        <v>78</v>
      </c>
      <c r="AN699" t="s">
        <v>92</v>
      </c>
      <c r="AO699" t="s">
        <v>80</v>
      </c>
      <c r="AP699" t="e">
        <v>#N/A</v>
      </c>
      <c r="AQ699" t="s">
        <v>81</v>
      </c>
      <c r="AR699" t="str">
        <f t="shared" si="20"/>
        <v>60604193.STATAM</v>
      </c>
      <c r="AS699">
        <f t="shared" si="21"/>
        <v>293988.98</v>
      </c>
      <c r="AT699" t="s">
        <v>82</v>
      </c>
    </row>
    <row r="700" spans="1:46" x14ac:dyDescent="0.35">
      <c r="A700" t="s">
        <v>52</v>
      </c>
      <c r="B700" t="s">
        <v>53</v>
      </c>
      <c r="C700" t="s">
        <v>54</v>
      </c>
      <c r="D700" t="s">
        <v>55</v>
      </c>
      <c r="E700" t="s">
        <v>56</v>
      </c>
      <c r="F700" t="s">
        <v>2358</v>
      </c>
      <c r="G700" t="s">
        <v>2364</v>
      </c>
      <c r="H700" t="s">
        <v>56</v>
      </c>
      <c r="I700" t="s">
        <v>2365</v>
      </c>
      <c r="J700" t="s">
        <v>56</v>
      </c>
      <c r="K700" t="s">
        <v>62</v>
      </c>
      <c r="L700" t="s">
        <v>56</v>
      </c>
      <c r="M700" t="s">
        <v>56</v>
      </c>
      <c r="N700" t="s">
        <v>261</v>
      </c>
      <c r="O700" t="s">
        <v>85</v>
      </c>
      <c r="P700" t="s">
        <v>86</v>
      </c>
      <c r="Q700" t="s">
        <v>114</v>
      </c>
      <c r="R700" t="s">
        <v>67</v>
      </c>
      <c r="S700">
        <v>1500000</v>
      </c>
      <c r="T700">
        <v>-686991.76</v>
      </c>
      <c r="U700" t="s">
        <v>68</v>
      </c>
      <c r="V700" t="s">
        <v>2361</v>
      </c>
      <c r="W700" s="9">
        <v>60604193</v>
      </c>
      <c r="X700" t="s">
        <v>2366</v>
      </c>
      <c r="Y700" s="1">
        <v>46038</v>
      </c>
      <c r="Z700" s="1">
        <v>46068</v>
      </c>
      <c r="AA700" s="2">
        <v>8492.7000000000007</v>
      </c>
      <c r="AB700" s="2">
        <v>7197.2</v>
      </c>
      <c r="AC700" s="2">
        <v>1295.5</v>
      </c>
      <c r="AD700" s="2">
        <v>8492.7000000000007</v>
      </c>
      <c r="AE700" t="s">
        <v>2367</v>
      </c>
      <c r="AF700" t="s">
        <v>72</v>
      </c>
      <c r="AG700">
        <v>10</v>
      </c>
      <c r="AH700" t="s">
        <v>73</v>
      </c>
      <c r="AI700" t="s">
        <v>74</v>
      </c>
      <c r="AJ700" t="s">
        <v>75</v>
      </c>
      <c r="AK700" t="s">
        <v>76</v>
      </c>
      <c r="AL700" t="s">
        <v>77</v>
      </c>
      <c r="AM700" t="s">
        <v>78</v>
      </c>
      <c r="AN700" t="s">
        <v>92</v>
      </c>
      <c r="AO700" t="s">
        <v>80</v>
      </c>
      <c r="AP700" t="e">
        <v>#N/A</v>
      </c>
      <c r="AQ700" t="s">
        <v>81</v>
      </c>
      <c r="AR700" t="str">
        <f t="shared" si="20"/>
        <v>60604193.STATAM</v>
      </c>
      <c r="AS700">
        <f t="shared" si="21"/>
        <v>293988.98</v>
      </c>
      <c r="AT700" t="s">
        <v>82</v>
      </c>
    </row>
    <row r="701" spans="1:46" x14ac:dyDescent="0.35">
      <c r="A701" t="s">
        <v>52</v>
      </c>
      <c r="B701" t="s">
        <v>53</v>
      </c>
      <c r="C701" t="s">
        <v>54</v>
      </c>
      <c r="D701" t="s">
        <v>55</v>
      </c>
      <c r="E701" t="s">
        <v>56</v>
      </c>
      <c r="F701" t="s">
        <v>2358</v>
      </c>
      <c r="G701" t="s">
        <v>2364</v>
      </c>
      <c r="H701" t="s">
        <v>56</v>
      </c>
      <c r="I701" t="s">
        <v>2365</v>
      </c>
      <c r="J701" t="s">
        <v>56</v>
      </c>
      <c r="K701" t="s">
        <v>62</v>
      </c>
      <c r="L701" t="s">
        <v>56</v>
      </c>
      <c r="M701" t="s">
        <v>56</v>
      </c>
      <c r="N701" t="s">
        <v>252</v>
      </c>
      <c r="O701" t="s">
        <v>85</v>
      </c>
      <c r="P701" t="s">
        <v>86</v>
      </c>
      <c r="Q701" t="s">
        <v>114</v>
      </c>
      <c r="R701" t="s">
        <v>67</v>
      </c>
      <c r="S701">
        <v>1500000</v>
      </c>
      <c r="T701">
        <v>-686991.76</v>
      </c>
      <c r="U701" t="s">
        <v>68</v>
      </c>
      <c r="V701" t="s">
        <v>2361</v>
      </c>
      <c r="W701" s="9">
        <v>60604193</v>
      </c>
      <c r="X701" t="s">
        <v>2366</v>
      </c>
      <c r="Y701" s="1">
        <v>46038</v>
      </c>
      <c r="Z701" s="1">
        <v>46068</v>
      </c>
      <c r="AA701" s="2">
        <v>148959.6</v>
      </c>
      <c r="AB701" s="2">
        <v>126236.95</v>
      </c>
      <c r="AC701" s="2">
        <v>22722.65</v>
      </c>
      <c r="AD701" s="2">
        <v>148959.6</v>
      </c>
      <c r="AE701" t="s">
        <v>2368</v>
      </c>
      <c r="AF701" t="s">
        <v>72</v>
      </c>
      <c r="AG701">
        <v>10</v>
      </c>
      <c r="AH701" t="s">
        <v>73</v>
      </c>
      <c r="AI701" t="s">
        <v>74</v>
      </c>
      <c r="AJ701" t="s">
        <v>75</v>
      </c>
      <c r="AK701" t="s">
        <v>76</v>
      </c>
      <c r="AL701" t="s">
        <v>77</v>
      </c>
      <c r="AM701" t="s">
        <v>78</v>
      </c>
      <c r="AN701" t="s">
        <v>92</v>
      </c>
      <c r="AO701" t="s">
        <v>80</v>
      </c>
      <c r="AP701" t="e">
        <v>#N/A</v>
      </c>
      <c r="AQ701" t="s">
        <v>81</v>
      </c>
      <c r="AR701" t="str">
        <f t="shared" si="20"/>
        <v>60604193.STATAM</v>
      </c>
      <c r="AS701">
        <f t="shared" si="21"/>
        <v>293988.98</v>
      </c>
      <c r="AT701" t="s">
        <v>82</v>
      </c>
    </row>
    <row r="702" spans="1:46" x14ac:dyDescent="0.35">
      <c r="A702" t="s">
        <v>52</v>
      </c>
      <c r="B702" t="s">
        <v>53</v>
      </c>
      <c r="C702" t="s">
        <v>54</v>
      </c>
      <c r="D702" t="s">
        <v>55</v>
      </c>
      <c r="E702" t="s">
        <v>56</v>
      </c>
      <c r="F702" t="s">
        <v>2369</v>
      </c>
      <c r="G702" t="s">
        <v>56</v>
      </c>
      <c r="H702" t="s">
        <v>56</v>
      </c>
      <c r="I702" t="s">
        <v>2370</v>
      </c>
      <c r="J702" t="s">
        <v>61</v>
      </c>
      <c r="K702" t="s">
        <v>62</v>
      </c>
      <c r="L702" t="s">
        <v>56</v>
      </c>
      <c r="M702" t="s">
        <v>56</v>
      </c>
      <c r="N702" t="s">
        <v>56</v>
      </c>
      <c r="O702" t="s">
        <v>391</v>
      </c>
      <c r="P702" t="s">
        <v>392</v>
      </c>
      <c r="Q702" t="s">
        <v>87</v>
      </c>
      <c r="R702" t="s">
        <v>88</v>
      </c>
      <c r="T702">
        <v>2429.33</v>
      </c>
      <c r="U702" t="s">
        <v>68</v>
      </c>
      <c r="V702" t="s">
        <v>2371</v>
      </c>
      <c r="W702" s="9">
        <v>60604056</v>
      </c>
      <c r="X702" t="s">
        <v>2372</v>
      </c>
      <c r="Y702" s="1">
        <v>45770</v>
      </c>
      <c r="Z702" s="1">
        <v>45770</v>
      </c>
      <c r="AA702" s="2">
        <v>-587666</v>
      </c>
      <c r="AB702" s="2">
        <v>-587666</v>
      </c>
      <c r="AC702" s="2">
        <v>0</v>
      </c>
      <c r="AD702" s="2">
        <v>-2429.33</v>
      </c>
      <c r="AE702" t="s">
        <v>2372</v>
      </c>
      <c r="AF702" t="s">
        <v>72</v>
      </c>
      <c r="AG702">
        <v>308</v>
      </c>
      <c r="AH702" t="s">
        <v>101</v>
      </c>
      <c r="AI702" t="s">
        <v>74</v>
      </c>
      <c r="AJ702" t="s">
        <v>75</v>
      </c>
      <c r="AK702" t="s">
        <v>76</v>
      </c>
      <c r="AL702" t="s">
        <v>77</v>
      </c>
      <c r="AM702" t="s">
        <v>78</v>
      </c>
      <c r="AN702" t="s">
        <v>104</v>
      </c>
      <c r="AO702" t="s">
        <v>80</v>
      </c>
      <c r="AP702" t="e">
        <v>#N/A</v>
      </c>
      <c r="AQ702" t="s">
        <v>81</v>
      </c>
      <c r="AR702" t="str">
        <f t="shared" si="20"/>
        <v>60604056.STATAM</v>
      </c>
      <c r="AS702">
        <f t="shared" si="21"/>
        <v>-2429.33</v>
      </c>
      <c r="AT702" t="s">
        <v>93</v>
      </c>
    </row>
    <row r="703" spans="1:46" x14ac:dyDescent="0.35">
      <c r="A703" t="s">
        <v>52</v>
      </c>
      <c r="B703" t="s">
        <v>53</v>
      </c>
      <c r="C703" t="s">
        <v>54</v>
      </c>
      <c r="D703" t="s">
        <v>55</v>
      </c>
      <c r="E703" t="s">
        <v>56</v>
      </c>
      <c r="F703" t="s">
        <v>2373</v>
      </c>
      <c r="G703" t="s">
        <v>56</v>
      </c>
      <c r="H703" t="s">
        <v>56</v>
      </c>
      <c r="I703" t="s">
        <v>2374</v>
      </c>
      <c r="J703" t="s">
        <v>61</v>
      </c>
      <c r="K703" t="s">
        <v>62</v>
      </c>
      <c r="L703" t="s">
        <v>56</v>
      </c>
      <c r="M703" t="s">
        <v>56</v>
      </c>
      <c r="N703" t="s">
        <v>56</v>
      </c>
      <c r="O703" t="s">
        <v>406</v>
      </c>
      <c r="P703" t="s">
        <v>407</v>
      </c>
      <c r="Q703" t="s">
        <v>87</v>
      </c>
      <c r="R703" t="s">
        <v>67</v>
      </c>
      <c r="S703">
        <v>500000</v>
      </c>
      <c r="T703">
        <v>499581.66</v>
      </c>
      <c r="U703" t="s">
        <v>68</v>
      </c>
      <c r="V703" t="s">
        <v>2375</v>
      </c>
      <c r="W703" s="9">
        <v>60602555</v>
      </c>
      <c r="X703" t="s">
        <v>2376</v>
      </c>
      <c r="Y703" s="1">
        <v>46049</v>
      </c>
      <c r="Z703" s="1">
        <v>46049</v>
      </c>
      <c r="AA703" s="2">
        <v>-417577</v>
      </c>
      <c r="AB703" s="2">
        <v>-417577</v>
      </c>
      <c r="AC703" s="2">
        <v>0</v>
      </c>
      <c r="AD703" s="2">
        <v>-114342.66</v>
      </c>
      <c r="AE703" t="s">
        <v>2376</v>
      </c>
      <c r="AF703" t="s">
        <v>72</v>
      </c>
      <c r="AG703">
        <v>29</v>
      </c>
      <c r="AH703" t="s">
        <v>73</v>
      </c>
      <c r="AI703" t="s">
        <v>74</v>
      </c>
      <c r="AJ703" t="s">
        <v>75</v>
      </c>
      <c r="AK703" t="s">
        <v>76</v>
      </c>
      <c r="AL703" t="s">
        <v>77</v>
      </c>
      <c r="AM703" t="s">
        <v>78</v>
      </c>
      <c r="AN703" t="s">
        <v>104</v>
      </c>
      <c r="AO703" t="s">
        <v>80</v>
      </c>
      <c r="AP703" t="e">
        <v>#N/A</v>
      </c>
      <c r="AQ703" t="s">
        <v>81</v>
      </c>
      <c r="AR703" t="str">
        <f t="shared" si="20"/>
        <v>60602555.STATAM</v>
      </c>
      <c r="AS703">
        <f t="shared" si="21"/>
        <v>-320204.19</v>
      </c>
      <c r="AT703" t="s">
        <v>93</v>
      </c>
    </row>
    <row r="704" spans="1:46" x14ac:dyDescent="0.35">
      <c r="A704" t="s">
        <v>52</v>
      </c>
      <c r="B704" t="s">
        <v>53</v>
      </c>
      <c r="C704" t="s">
        <v>54</v>
      </c>
      <c r="D704" t="s">
        <v>55</v>
      </c>
      <c r="E704" t="s">
        <v>56</v>
      </c>
      <c r="F704" t="s">
        <v>2373</v>
      </c>
      <c r="G704" t="s">
        <v>56</v>
      </c>
      <c r="H704" t="s">
        <v>56</v>
      </c>
      <c r="I704" t="s">
        <v>2377</v>
      </c>
      <c r="J704" t="s">
        <v>61</v>
      </c>
      <c r="K704" t="s">
        <v>62</v>
      </c>
      <c r="L704" t="s">
        <v>56</v>
      </c>
      <c r="M704" t="s">
        <v>56</v>
      </c>
      <c r="N704" t="s">
        <v>56</v>
      </c>
      <c r="O704" t="s">
        <v>406</v>
      </c>
      <c r="P704" t="s">
        <v>407</v>
      </c>
      <c r="Q704" t="s">
        <v>87</v>
      </c>
      <c r="R704" t="s">
        <v>67</v>
      </c>
      <c r="S704">
        <v>500000</v>
      </c>
      <c r="T704">
        <v>499581.66</v>
      </c>
      <c r="U704" t="s">
        <v>68</v>
      </c>
      <c r="V704" t="s">
        <v>2375</v>
      </c>
      <c r="W704" s="9">
        <v>60602555</v>
      </c>
      <c r="X704" t="s">
        <v>2378</v>
      </c>
      <c r="Y704" s="1">
        <v>46055</v>
      </c>
      <c r="Z704" s="1">
        <v>46055</v>
      </c>
      <c r="AA704" s="2">
        <v>-303234</v>
      </c>
      <c r="AB704" s="2">
        <v>-303234</v>
      </c>
      <c r="AC704" s="2">
        <v>0</v>
      </c>
      <c r="AD704" s="2">
        <v>-303234</v>
      </c>
      <c r="AE704" t="s">
        <v>2378</v>
      </c>
      <c r="AF704" t="s">
        <v>72</v>
      </c>
      <c r="AG704">
        <v>23</v>
      </c>
      <c r="AH704" t="s">
        <v>73</v>
      </c>
      <c r="AI704" t="s">
        <v>74</v>
      </c>
      <c r="AJ704" t="s">
        <v>75</v>
      </c>
      <c r="AK704" t="s">
        <v>76</v>
      </c>
      <c r="AL704" t="s">
        <v>77</v>
      </c>
      <c r="AM704" t="s">
        <v>78</v>
      </c>
      <c r="AN704" t="s">
        <v>104</v>
      </c>
      <c r="AO704" t="s">
        <v>80</v>
      </c>
      <c r="AP704" t="e">
        <v>#N/A</v>
      </c>
      <c r="AQ704" t="s">
        <v>81</v>
      </c>
      <c r="AR704" t="str">
        <f t="shared" si="20"/>
        <v>60602555.STATAM</v>
      </c>
      <c r="AS704">
        <f t="shared" si="21"/>
        <v>-320204.19</v>
      </c>
      <c r="AT704" t="s">
        <v>93</v>
      </c>
    </row>
    <row r="705" spans="1:46" x14ac:dyDescent="0.35">
      <c r="A705" t="s">
        <v>52</v>
      </c>
      <c r="B705" t="s">
        <v>53</v>
      </c>
      <c r="C705" t="s">
        <v>54</v>
      </c>
      <c r="D705" t="s">
        <v>55</v>
      </c>
      <c r="E705" t="s">
        <v>56</v>
      </c>
      <c r="F705" t="s">
        <v>2373</v>
      </c>
      <c r="G705" t="s">
        <v>2379</v>
      </c>
      <c r="H705" t="s">
        <v>56</v>
      </c>
      <c r="I705" t="s">
        <v>2380</v>
      </c>
      <c r="J705" t="s">
        <v>61</v>
      </c>
      <c r="K705" t="s">
        <v>62</v>
      </c>
      <c r="L705" t="s">
        <v>56</v>
      </c>
      <c r="M705" t="s">
        <v>56</v>
      </c>
      <c r="N705" t="s">
        <v>1384</v>
      </c>
      <c r="O705" t="s">
        <v>406</v>
      </c>
      <c r="P705" t="s">
        <v>407</v>
      </c>
      <c r="Q705" t="s">
        <v>87</v>
      </c>
      <c r="R705" t="s">
        <v>67</v>
      </c>
      <c r="S705">
        <v>500000</v>
      </c>
      <c r="T705">
        <v>499581.66</v>
      </c>
      <c r="U705" t="s">
        <v>68</v>
      </c>
      <c r="V705" t="s">
        <v>2375</v>
      </c>
      <c r="W705" s="9">
        <v>60602555</v>
      </c>
      <c r="X705" t="s">
        <v>2381</v>
      </c>
      <c r="Y705" s="1">
        <v>46074</v>
      </c>
      <c r="Z705" s="1">
        <v>46104</v>
      </c>
      <c r="AA705" s="2">
        <v>82088.899999999994</v>
      </c>
      <c r="AB705" s="2">
        <v>69566.87</v>
      </c>
      <c r="AC705" s="2">
        <v>12522.03</v>
      </c>
      <c r="AD705" s="2">
        <v>82088.899999999994</v>
      </c>
      <c r="AE705" t="s">
        <v>2382</v>
      </c>
      <c r="AF705" t="s">
        <v>72</v>
      </c>
      <c r="AG705">
        <v>-26</v>
      </c>
      <c r="AH705" t="s">
        <v>117</v>
      </c>
      <c r="AI705" t="s">
        <v>74</v>
      </c>
      <c r="AJ705" t="s">
        <v>75</v>
      </c>
      <c r="AK705" t="s">
        <v>76</v>
      </c>
      <c r="AL705" t="s">
        <v>118</v>
      </c>
      <c r="AM705" t="s">
        <v>78</v>
      </c>
      <c r="AN705" t="s">
        <v>104</v>
      </c>
      <c r="AO705" t="s">
        <v>119</v>
      </c>
      <c r="AP705" t="e">
        <v>#N/A</v>
      </c>
      <c r="AQ705" t="s">
        <v>81</v>
      </c>
      <c r="AR705" t="str">
        <f t="shared" si="20"/>
        <v>60602555.STATAM</v>
      </c>
      <c r="AS705">
        <f t="shared" si="21"/>
        <v>-320204.19</v>
      </c>
      <c r="AT705" t="s">
        <v>93</v>
      </c>
    </row>
    <row r="706" spans="1:46" x14ac:dyDescent="0.35">
      <c r="A706" t="s">
        <v>52</v>
      </c>
      <c r="B706" t="s">
        <v>53</v>
      </c>
      <c r="C706" t="s">
        <v>54</v>
      </c>
      <c r="D706" t="s">
        <v>55</v>
      </c>
      <c r="E706" t="s">
        <v>56</v>
      </c>
      <c r="F706" t="s">
        <v>2373</v>
      </c>
      <c r="G706" t="s">
        <v>2379</v>
      </c>
      <c r="H706" t="s">
        <v>56</v>
      </c>
      <c r="I706" t="s">
        <v>2380</v>
      </c>
      <c r="J706" t="s">
        <v>61</v>
      </c>
      <c r="K706" t="s">
        <v>62</v>
      </c>
      <c r="L706" t="s">
        <v>56</v>
      </c>
      <c r="M706" t="s">
        <v>56</v>
      </c>
      <c r="N706" t="s">
        <v>252</v>
      </c>
      <c r="O706" t="s">
        <v>406</v>
      </c>
      <c r="P706" t="s">
        <v>407</v>
      </c>
      <c r="Q706" t="s">
        <v>87</v>
      </c>
      <c r="R706" t="s">
        <v>67</v>
      </c>
      <c r="S706">
        <v>500000</v>
      </c>
      <c r="T706">
        <v>499581.66</v>
      </c>
      <c r="U706" t="s">
        <v>68</v>
      </c>
      <c r="V706" t="s">
        <v>2375</v>
      </c>
      <c r="W706" s="9">
        <v>60602555</v>
      </c>
      <c r="X706" t="s">
        <v>2381</v>
      </c>
      <c r="Y706" s="1">
        <v>46074</v>
      </c>
      <c r="Z706" s="1">
        <v>46104</v>
      </c>
      <c r="AA706" s="2">
        <v>15283.57</v>
      </c>
      <c r="AB706" s="2">
        <v>12952.18</v>
      </c>
      <c r="AC706" s="2">
        <v>2331.39</v>
      </c>
      <c r="AD706" s="2">
        <v>15283.57</v>
      </c>
      <c r="AE706" t="s">
        <v>2383</v>
      </c>
      <c r="AF706" t="s">
        <v>72</v>
      </c>
      <c r="AG706">
        <v>-26</v>
      </c>
      <c r="AH706" t="s">
        <v>117</v>
      </c>
      <c r="AI706" t="s">
        <v>74</v>
      </c>
      <c r="AJ706" t="s">
        <v>75</v>
      </c>
      <c r="AK706" t="s">
        <v>76</v>
      </c>
      <c r="AL706" t="s">
        <v>118</v>
      </c>
      <c r="AM706" t="s">
        <v>78</v>
      </c>
      <c r="AN706" t="s">
        <v>104</v>
      </c>
      <c r="AO706" t="s">
        <v>119</v>
      </c>
      <c r="AP706" t="e">
        <v>#N/A</v>
      </c>
      <c r="AQ706" t="s">
        <v>81</v>
      </c>
      <c r="AR706" t="str">
        <f t="shared" si="20"/>
        <v>60602555.STATAM</v>
      </c>
      <c r="AS706">
        <f t="shared" si="21"/>
        <v>-320204.19</v>
      </c>
      <c r="AT706" t="s">
        <v>93</v>
      </c>
    </row>
    <row r="707" spans="1:46" x14ac:dyDescent="0.35">
      <c r="A707" t="s">
        <v>52</v>
      </c>
      <c r="B707" t="s">
        <v>53</v>
      </c>
      <c r="C707" t="s">
        <v>54</v>
      </c>
      <c r="D707" t="s">
        <v>55</v>
      </c>
      <c r="E707" t="s">
        <v>56</v>
      </c>
      <c r="F707" t="s">
        <v>2373</v>
      </c>
      <c r="G707" t="s">
        <v>2379</v>
      </c>
      <c r="H707" t="s">
        <v>56</v>
      </c>
      <c r="I707" t="s">
        <v>2380</v>
      </c>
      <c r="J707" t="s">
        <v>61</v>
      </c>
      <c r="K707" t="s">
        <v>62</v>
      </c>
      <c r="L707" t="s">
        <v>56</v>
      </c>
      <c r="M707" t="s">
        <v>56</v>
      </c>
      <c r="N707" t="s">
        <v>680</v>
      </c>
      <c r="O707" t="s">
        <v>406</v>
      </c>
      <c r="P707" t="s">
        <v>407</v>
      </c>
      <c r="Q707" t="s">
        <v>87</v>
      </c>
      <c r="R707" t="s">
        <v>67</v>
      </c>
      <c r="S707">
        <v>500000</v>
      </c>
      <c r="T707">
        <v>499581.66</v>
      </c>
      <c r="U707" t="s">
        <v>68</v>
      </c>
      <c r="V707" t="s">
        <v>2375</v>
      </c>
      <c r="W707" s="9">
        <v>60602555</v>
      </c>
      <c r="X707" t="s">
        <v>2381</v>
      </c>
      <c r="Y707" s="1">
        <v>46074</v>
      </c>
      <c r="Z707" s="1">
        <v>46104</v>
      </c>
      <c r="AA707" s="2">
        <v>200169.38</v>
      </c>
      <c r="AB707" s="2">
        <v>169635.07</v>
      </c>
      <c r="AC707" s="2">
        <v>30534.31</v>
      </c>
      <c r="AD707" s="2">
        <v>200169.38</v>
      </c>
      <c r="AE707" t="s">
        <v>2384</v>
      </c>
      <c r="AF707" t="s">
        <v>72</v>
      </c>
      <c r="AG707">
        <v>-26</v>
      </c>
      <c r="AH707" t="s">
        <v>117</v>
      </c>
      <c r="AI707" t="s">
        <v>74</v>
      </c>
      <c r="AJ707" t="s">
        <v>127</v>
      </c>
      <c r="AK707" t="s">
        <v>334</v>
      </c>
      <c r="AL707" t="s">
        <v>118</v>
      </c>
      <c r="AM707" t="s">
        <v>78</v>
      </c>
      <c r="AN707" t="s">
        <v>104</v>
      </c>
      <c r="AO707" t="s">
        <v>119</v>
      </c>
      <c r="AP707" t="e">
        <v>#N/A</v>
      </c>
      <c r="AQ707" t="s">
        <v>335</v>
      </c>
      <c r="AR707" t="str">
        <f t="shared" si="20"/>
        <v>60602555.SPMINAM</v>
      </c>
      <c r="AS707">
        <f t="shared" si="21"/>
        <v>320622.53000000003</v>
      </c>
      <c r="AT707" t="s">
        <v>82</v>
      </c>
    </row>
    <row r="708" spans="1:46" x14ac:dyDescent="0.35">
      <c r="A708" t="s">
        <v>52</v>
      </c>
      <c r="B708" t="s">
        <v>53</v>
      </c>
      <c r="C708" t="s">
        <v>54</v>
      </c>
      <c r="D708" t="s">
        <v>55</v>
      </c>
      <c r="E708" t="s">
        <v>56</v>
      </c>
      <c r="F708" t="s">
        <v>2373</v>
      </c>
      <c r="G708" t="s">
        <v>2379</v>
      </c>
      <c r="H708" t="s">
        <v>56</v>
      </c>
      <c r="I708" t="s">
        <v>2380</v>
      </c>
      <c r="J708" t="s">
        <v>61</v>
      </c>
      <c r="K708" t="s">
        <v>62</v>
      </c>
      <c r="L708" t="s">
        <v>56</v>
      </c>
      <c r="M708" t="s">
        <v>56</v>
      </c>
      <c r="N708" t="s">
        <v>682</v>
      </c>
      <c r="O708" t="s">
        <v>406</v>
      </c>
      <c r="P708" t="s">
        <v>407</v>
      </c>
      <c r="Q708" t="s">
        <v>87</v>
      </c>
      <c r="R708" t="s">
        <v>67</v>
      </c>
      <c r="S708">
        <v>500000</v>
      </c>
      <c r="T708">
        <v>499581.66</v>
      </c>
      <c r="U708" t="s">
        <v>68</v>
      </c>
      <c r="V708" t="s">
        <v>2375</v>
      </c>
      <c r="W708" s="9">
        <v>60602555</v>
      </c>
      <c r="X708" t="s">
        <v>2381</v>
      </c>
      <c r="Y708" s="1">
        <v>46074</v>
      </c>
      <c r="Z708" s="1">
        <v>46104</v>
      </c>
      <c r="AA708" s="2">
        <v>120453.15</v>
      </c>
      <c r="AB708" s="2">
        <v>102078.94</v>
      </c>
      <c r="AC708" s="2">
        <v>18374.21</v>
      </c>
      <c r="AD708" s="2">
        <v>120453.15</v>
      </c>
      <c r="AE708" t="s">
        <v>2385</v>
      </c>
      <c r="AF708" t="s">
        <v>72</v>
      </c>
      <c r="AG708">
        <v>-26</v>
      </c>
      <c r="AH708" t="s">
        <v>117</v>
      </c>
      <c r="AI708" t="s">
        <v>74</v>
      </c>
      <c r="AJ708" t="s">
        <v>127</v>
      </c>
      <c r="AK708" t="s">
        <v>334</v>
      </c>
      <c r="AL708" t="s">
        <v>118</v>
      </c>
      <c r="AM708" t="s">
        <v>78</v>
      </c>
      <c r="AN708" t="s">
        <v>104</v>
      </c>
      <c r="AO708" t="s">
        <v>119</v>
      </c>
      <c r="AP708" t="e">
        <v>#N/A</v>
      </c>
      <c r="AQ708" t="s">
        <v>335</v>
      </c>
      <c r="AR708" t="str">
        <f t="shared" si="20"/>
        <v>60602555.SPMINAM</v>
      </c>
      <c r="AS708">
        <f t="shared" si="21"/>
        <v>320622.53000000003</v>
      </c>
      <c r="AT708" t="s">
        <v>82</v>
      </c>
    </row>
    <row r="709" spans="1:46" x14ac:dyDescent="0.35">
      <c r="A709" t="s">
        <v>52</v>
      </c>
      <c r="B709" t="s">
        <v>53</v>
      </c>
      <c r="C709" t="s">
        <v>54</v>
      </c>
      <c r="D709" t="s">
        <v>55</v>
      </c>
      <c r="E709" t="s">
        <v>56</v>
      </c>
      <c r="F709" t="s">
        <v>2386</v>
      </c>
      <c r="G709" t="s">
        <v>56</v>
      </c>
      <c r="H709" t="s">
        <v>56</v>
      </c>
      <c r="I709" t="s">
        <v>2387</v>
      </c>
      <c r="J709" t="s">
        <v>61</v>
      </c>
      <c r="K709" t="s">
        <v>62</v>
      </c>
      <c r="L709" t="s">
        <v>56</v>
      </c>
      <c r="M709" t="s">
        <v>56</v>
      </c>
      <c r="N709" t="s">
        <v>56</v>
      </c>
      <c r="O709" t="s">
        <v>222</v>
      </c>
      <c r="P709" t="s">
        <v>223</v>
      </c>
      <c r="Q709" t="s">
        <v>87</v>
      </c>
      <c r="R709" t="s">
        <v>88</v>
      </c>
      <c r="T709">
        <v>436.2</v>
      </c>
      <c r="U709" t="s">
        <v>68</v>
      </c>
      <c r="V709" t="s">
        <v>2388</v>
      </c>
      <c r="W709" s="9">
        <v>60604375</v>
      </c>
      <c r="X709" t="s">
        <v>2389</v>
      </c>
      <c r="Y709" s="1">
        <v>46053</v>
      </c>
      <c r="Z709" s="1">
        <v>46053</v>
      </c>
      <c r="AA709" s="2">
        <v>-92988</v>
      </c>
      <c r="AB709" s="2">
        <v>-92988</v>
      </c>
      <c r="AC709" s="2">
        <v>0</v>
      </c>
      <c r="AD709" s="2">
        <v>-436.2</v>
      </c>
      <c r="AE709" t="s">
        <v>2389</v>
      </c>
      <c r="AF709" t="s">
        <v>72</v>
      </c>
      <c r="AG709">
        <v>25</v>
      </c>
      <c r="AH709" t="s">
        <v>73</v>
      </c>
      <c r="AI709" t="s">
        <v>74</v>
      </c>
      <c r="AJ709" t="s">
        <v>75</v>
      </c>
      <c r="AK709" t="s">
        <v>76</v>
      </c>
      <c r="AL709" t="s">
        <v>77</v>
      </c>
      <c r="AM709" t="s">
        <v>78</v>
      </c>
      <c r="AN709" t="s">
        <v>104</v>
      </c>
      <c r="AO709" t="s">
        <v>80</v>
      </c>
      <c r="AP709" t="e">
        <v>#N/A</v>
      </c>
      <c r="AQ709" t="s">
        <v>81</v>
      </c>
      <c r="AR709" t="str">
        <f t="shared" si="20"/>
        <v>60604375.STATAM</v>
      </c>
      <c r="AS709">
        <f t="shared" si="21"/>
        <v>-436.2</v>
      </c>
      <c r="AT709" t="s">
        <v>93</v>
      </c>
    </row>
    <row r="710" spans="1:46" x14ac:dyDescent="0.35">
      <c r="A710" t="s">
        <v>52</v>
      </c>
      <c r="B710" t="s">
        <v>53</v>
      </c>
      <c r="C710" t="s">
        <v>54</v>
      </c>
      <c r="D710" t="s">
        <v>55</v>
      </c>
      <c r="E710" t="s">
        <v>56</v>
      </c>
      <c r="F710" t="s">
        <v>2390</v>
      </c>
      <c r="G710" t="s">
        <v>2391</v>
      </c>
      <c r="H710" t="s">
        <v>56</v>
      </c>
      <c r="I710" t="s">
        <v>2392</v>
      </c>
      <c r="J710" t="s">
        <v>61</v>
      </c>
      <c r="K710" t="s">
        <v>62</v>
      </c>
      <c r="L710" t="s">
        <v>56</v>
      </c>
      <c r="M710" t="s">
        <v>56</v>
      </c>
      <c r="N710" t="s">
        <v>914</v>
      </c>
      <c r="O710" t="s">
        <v>1206</v>
      </c>
      <c r="P710" t="s">
        <v>1207</v>
      </c>
      <c r="Q710" t="s">
        <v>114</v>
      </c>
      <c r="R710" t="s">
        <v>248</v>
      </c>
      <c r="S710">
        <v>4000000</v>
      </c>
      <c r="T710">
        <v>3889534.51</v>
      </c>
      <c r="U710" t="s">
        <v>68</v>
      </c>
      <c r="V710" t="s">
        <v>2393</v>
      </c>
      <c r="W710" s="9">
        <v>60601041</v>
      </c>
      <c r="X710" t="s">
        <v>2394</v>
      </c>
      <c r="Y710" s="1">
        <v>45957</v>
      </c>
      <c r="Z710" s="1">
        <v>46017</v>
      </c>
      <c r="AA710" s="2">
        <v>377076.08</v>
      </c>
      <c r="AB710" s="2">
        <v>319556</v>
      </c>
      <c r="AC710" s="2">
        <v>57520.08</v>
      </c>
      <c r="AD710" s="2">
        <v>439.53</v>
      </c>
      <c r="AE710" t="s">
        <v>2395</v>
      </c>
      <c r="AF710" t="s">
        <v>72</v>
      </c>
      <c r="AG710">
        <v>61</v>
      </c>
      <c r="AH710" t="s">
        <v>260</v>
      </c>
      <c r="AI710" t="s">
        <v>74</v>
      </c>
      <c r="AJ710" t="s">
        <v>75</v>
      </c>
      <c r="AK710" t="s">
        <v>76</v>
      </c>
      <c r="AL710" t="s">
        <v>77</v>
      </c>
      <c r="AM710" t="s">
        <v>78</v>
      </c>
      <c r="AN710" t="s">
        <v>239</v>
      </c>
      <c r="AO710" t="s">
        <v>80</v>
      </c>
      <c r="AP710" t="e">
        <v>#N/A</v>
      </c>
      <c r="AQ710" t="s">
        <v>81</v>
      </c>
      <c r="AR710" t="str">
        <f t="shared" si="20"/>
        <v>60601041.STATAM</v>
      </c>
      <c r="AS710">
        <f t="shared" si="21"/>
        <v>3314.85</v>
      </c>
      <c r="AT710" t="s">
        <v>82</v>
      </c>
    </row>
    <row r="711" spans="1:46" x14ac:dyDescent="0.35">
      <c r="A711" t="s">
        <v>52</v>
      </c>
      <c r="B711" t="s">
        <v>53</v>
      </c>
      <c r="C711" t="s">
        <v>54</v>
      </c>
      <c r="D711" t="s">
        <v>55</v>
      </c>
      <c r="E711" t="s">
        <v>56</v>
      </c>
      <c r="F711" t="s">
        <v>2390</v>
      </c>
      <c r="G711" t="s">
        <v>2391</v>
      </c>
      <c r="H711" t="s">
        <v>56</v>
      </c>
      <c r="I711" t="s">
        <v>2392</v>
      </c>
      <c r="J711" t="s">
        <v>61</v>
      </c>
      <c r="K711" t="s">
        <v>62</v>
      </c>
      <c r="L711" t="s">
        <v>56</v>
      </c>
      <c r="M711" t="s">
        <v>56</v>
      </c>
      <c r="N711" t="s">
        <v>254</v>
      </c>
      <c r="O711" t="s">
        <v>1206</v>
      </c>
      <c r="P711" t="s">
        <v>1207</v>
      </c>
      <c r="Q711" t="s">
        <v>114</v>
      </c>
      <c r="R711" t="s">
        <v>248</v>
      </c>
      <c r="S711">
        <v>4000000</v>
      </c>
      <c r="T711">
        <v>3889534.51</v>
      </c>
      <c r="U711" t="s">
        <v>68</v>
      </c>
      <c r="V711" t="s">
        <v>2393</v>
      </c>
      <c r="W711" s="9">
        <v>60601041</v>
      </c>
      <c r="X711" t="s">
        <v>2394</v>
      </c>
      <c r="Y711" s="1">
        <v>45957</v>
      </c>
      <c r="Z711" s="1">
        <v>46017</v>
      </c>
      <c r="AA711" s="2">
        <v>2307992.6800000002</v>
      </c>
      <c r="AB711" s="2">
        <v>1955926</v>
      </c>
      <c r="AC711" s="2">
        <v>352066.68</v>
      </c>
      <c r="AD711" s="2">
        <v>2690.25</v>
      </c>
      <c r="AE711" t="s">
        <v>2396</v>
      </c>
      <c r="AF711" t="s">
        <v>72</v>
      </c>
      <c r="AG711">
        <v>61</v>
      </c>
      <c r="AH711" t="s">
        <v>260</v>
      </c>
      <c r="AI711" t="s">
        <v>74</v>
      </c>
      <c r="AJ711" t="s">
        <v>75</v>
      </c>
      <c r="AK711" t="s">
        <v>76</v>
      </c>
      <c r="AL711" t="s">
        <v>77</v>
      </c>
      <c r="AM711" t="s">
        <v>78</v>
      </c>
      <c r="AN711" t="s">
        <v>239</v>
      </c>
      <c r="AO711" t="s">
        <v>80</v>
      </c>
      <c r="AP711" t="e">
        <v>#N/A</v>
      </c>
      <c r="AQ711" t="s">
        <v>81</v>
      </c>
      <c r="AR711" t="str">
        <f t="shared" si="20"/>
        <v>60601041.STATAM</v>
      </c>
      <c r="AS711">
        <f t="shared" si="21"/>
        <v>3314.85</v>
      </c>
      <c r="AT711" t="s">
        <v>82</v>
      </c>
    </row>
    <row r="712" spans="1:46" x14ac:dyDescent="0.35">
      <c r="A712" t="s">
        <v>52</v>
      </c>
      <c r="B712" t="s">
        <v>53</v>
      </c>
      <c r="C712" t="s">
        <v>54</v>
      </c>
      <c r="D712" t="s">
        <v>55</v>
      </c>
      <c r="E712" t="s">
        <v>56</v>
      </c>
      <c r="F712" t="s">
        <v>2390</v>
      </c>
      <c r="G712" t="s">
        <v>2397</v>
      </c>
      <c r="H712" t="s">
        <v>56</v>
      </c>
      <c r="I712" t="s">
        <v>2398</v>
      </c>
      <c r="J712" t="s">
        <v>61</v>
      </c>
      <c r="K712" t="s">
        <v>62</v>
      </c>
      <c r="L712" t="s">
        <v>56</v>
      </c>
      <c r="M712" t="s">
        <v>56</v>
      </c>
      <c r="N712" t="s">
        <v>261</v>
      </c>
      <c r="O712" t="s">
        <v>1206</v>
      </c>
      <c r="P712" t="s">
        <v>1207</v>
      </c>
      <c r="Q712" t="s">
        <v>114</v>
      </c>
      <c r="R712" t="s">
        <v>248</v>
      </c>
      <c r="S712">
        <v>4000000</v>
      </c>
      <c r="T712">
        <v>3889534.51</v>
      </c>
      <c r="U712" t="s">
        <v>68</v>
      </c>
      <c r="V712" t="s">
        <v>2393</v>
      </c>
      <c r="W712" s="9">
        <v>60601041</v>
      </c>
      <c r="X712" t="s">
        <v>2399</v>
      </c>
      <c r="Y712" s="1">
        <v>46035</v>
      </c>
      <c r="Z712" s="1">
        <v>46095</v>
      </c>
      <c r="AA712" s="2">
        <v>217568.4</v>
      </c>
      <c r="AB712" s="2">
        <v>184380</v>
      </c>
      <c r="AC712" s="2">
        <v>33188.400000000001</v>
      </c>
      <c r="AD712" s="2">
        <v>185.07</v>
      </c>
      <c r="AE712" t="s">
        <v>2400</v>
      </c>
      <c r="AF712" t="s">
        <v>72</v>
      </c>
      <c r="AG712">
        <v>-17</v>
      </c>
      <c r="AH712" t="s">
        <v>117</v>
      </c>
      <c r="AI712" t="s">
        <v>74</v>
      </c>
      <c r="AJ712" t="s">
        <v>75</v>
      </c>
      <c r="AK712" t="s">
        <v>76</v>
      </c>
      <c r="AL712" t="s">
        <v>118</v>
      </c>
      <c r="AM712" t="s">
        <v>78</v>
      </c>
      <c r="AN712" t="s">
        <v>239</v>
      </c>
      <c r="AO712" t="s">
        <v>119</v>
      </c>
      <c r="AP712" t="e">
        <v>#N/A</v>
      </c>
      <c r="AQ712" t="s">
        <v>81</v>
      </c>
      <c r="AR712" t="str">
        <f t="shared" ref="AR712:AR775" si="22">W712&amp;"."&amp;AQ712</f>
        <v>60601041.STATAM</v>
      </c>
      <c r="AS712">
        <f t="shared" ref="AS712:AS775" si="23">SUMIFS(AD:AD,AQ:AQ,AQ712,W:W,W712)</f>
        <v>3314.85</v>
      </c>
      <c r="AT712" t="s">
        <v>82</v>
      </c>
    </row>
    <row r="713" spans="1:46" x14ac:dyDescent="0.35">
      <c r="A713" t="s">
        <v>52</v>
      </c>
      <c r="B713" t="s">
        <v>53</v>
      </c>
      <c r="C713" t="s">
        <v>54</v>
      </c>
      <c r="D713" t="s">
        <v>55</v>
      </c>
      <c r="E713" t="s">
        <v>56</v>
      </c>
      <c r="F713" t="s">
        <v>2390</v>
      </c>
      <c r="G713" t="s">
        <v>2397</v>
      </c>
      <c r="H713" t="s">
        <v>56</v>
      </c>
      <c r="I713" t="s">
        <v>2398</v>
      </c>
      <c r="J713" t="s">
        <v>61</v>
      </c>
      <c r="K713" t="s">
        <v>62</v>
      </c>
      <c r="L713" t="s">
        <v>56</v>
      </c>
      <c r="M713" t="s">
        <v>56</v>
      </c>
      <c r="N713" t="s">
        <v>682</v>
      </c>
      <c r="O713" t="s">
        <v>1206</v>
      </c>
      <c r="P713" t="s">
        <v>1207</v>
      </c>
      <c r="Q713" t="s">
        <v>114</v>
      </c>
      <c r="R713" t="s">
        <v>248</v>
      </c>
      <c r="S713">
        <v>4000000</v>
      </c>
      <c r="T713">
        <v>3889534.51</v>
      </c>
      <c r="U713" t="s">
        <v>68</v>
      </c>
      <c r="V713" t="s">
        <v>2393</v>
      </c>
      <c r="W713" s="9">
        <v>60601041</v>
      </c>
      <c r="X713" t="s">
        <v>2399</v>
      </c>
      <c r="Y713" s="1">
        <v>46035</v>
      </c>
      <c r="Z713" s="1">
        <v>46095</v>
      </c>
      <c r="AA713" s="2">
        <v>35546.910000000003</v>
      </c>
      <c r="AB713" s="2">
        <v>30124.5</v>
      </c>
      <c r="AC713" s="2">
        <v>5422.41</v>
      </c>
      <c r="AD713" s="2">
        <v>30.24</v>
      </c>
      <c r="AE713" t="s">
        <v>2401</v>
      </c>
      <c r="AF713" t="s">
        <v>72</v>
      </c>
      <c r="AG713">
        <v>-17</v>
      </c>
      <c r="AH713" t="s">
        <v>117</v>
      </c>
      <c r="AI713" t="s">
        <v>74</v>
      </c>
      <c r="AJ713" t="s">
        <v>127</v>
      </c>
      <c r="AK713" t="s">
        <v>334</v>
      </c>
      <c r="AL713" t="s">
        <v>118</v>
      </c>
      <c r="AM713" t="s">
        <v>78</v>
      </c>
      <c r="AN713" t="s">
        <v>239</v>
      </c>
      <c r="AO713" t="s">
        <v>119</v>
      </c>
      <c r="AP713" t="e">
        <v>#N/A</v>
      </c>
      <c r="AQ713" t="s">
        <v>335</v>
      </c>
      <c r="AR713" t="str">
        <f t="shared" si="22"/>
        <v>60601041.SPMINAM</v>
      </c>
      <c r="AS713">
        <f t="shared" si="23"/>
        <v>30.24</v>
      </c>
      <c r="AT713" t="s">
        <v>82</v>
      </c>
    </row>
    <row r="714" spans="1:46" x14ac:dyDescent="0.35">
      <c r="A714" t="s">
        <v>52</v>
      </c>
      <c r="B714" t="s">
        <v>53</v>
      </c>
      <c r="C714" t="s">
        <v>54</v>
      </c>
      <c r="D714" t="s">
        <v>55</v>
      </c>
      <c r="E714" t="s">
        <v>56</v>
      </c>
      <c r="F714" t="s">
        <v>2402</v>
      </c>
      <c r="G714" t="s">
        <v>2403</v>
      </c>
      <c r="H714" t="s">
        <v>59</v>
      </c>
      <c r="I714" t="s">
        <v>2404</v>
      </c>
      <c r="J714" t="s">
        <v>2405</v>
      </c>
      <c r="K714" t="s">
        <v>62</v>
      </c>
      <c r="L714" t="s">
        <v>56</v>
      </c>
      <c r="M714" t="s">
        <v>56</v>
      </c>
      <c r="N714" t="s">
        <v>377</v>
      </c>
      <c r="O714" t="s">
        <v>245</v>
      </c>
      <c r="P714" t="s">
        <v>246</v>
      </c>
      <c r="Q714" t="s">
        <v>2406</v>
      </c>
      <c r="R714" t="s">
        <v>248</v>
      </c>
      <c r="S714">
        <v>1500000</v>
      </c>
      <c r="T714">
        <v>-1875884.99</v>
      </c>
      <c r="U714" t="s">
        <v>68</v>
      </c>
      <c r="V714" t="s">
        <v>2407</v>
      </c>
      <c r="W714" s="9">
        <v>60601759</v>
      </c>
      <c r="X714" t="s">
        <v>2408</v>
      </c>
      <c r="Y714" s="1">
        <v>45939</v>
      </c>
      <c r="Z714" s="1">
        <v>45999</v>
      </c>
      <c r="AA714" s="2">
        <v>937672.96</v>
      </c>
      <c r="AB714" s="2">
        <v>794638.1</v>
      </c>
      <c r="AC714" s="2">
        <v>143034.85999999999</v>
      </c>
      <c r="AD714" s="2">
        <v>79822.210000000006</v>
      </c>
      <c r="AE714" t="s">
        <v>2409</v>
      </c>
      <c r="AF714" t="s">
        <v>72</v>
      </c>
      <c r="AG714">
        <v>79</v>
      </c>
      <c r="AH714" t="s">
        <v>260</v>
      </c>
      <c r="AI714" t="s">
        <v>74</v>
      </c>
      <c r="AJ714" t="s">
        <v>237</v>
      </c>
      <c r="AK714" t="s">
        <v>383</v>
      </c>
      <c r="AL714" t="s">
        <v>77</v>
      </c>
      <c r="AM714" t="s">
        <v>78</v>
      </c>
      <c r="AN714" t="s">
        <v>239</v>
      </c>
      <c r="AO714" t="s">
        <v>80</v>
      </c>
      <c r="AP714" t="e">
        <v>#N/A</v>
      </c>
      <c r="AQ714" t="s">
        <v>383</v>
      </c>
      <c r="AR714" t="str">
        <f t="shared" si="22"/>
        <v>60601759.MOBILAM</v>
      </c>
      <c r="AS714">
        <f t="shared" si="23"/>
        <v>3348062.95</v>
      </c>
      <c r="AT714" t="s">
        <v>82</v>
      </c>
    </row>
    <row r="715" spans="1:46" x14ac:dyDescent="0.35">
      <c r="A715" t="s">
        <v>52</v>
      </c>
      <c r="B715" t="s">
        <v>53</v>
      </c>
      <c r="C715" t="s">
        <v>54</v>
      </c>
      <c r="D715" t="s">
        <v>55</v>
      </c>
      <c r="E715" t="s">
        <v>56</v>
      </c>
      <c r="F715" t="s">
        <v>2402</v>
      </c>
      <c r="G715" t="s">
        <v>2403</v>
      </c>
      <c r="H715" t="s">
        <v>59</v>
      </c>
      <c r="I715" t="s">
        <v>2404</v>
      </c>
      <c r="J715" t="s">
        <v>2405</v>
      </c>
      <c r="K715" t="s">
        <v>62</v>
      </c>
      <c r="L715" t="s">
        <v>56</v>
      </c>
      <c r="M715" t="s">
        <v>56</v>
      </c>
      <c r="N715" t="s">
        <v>377</v>
      </c>
      <c r="O715" t="s">
        <v>245</v>
      </c>
      <c r="P715" t="s">
        <v>246</v>
      </c>
      <c r="Q715" t="s">
        <v>2406</v>
      </c>
      <c r="R715" t="s">
        <v>248</v>
      </c>
      <c r="S715">
        <v>1500000</v>
      </c>
      <c r="T715">
        <v>-1875884.99</v>
      </c>
      <c r="U715" t="s">
        <v>68</v>
      </c>
      <c r="V715" t="s">
        <v>2407</v>
      </c>
      <c r="W715" s="9">
        <v>60601759</v>
      </c>
      <c r="X715" t="s">
        <v>2410</v>
      </c>
      <c r="Y715" s="1">
        <v>45986</v>
      </c>
      <c r="Z715" s="1">
        <v>46046</v>
      </c>
      <c r="AA715" s="2">
        <v>1057702.72</v>
      </c>
      <c r="AB715" s="2">
        <v>896358.24</v>
      </c>
      <c r="AC715" s="2">
        <v>161344.48000000001</v>
      </c>
      <c r="AD715" s="2">
        <v>1057702.72</v>
      </c>
      <c r="AE715" t="s">
        <v>2411</v>
      </c>
      <c r="AF715" t="s">
        <v>72</v>
      </c>
      <c r="AG715">
        <v>32</v>
      </c>
      <c r="AH715" t="s">
        <v>236</v>
      </c>
      <c r="AI715" t="s">
        <v>74</v>
      </c>
      <c r="AJ715" t="s">
        <v>237</v>
      </c>
      <c r="AK715" t="s">
        <v>383</v>
      </c>
      <c r="AL715" t="s">
        <v>77</v>
      </c>
      <c r="AM715" t="s">
        <v>78</v>
      </c>
      <c r="AN715" t="s">
        <v>239</v>
      </c>
      <c r="AO715" t="s">
        <v>80</v>
      </c>
      <c r="AP715" t="e">
        <v>#N/A</v>
      </c>
      <c r="AQ715" t="s">
        <v>383</v>
      </c>
      <c r="AR715" t="str">
        <f t="shared" si="22"/>
        <v>60601759.MOBILAM</v>
      </c>
      <c r="AS715">
        <f t="shared" si="23"/>
        <v>3348062.95</v>
      </c>
      <c r="AT715" t="s">
        <v>82</v>
      </c>
    </row>
    <row r="716" spans="1:46" x14ac:dyDescent="0.35">
      <c r="A716" t="s">
        <v>52</v>
      </c>
      <c r="B716" t="s">
        <v>53</v>
      </c>
      <c r="C716" t="s">
        <v>54</v>
      </c>
      <c r="D716" t="s">
        <v>55</v>
      </c>
      <c r="E716" t="s">
        <v>56</v>
      </c>
      <c r="F716" t="s">
        <v>2402</v>
      </c>
      <c r="G716" t="s">
        <v>2403</v>
      </c>
      <c r="H716" t="s">
        <v>59</v>
      </c>
      <c r="I716" t="s">
        <v>2404</v>
      </c>
      <c r="J716" t="s">
        <v>2405</v>
      </c>
      <c r="K716" t="s">
        <v>62</v>
      </c>
      <c r="L716" t="s">
        <v>56</v>
      </c>
      <c r="M716" t="s">
        <v>56</v>
      </c>
      <c r="N716" t="s">
        <v>377</v>
      </c>
      <c r="O716" t="s">
        <v>245</v>
      </c>
      <c r="P716" t="s">
        <v>246</v>
      </c>
      <c r="Q716" t="s">
        <v>2406</v>
      </c>
      <c r="R716" t="s">
        <v>248</v>
      </c>
      <c r="S716">
        <v>1500000</v>
      </c>
      <c r="T716">
        <v>-1875884.99</v>
      </c>
      <c r="U716" t="s">
        <v>68</v>
      </c>
      <c r="V716" t="s">
        <v>2407</v>
      </c>
      <c r="W716" s="9">
        <v>60601759</v>
      </c>
      <c r="X716" t="s">
        <v>2412</v>
      </c>
      <c r="Y716" s="1">
        <v>46026</v>
      </c>
      <c r="Z716" s="1">
        <v>46086</v>
      </c>
      <c r="AA716" s="2">
        <v>619301.76</v>
      </c>
      <c r="AB716" s="2">
        <v>524832</v>
      </c>
      <c r="AC716" s="2">
        <v>94469.759999999995</v>
      </c>
      <c r="AD716" s="2">
        <v>619301.76</v>
      </c>
      <c r="AE716" t="s">
        <v>2413</v>
      </c>
      <c r="AF716" t="s">
        <v>72</v>
      </c>
      <c r="AG716">
        <v>-8</v>
      </c>
      <c r="AH716" t="s">
        <v>117</v>
      </c>
      <c r="AI716" t="s">
        <v>74</v>
      </c>
      <c r="AJ716" t="s">
        <v>237</v>
      </c>
      <c r="AK716" t="s">
        <v>383</v>
      </c>
      <c r="AL716" t="s">
        <v>118</v>
      </c>
      <c r="AM716" t="s">
        <v>78</v>
      </c>
      <c r="AN716" t="s">
        <v>239</v>
      </c>
      <c r="AO716" t="s">
        <v>119</v>
      </c>
      <c r="AP716" t="e">
        <v>#N/A</v>
      </c>
      <c r="AQ716" t="s">
        <v>383</v>
      </c>
      <c r="AR716" t="str">
        <f t="shared" si="22"/>
        <v>60601759.MOBILAM</v>
      </c>
      <c r="AS716">
        <f t="shared" si="23"/>
        <v>3348062.95</v>
      </c>
      <c r="AT716" t="s">
        <v>82</v>
      </c>
    </row>
    <row r="717" spans="1:46" x14ac:dyDescent="0.35">
      <c r="A717" t="s">
        <v>52</v>
      </c>
      <c r="B717" t="s">
        <v>53</v>
      </c>
      <c r="C717" t="s">
        <v>54</v>
      </c>
      <c r="D717" t="s">
        <v>55</v>
      </c>
      <c r="E717" t="s">
        <v>56</v>
      </c>
      <c r="F717" t="s">
        <v>2402</v>
      </c>
      <c r="G717" t="s">
        <v>2403</v>
      </c>
      <c r="H717" t="s">
        <v>59</v>
      </c>
      <c r="I717" t="s">
        <v>2404</v>
      </c>
      <c r="J717" t="s">
        <v>2405</v>
      </c>
      <c r="K717" t="s">
        <v>62</v>
      </c>
      <c r="L717" t="s">
        <v>56</v>
      </c>
      <c r="M717" t="s">
        <v>56</v>
      </c>
      <c r="N717" t="s">
        <v>377</v>
      </c>
      <c r="O717" t="s">
        <v>245</v>
      </c>
      <c r="P717" t="s">
        <v>246</v>
      </c>
      <c r="Q717" t="s">
        <v>2406</v>
      </c>
      <c r="R717" t="s">
        <v>248</v>
      </c>
      <c r="S717">
        <v>1500000</v>
      </c>
      <c r="T717">
        <v>-1875884.99</v>
      </c>
      <c r="U717" t="s">
        <v>68</v>
      </c>
      <c r="V717" t="s">
        <v>2407</v>
      </c>
      <c r="W717" s="9">
        <v>60601759</v>
      </c>
      <c r="X717" t="s">
        <v>2414</v>
      </c>
      <c r="Y717" s="1">
        <v>46048</v>
      </c>
      <c r="Z717" s="1">
        <v>46108</v>
      </c>
      <c r="AA717" s="2">
        <v>508204.91</v>
      </c>
      <c r="AB717" s="2">
        <v>430682.13</v>
      </c>
      <c r="AC717" s="2">
        <v>77522.78</v>
      </c>
      <c r="AD717" s="2">
        <v>508204.91</v>
      </c>
      <c r="AE717" t="s">
        <v>2415</v>
      </c>
      <c r="AF717" t="s">
        <v>72</v>
      </c>
      <c r="AG717">
        <v>-30</v>
      </c>
      <c r="AH717" t="s">
        <v>117</v>
      </c>
      <c r="AI717" t="s">
        <v>74</v>
      </c>
      <c r="AJ717" t="s">
        <v>237</v>
      </c>
      <c r="AK717" t="s">
        <v>383</v>
      </c>
      <c r="AL717" t="s">
        <v>118</v>
      </c>
      <c r="AM717" t="s">
        <v>78</v>
      </c>
      <c r="AN717" t="s">
        <v>239</v>
      </c>
      <c r="AO717" t="s">
        <v>119</v>
      </c>
      <c r="AP717" t="e">
        <v>#N/A</v>
      </c>
      <c r="AQ717" t="s">
        <v>383</v>
      </c>
      <c r="AR717" t="str">
        <f t="shared" si="22"/>
        <v>60601759.MOBILAM</v>
      </c>
      <c r="AS717">
        <f t="shared" si="23"/>
        <v>3348062.95</v>
      </c>
      <c r="AT717" t="s">
        <v>82</v>
      </c>
    </row>
    <row r="718" spans="1:46" x14ac:dyDescent="0.35">
      <c r="A718" t="s">
        <v>52</v>
      </c>
      <c r="B718" t="s">
        <v>53</v>
      </c>
      <c r="C718" t="s">
        <v>54</v>
      </c>
      <c r="D718" t="s">
        <v>55</v>
      </c>
      <c r="E718" t="s">
        <v>56</v>
      </c>
      <c r="F718" t="s">
        <v>2402</v>
      </c>
      <c r="G718" t="s">
        <v>2403</v>
      </c>
      <c r="H718" t="s">
        <v>59</v>
      </c>
      <c r="I718" t="s">
        <v>2404</v>
      </c>
      <c r="J718" t="s">
        <v>2405</v>
      </c>
      <c r="K718" t="s">
        <v>62</v>
      </c>
      <c r="L718" t="s">
        <v>56</v>
      </c>
      <c r="M718" t="s">
        <v>56</v>
      </c>
      <c r="N718" t="s">
        <v>377</v>
      </c>
      <c r="O718" t="s">
        <v>245</v>
      </c>
      <c r="P718" t="s">
        <v>246</v>
      </c>
      <c r="Q718" t="s">
        <v>2406</v>
      </c>
      <c r="R718" t="s">
        <v>248</v>
      </c>
      <c r="S718">
        <v>1500000</v>
      </c>
      <c r="T718">
        <v>-1875884.99</v>
      </c>
      <c r="U718" t="s">
        <v>68</v>
      </c>
      <c r="V718" t="s">
        <v>2407</v>
      </c>
      <c r="W718" s="9">
        <v>60601759</v>
      </c>
      <c r="X718" t="s">
        <v>2416</v>
      </c>
      <c r="Y718" s="1">
        <v>46071</v>
      </c>
      <c r="Z718" s="1">
        <v>46131</v>
      </c>
      <c r="AA718" s="2">
        <v>1083031.3500000001</v>
      </c>
      <c r="AB718" s="2">
        <v>917823.17</v>
      </c>
      <c r="AC718" s="2">
        <v>165208.18</v>
      </c>
      <c r="AD718" s="2">
        <v>1083031.3500000001</v>
      </c>
      <c r="AE718" t="s">
        <v>2417</v>
      </c>
      <c r="AF718" t="s">
        <v>72</v>
      </c>
      <c r="AG718">
        <v>-53</v>
      </c>
      <c r="AH718" t="s">
        <v>117</v>
      </c>
      <c r="AI718" t="s">
        <v>74</v>
      </c>
      <c r="AJ718" t="s">
        <v>237</v>
      </c>
      <c r="AK718" t="s">
        <v>383</v>
      </c>
      <c r="AL718" t="s">
        <v>118</v>
      </c>
      <c r="AM718" t="s">
        <v>78</v>
      </c>
      <c r="AN718" t="s">
        <v>239</v>
      </c>
      <c r="AO718" t="s">
        <v>119</v>
      </c>
      <c r="AP718" t="e">
        <v>#N/A</v>
      </c>
      <c r="AQ718" t="s">
        <v>383</v>
      </c>
      <c r="AR718" t="str">
        <f t="shared" si="22"/>
        <v>60601759.MOBILAM</v>
      </c>
      <c r="AS718">
        <f t="shared" si="23"/>
        <v>3348062.95</v>
      </c>
      <c r="AT718" t="s">
        <v>82</v>
      </c>
    </row>
    <row r="719" spans="1:46" x14ac:dyDescent="0.35">
      <c r="A719" t="s">
        <v>52</v>
      </c>
      <c r="B719" t="s">
        <v>53</v>
      </c>
      <c r="C719" t="s">
        <v>54</v>
      </c>
      <c r="D719" t="s">
        <v>55</v>
      </c>
      <c r="E719" t="s">
        <v>56</v>
      </c>
      <c r="F719" t="s">
        <v>2418</v>
      </c>
      <c r="G719" t="s">
        <v>2419</v>
      </c>
      <c r="H719" t="s">
        <v>780</v>
      </c>
      <c r="I719" t="s">
        <v>2420</v>
      </c>
      <c r="J719" t="s">
        <v>56</v>
      </c>
      <c r="K719" t="s">
        <v>62</v>
      </c>
      <c r="L719" t="s">
        <v>56</v>
      </c>
      <c r="M719" t="s">
        <v>56</v>
      </c>
      <c r="N719" t="s">
        <v>782</v>
      </c>
      <c r="O719" t="s">
        <v>435</v>
      </c>
      <c r="P719" t="s">
        <v>436</v>
      </c>
      <c r="Q719" t="s">
        <v>114</v>
      </c>
      <c r="R719" t="s">
        <v>248</v>
      </c>
      <c r="T719">
        <v>-674205.41</v>
      </c>
      <c r="U719" t="s">
        <v>68</v>
      </c>
      <c r="V719" t="s">
        <v>2421</v>
      </c>
      <c r="W719" s="9">
        <v>60603892</v>
      </c>
      <c r="X719" t="s">
        <v>2422</v>
      </c>
      <c r="Y719" s="1">
        <v>46029</v>
      </c>
      <c r="Z719" s="1">
        <v>46089</v>
      </c>
      <c r="AA719" s="2">
        <v>330400</v>
      </c>
      <c r="AB719" s="2">
        <v>280000</v>
      </c>
      <c r="AC719" s="2">
        <v>50400</v>
      </c>
      <c r="AD719" s="2">
        <v>199193.4</v>
      </c>
      <c r="AE719" t="s">
        <v>2423</v>
      </c>
      <c r="AF719" t="s">
        <v>72</v>
      </c>
      <c r="AG719">
        <v>-11</v>
      </c>
      <c r="AH719" t="s">
        <v>117</v>
      </c>
      <c r="AI719" t="s">
        <v>74</v>
      </c>
      <c r="AJ719" t="s">
        <v>75</v>
      </c>
      <c r="AK719" t="s">
        <v>76</v>
      </c>
      <c r="AL719" t="s">
        <v>118</v>
      </c>
      <c r="AM719" t="s">
        <v>78</v>
      </c>
      <c r="AN719" t="s">
        <v>104</v>
      </c>
      <c r="AO719" t="s">
        <v>119</v>
      </c>
      <c r="AP719" t="e">
        <v>#N/A</v>
      </c>
      <c r="AQ719" t="s">
        <v>81</v>
      </c>
      <c r="AR719" t="str">
        <f t="shared" si="22"/>
        <v>60603892.STATAM</v>
      </c>
      <c r="AS719">
        <f t="shared" si="23"/>
        <v>199193.4</v>
      </c>
      <c r="AT719" t="s">
        <v>82</v>
      </c>
    </row>
    <row r="720" spans="1:46" x14ac:dyDescent="0.35">
      <c r="A720" t="s">
        <v>52</v>
      </c>
      <c r="B720" t="s">
        <v>53</v>
      </c>
      <c r="C720" t="s">
        <v>54</v>
      </c>
      <c r="D720" t="s">
        <v>55</v>
      </c>
      <c r="E720" t="s">
        <v>56</v>
      </c>
      <c r="F720" t="s">
        <v>2424</v>
      </c>
      <c r="G720" t="s">
        <v>2425</v>
      </c>
      <c r="H720" t="s">
        <v>56</v>
      </c>
      <c r="I720" t="s">
        <v>2426</v>
      </c>
      <c r="J720" t="s">
        <v>61</v>
      </c>
      <c r="K720" t="s">
        <v>62</v>
      </c>
      <c r="L720" t="s">
        <v>56</v>
      </c>
      <c r="M720" t="s">
        <v>56</v>
      </c>
      <c r="N720" t="s">
        <v>331</v>
      </c>
      <c r="O720" t="s">
        <v>245</v>
      </c>
      <c r="P720" t="s">
        <v>246</v>
      </c>
      <c r="Q720" t="s">
        <v>393</v>
      </c>
      <c r="R720" t="s">
        <v>67</v>
      </c>
      <c r="S720">
        <v>500000</v>
      </c>
      <c r="T720">
        <v>446379.68</v>
      </c>
      <c r="U720" t="s">
        <v>68</v>
      </c>
      <c r="V720" t="s">
        <v>2427</v>
      </c>
      <c r="W720" s="9">
        <v>60603972</v>
      </c>
      <c r="X720" t="s">
        <v>2428</v>
      </c>
      <c r="Y720" s="1">
        <v>45675</v>
      </c>
      <c r="Z720" s="1">
        <v>45675</v>
      </c>
      <c r="AA720" s="2">
        <v>28964.12</v>
      </c>
      <c r="AB720" s="2">
        <v>24522</v>
      </c>
      <c r="AC720" s="2">
        <v>4442.12</v>
      </c>
      <c r="AD720" s="2">
        <v>885.18</v>
      </c>
      <c r="AE720" t="s">
        <v>2429</v>
      </c>
      <c r="AF720" t="s">
        <v>72</v>
      </c>
      <c r="AG720">
        <v>403</v>
      </c>
      <c r="AH720" t="s">
        <v>473</v>
      </c>
      <c r="AI720" t="s">
        <v>74</v>
      </c>
      <c r="AJ720" t="s">
        <v>127</v>
      </c>
      <c r="AK720" t="s">
        <v>334</v>
      </c>
      <c r="AL720" t="s">
        <v>77</v>
      </c>
      <c r="AM720" t="s">
        <v>78</v>
      </c>
      <c r="AN720" t="s">
        <v>239</v>
      </c>
      <c r="AO720" t="s">
        <v>80</v>
      </c>
      <c r="AP720" t="e">
        <v>#N/A</v>
      </c>
      <c r="AQ720" t="s">
        <v>335</v>
      </c>
      <c r="AR720" t="str">
        <f t="shared" si="22"/>
        <v>60603972.SPMINAM</v>
      </c>
      <c r="AS720">
        <f t="shared" si="23"/>
        <v>18474.3</v>
      </c>
      <c r="AT720" t="s">
        <v>82</v>
      </c>
    </row>
    <row r="721" spans="1:46" x14ac:dyDescent="0.35">
      <c r="A721" t="s">
        <v>52</v>
      </c>
      <c r="B721" t="s">
        <v>53</v>
      </c>
      <c r="C721" t="s">
        <v>54</v>
      </c>
      <c r="D721" t="s">
        <v>55</v>
      </c>
      <c r="E721" t="s">
        <v>56</v>
      </c>
      <c r="F721" t="s">
        <v>2424</v>
      </c>
      <c r="G721" t="s">
        <v>2425</v>
      </c>
      <c r="H721" t="s">
        <v>56</v>
      </c>
      <c r="I721" t="s">
        <v>2426</v>
      </c>
      <c r="J721" t="s">
        <v>61</v>
      </c>
      <c r="K721" t="s">
        <v>62</v>
      </c>
      <c r="L721" t="s">
        <v>56</v>
      </c>
      <c r="M721" t="s">
        <v>56</v>
      </c>
      <c r="N721" t="s">
        <v>1183</v>
      </c>
      <c r="O721" t="s">
        <v>245</v>
      </c>
      <c r="P721" t="s">
        <v>246</v>
      </c>
      <c r="Q721" t="s">
        <v>393</v>
      </c>
      <c r="R721" t="s">
        <v>67</v>
      </c>
      <c r="S721">
        <v>500000</v>
      </c>
      <c r="T721">
        <v>446379.68</v>
      </c>
      <c r="U721" t="s">
        <v>68</v>
      </c>
      <c r="V721" t="s">
        <v>2427</v>
      </c>
      <c r="W721" s="9">
        <v>60603972</v>
      </c>
      <c r="X721" t="s">
        <v>2428</v>
      </c>
      <c r="Y721" s="1">
        <v>45675</v>
      </c>
      <c r="Z721" s="1">
        <v>45675</v>
      </c>
      <c r="AA721" s="2">
        <v>1150015.52</v>
      </c>
      <c r="AB721" s="2">
        <v>973642</v>
      </c>
      <c r="AC721" s="2">
        <v>176373.52</v>
      </c>
      <c r="AD721" s="2">
        <v>35146.019999999997</v>
      </c>
      <c r="AE721" t="s">
        <v>2430</v>
      </c>
      <c r="AF721" t="s">
        <v>72</v>
      </c>
      <c r="AG721">
        <v>403</v>
      </c>
      <c r="AH721" t="s">
        <v>473</v>
      </c>
      <c r="AI721" t="s">
        <v>74</v>
      </c>
      <c r="AJ721" t="s">
        <v>75</v>
      </c>
      <c r="AK721" t="s">
        <v>76</v>
      </c>
      <c r="AL721" t="s">
        <v>77</v>
      </c>
      <c r="AM721" t="s">
        <v>78</v>
      </c>
      <c r="AN721" t="s">
        <v>239</v>
      </c>
      <c r="AO721" t="s">
        <v>80</v>
      </c>
      <c r="AP721" t="e">
        <v>#N/A</v>
      </c>
      <c r="AQ721" t="s">
        <v>81</v>
      </c>
      <c r="AR721" t="str">
        <f t="shared" si="22"/>
        <v>60603972.STATAM</v>
      </c>
      <c r="AS721">
        <f t="shared" si="23"/>
        <v>35146.019999999997</v>
      </c>
      <c r="AT721" t="s">
        <v>82</v>
      </c>
    </row>
    <row r="722" spans="1:46" x14ac:dyDescent="0.35">
      <c r="A722" t="s">
        <v>52</v>
      </c>
      <c r="B722" t="s">
        <v>53</v>
      </c>
      <c r="C722" t="s">
        <v>54</v>
      </c>
      <c r="D722" t="s">
        <v>55</v>
      </c>
      <c r="E722" t="s">
        <v>56</v>
      </c>
      <c r="F722" t="s">
        <v>2424</v>
      </c>
      <c r="G722" t="s">
        <v>2425</v>
      </c>
      <c r="H722" t="s">
        <v>56</v>
      </c>
      <c r="I722" t="s">
        <v>2426</v>
      </c>
      <c r="J722" t="s">
        <v>61</v>
      </c>
      <c r="K722" t="s">
        <v>62</v>
      </c>
      <c r="L722" t="s">
        <v>56</v>
      </c>
      <c r="M722" t="s">
        <v>56</v>
      </c>
      <c r="N722" t="s">
        <v>337</v>
      </c>
      <c r="O722" t="s">
        <v>245</v>
      </c>
      <c r="P722" t="s">
        <v>246</v>
      </c>
      <c r="Q722" t="s">
        <v>393</v>
      </c>
      <c r="R722" t="s">
        <v>67</v>
      </c>
      <c r="S722">
        <v>500000</v>
      </c>
      <c r="T722">
        <v>446379.68</v>
      </c>
      <c r="U722" t="s">
        <v>68</v>
      </c>
      <c r="V722" t="s">
        <v>2427</v>
      </c>
      <c r="W722" s="9">
        <v>60603972</v>
      </c>
      <c r="X722" t="s">
        <v>2428</v>
      </c>
      <c r="Y722" s="1">
        <v>45675</v>
      </c>
      <c r="Z722" s="1">
        <v>45675</v>
      </c>
      <c r="AA722" s="2">
        <v>575534.79</v>
      </c>
      <c r="AB722" s="2">
        <v>487267.2</v>
      </c>
      <c r="AC722" s="2">
        <v>88267.59</v>
      </c>
      <c r="AD722" s="2">
        <v>17589.12</v>
      </c>
      <c r="AE722" t="s">
        <v>2431</v>
      </c>
      <c r="AF722" t="s">
        <v>72</v>
      </c>
      <c r="AG722">
        <v>403</v>
      </c>
      <c r="AH722" t="s">
        <v>473</v>
      </c>
      <c r="AI722" t="s">
        <v>74</v>
      </c>
      <c r="AJ722" t="s">
        <v>127</v>
      </c>
      <c r="AK722" t="s">
        <v>334</v>
      </c>
      <c r="AL722" t="s">
        <v>77</v>
      </c>
      <c r="AM722" t="s">
        <v>78</v>
      </c>
      <c r="AN722" t="s">
        <v>239</v>
      </c>
      <c r="AO722" t="s">
        <v>80</v>
      </c>
      <c r="AP722" t="e">
        <v>#N/A</v>
      </c>
      <c r="AQ722" t="s">
        <v>335</v>
      </c>
      <c r="AR722" t="str">
        <f t="shared" si="22"/>
        <v>60603972.SPMINAM</v>
      </c>
      <c r="AS722">
        <f t="shared" si="23"/>
        <v>18474.3</v>
      </c>
      <c r="AT722" t="s">
        <v>82</v>
      </c>
    </row>
    <row r="723" spans="1:46" x14ac:dyDescent="0.35">
      <c r="A723" t="s">
        <v>52</v>
      </c>
      <c r="B723" t="s">
        <v>53</v>
      </c>
      <c r="C723" t="s">
        <v>54</v>
      </c>
      <c r="D723" t="s">
        <v>55</v>
      </c>
      <c r="E723" t="s">
        <v>56</v>
      </c>
      <c r="F723" t="s">
        <v>2432</v>
      </c>
      <c r="G723" t="s">
        <v>2433</v>
      </c>
      <c r="H723" t="s">
        <v>403</v>
      </c>
      <c r="I723" t="s">
        <v>2434</v>
      </c>
      <c r="J723" t="s">
        <v>61</v>
      </c>
      <c r="K723" t="s">
        <v>62</v>
      </c>
      <c r="L723" t="s">
        <v>56</v>
      </c>
      <c r="M723" t="s">
        <v>56</v>
      </c>
      <c r="N723" t="s">
        <v>2435</v>
      </c>
      <c r="O723" t="s">
        <v>974</v>
      </c>
      <c r="P723" t="s">
        <v>975</v>
      </c>
      <c r="Q723" t="s">
        <v>87</v>
      </c>
      <c r="R723" t="s">
        <v>67</v>
      </c>
      <c r="T723">
        <v>-264320</v>
      </c>
      <c r="U723" t="s">
        <v>68</v>
      </c>
      <c r="V723" t="s">
        <v>2436</v>
      </c>
      <c r="W723" s="9">
        <v>20000012</v>
      </c>
      <c r="X723" t="s">
        <v>2437</v>
      </c>
      <c r="Y723" s="1">
        <v>46021</v>
      </c>
      <c r="Z723" s="1">
        <v>46051</v>
      </c>
      <c r="AA723" s="2">
        <v>264320</v>
      </c>
      <c r="AB723" s="2">
        <v>224000</v>
      </c>
      <c r="AC723" s="2">
        <v>40320</v>
      </c>
      <c r="AD723" s="2">
        <v>264320</v>
      </c>
      <c r="AE723" t="s">
        <v>2438</v>
      </c>
      <c r="AF723" t="s">
        <v>72</v>
      </c>
      <c r="AG723">
        <v>27</v>
      </c>
      <c r="AH723" t="s">
        <v>73</v>
      </c>
      <c r="AI723" t="s">
        <v>74</v>
      </c>
      <c r="AJ723" t="s">
        <v>127</v>
      </c>
      <c r="AK723" t="s">
        <v>334</v>
      </c>
      <c r="AL723" t="s">
        <v>77</v>
      </c>
      <c r="AM723" t="s">
        <v>78</v>
      </c>
      <c r="AN723" t="s">
        <v>979</v>
      </c>
      <c r="AO723" t="s">
        <v>80</v>
      </c>
      <c r="AP723" t="e">
        <v>#N/A</v>
      </c>
      <c r="AQ723" t="s">
        <v>335</v>
      </c>
      <c r="AR723" t="str">
        <f t="shared" si="22"/>
        <v>20000012.SPMINAM</v>
      </c>
      <c r="AS723">
        <f t="shared" si="23"/>
        <v>264320</v>
      </c>
      <c r="AT723" t="s">
        <v>82</v>
      </c>
    </row>
    <row r="724" spans="1:46" x14ac:dyDescent="0.35">
      <c r="A724" t="s">
        <v>52</v>
      </c>
      <c r="B724" t="s">
        <v>53</v>
      </c>
      <c r="C724" t="s">
        <v>54</v>
      </c>
      <c r="D724" t="s">
        <v>55</v>
      </c>
      <c r="E724" t="s">
        <v>56</v>
      </c>
      <c r="F724" t="s">
        <v>2439</v>
      </c>
      <c r="G724" t="s">
        <v>2440</v>
      </c>
      <c r="H724" t="s">
        <v>56</v>
      </c>
      <c r="I724" t="s">
        <v>2441</v>
      </c>
      <c r="J724" t="s">
        <v>56</v>
      </c>
      <c r="K724" t="s">
        <v>62</v>
      </c>
      <c r="L724" t="s">
        <v>2442</v>
      </c>
      <c r="M724" t="s">
        <v>56</v>
      </c>
      <c r="N724" t="s">
        <v>252</v>
      </c>
      <c r="O724" t="s">
        <v>887</v>
      </c>
      <c r="P724" t="s">
        <v>888</v>
      </c>
      <c r="Q724" t="s">
        <v>114</v>
      </c>
      <c r="R724" t="s">
        <v>67</v>
      </c>
      <c r="S724">
        <v>50000000</v>
      </c>
      <c r="T724">
        <v>15786419.140000001</v>
      </c>
      <c r="U724" t="s">
        <v>68</v>
      </c>
      <c r="V724" t="s">
        <v>2436</v>
      </c>
      <c r="W724" s="9">
        <v>60602462</v>
      </c>
      <c r="X724" t="s">
        <v>2443</v>
      </c>
      <c r="Y724" s="1">
        <v>44678</v>
      </c>
      <c r="Z724" s="1">
        <v>44678</v>
      </c>
      <c r="AA724" s="2">
        <v>8143125.7199999997</v>
      </c>
      <c r="AB724" s="2">
        <v>6900954</v>
      </c>
      <c r="AC724" s="2">
        <v>1242171.72</v>
      </c>
      <c r="AD724" s="2">
        <v>751866.22</v>
      </c>
      <c r="AE724" t="s">
        <v>2444</v>
      </c>
      <c r="AF724" t="s">
        <v>72</v>
      </c>
      <c r="AG724">
        <v>1400</v>
      </c>
      <c r="AH724" t="s">
        <v>473</v>
      </c>
      <c r="AI724" t="s">
        <v>74</v>
      </c>
      <c r="AJ724" t="s">
        <v>75</v>
      </c>
      <c r="AK724" t="s">
        <v>76</v>
      </c>
      <c r="AL724" t="s">
        <v>77</v>
      </c>
      <c r="AM724" t="s">
        <v>78</v>
      </c>
      <c r="AN724" t="s">
        <v>795</v>
      </c>
      <c r="AO724" t="s">
        <v>80</v>
      </c>
      <c r="AP724" t="e">
        <v>#N/A</v>
      </c>
      <c r="AQ724" t="s">
        <v>81</v>
      </c>
      <c r="AR724" t="str">
        <f t="shared" si="22"/>
        <v>60602462.STATAM</v>
      </c>
      <c r="AS724">
        <f t="shared" si="23"/>
        <v>3408979.5300000003</v>
      </c>
      <c r="AT724" t="s">
        <v>82</v>
      </c>
    </row>
    <row r="725" spans="1:46" x14ac:dyDescent="0.35">
      <c r="A725" t="s">
        <v>52</v>
      </c>
      <c r="B725" t="s">
        <v>53</v>
      </c>
      <c r="C725" t="s">
        <v>54</v>
      </c>
      <c r="D725" t="s">
        <v>55</v>
      </c>
      <c r="E725" t="s">
        <v>56</v>
      </c>
      <c r="F725" t="s">
        <v>2439</v>
      </c>
      <c r="G725" t="s">
        <v>2445</v>
      </c>
      <c r="H725" t="s">
        <v>56</v>
      </c>
      <c r="I725" t="s">
        <v>2446</v>
      </c>
      <c r="J725" t="s">
        <v>56</v>
      </c>
      <c r="K725" t="s">
        <v>62</v>
      </c>
      <c r="L725" t="s">
        <v>2447</v>
      </c>
      <c r="M725" t="s">
        <v>56</v>
      </c>
      <c r="N725" t="s">
        <v>2448</v>
      </c>
      <c r="O725" t="s">
        <v>887</v>
      </c>
      <c r="P725" t="s">
        <v>888</v>
      </c>
      <c r="Q725" t="s">
        <v>114</v>
      </c>
      <c r="R725" t="s">
        <v>67</v>
      </c>
      <c r="S725">
        <v>50000000</v>
      </c>
      <c r="T725">
        <v>15786419.140000001</v>
      </c>
      <c r="U725" t="s">
        <v>68</v>
      </c>
      <c r="V725" t="s">
        <v>2436</v>
      </c>
      <c r="W725" s="9">
        <v>60602462</v>
      </c>
      <c r="X725" t="s">
        <v>2449</v>
      </c>
      <c r="Y725" s="1">
        <v>44690</v>
      </c>
      <c r="Z725" s="1">
        <v>44690</v>
      </c>
      <c r="AA725" s="2">
        <v>191693.36</v>
      </c>
      <c r="AB725" s="2">
        <v>162452</v>
      </c>
      <c r="AC725" s="2">
        <v>29241.360000000001</v>
      </c>
      <c r="AD725" s="2">
        <v>2964.43</v>
      </c>
      <c r="AE725" t="s">
        <v>2450</v>
      </c>
      <c r="AF725" t="s">
        <v>72</v>
      </c>
      <c r="AG725">
        <v>1388</v>
      </c>
      <c r="AH725" t="s">
        <v>473</v>
      </c>
      <c r="AI725" t="s">
        <v>74</v>
      </c>
      <c r="AJ725" t="s">
        <v>75</v>
      </c>
      <c r="AK725" t="s">
        <v>76</v>
      </c>
      <c r="AL725" t="s">
        <v>77</v>
      </c>
      <c r="AM725" t="s">
        <v>78</v>
      </c>
      <c r="AN725" t="s">
        <v>795</v>
      </c>
      <c r="AO725" t="s">
        <v>80</v>
      </c>
      <c r="AP725" t="e">
        <v>#N/A</v>
      </c>
      <c r="AQ725" t="s">
        <v>81</v>
      </c>
      <c r="AR725" t="str">
        <f t="shared" si="22"/>
        <v>60602462.STATAM</v>
      </c>
      <c r="AS725">
        <f t="shared" si="23"/>
        <v>3408979.5300000003</v>
      </c>
      <c r="AT725" t="s">
        <v>82</v>
      </c>
    </row>
    <row r="726" spans="1:46" x14ac:dyDescent="0.35">
      <c r="A726" t="s">
        <v>52</v>
      </c>
      <c r="B726" t="s">
        <v>53</v>
      </c>
      <c r="C726" t="s">
        <v>54</v>
      </c>
      <c r="D726" t="s">
        <v>55</v>
      </c>
      <c r="E726" t="s">
        <v>56</v>
      </c>
      <c r="F726" t="s">
        <v>2439</v>
      </c>
      <c r="G726" t="s">
        <v>2445</v>
      </c>
      <c r="H726" t="s">
        <v>56</v>
      </c>
      <c r="I726" t="s">
        <v>2446</v>
      </c>
      <c r="J726" t="s">
        <v>56</v>
      </c>
      <c r="K726" t="s">
        <v>62</v>
      </c>
      <c r="L726" t="s">
        <v>2447</v>
      </c>
      <c r="M726" t="s">
        <v>56</v>
      </c>
      <c r="N726" t="s">
        <v>2451</v>
      </c>
      <c r="O726" t="s">
        <v>887</v>
      </c>
      <c r="P726" t="s">
        <v>888</v>
      </c>
      <c r="Q726" t="s">
        <v>114</v>
      </c>
      <c r="R726" t="s">
        <v>67</v>
      </c>
      <c r="S726">
        <v>50000000</v>
      </c>
      <c r="T726">
        <v>15786419.140000001</v>
      </c>
      <c r="U726" t="s">
        <v>68</v>
      </c>
      <c r="V726" t="s">
        <v>2436</v>
      </c>
      <c r="W726" s="9">
        <v>60602462</v>
      </c>
      <c r="X726" t="s">
        <v>2449</v>
      </c>
      <c r="Y726" s="1">
        <v>44690</v>
      </c>
      <c r="Z726" s="1">
        <v>44690</v>
      </c>
      <c r="AA726" s="2">
        <v>1620844.46</v>
      </c>
      <c r="AB726" s="2">
        <v>1373597</v>
      </c>
      <c r="AC726" s="2">
        <v>247247.46</v>
      </c>
      <c r="AD726" s="2">
        <v>25065.48</v>
      </c>
      <c r="AE726" t="s">
        <v>2452</v>
      </c>
      <c r="AF726" t="s">
        <v>72</v>
      </c>
      <c r="AG726">
        <v>1388</v>
      </c>
      <c r="AH726" t="s">
        <v>473</v>
      </c>
      <c r="AI726" t="s">
        <v>74</v>
      </c>
      <c r="AJ726" t="s">
        <v>75</v>
      </c>
      <c r="AK726" t="s">
        <v>76</v>
      </c>
      <c r="AL726" t="s">
        <v>77</v>
      </c>
      <c r="AM726" t="s">
        <v>78</v>
      </c>
      <c r="AN726" t="s">
        <v>795</v>
      </c>
      <c r="AO726" t="s">
        <v>80</v>
      </c>
      <c r="AP726" t="e">
        <v>#N/A</v>
      </c>
      <c r="AQ726" t="s">
        <v>81</v>
      </c>
      <c r="AR726" t="str">
        <f t="shared" si="22"/>
        <v>60602462.STATAM</v>
      </c>
      <c r="AS726">
        <f t="shared" si="23"/>
        <v>3408979.5300000003</v>
      </c>
      <c r="AT726" t="s">
        <v>82</v>
      </c>
    </row>
    <row r="727" spans="1:46" x14ac:dyDescent="0.35">
      <c r="A727" t="s">
        <v>52</v>
      </c>
      <c r="B727" t="s">
        <v>53</v>
      </c>
      <c r="C727" t="s">
        <v>54</v>
      </c>
      <c r="D727" t="s">
        <v>55</v>
      </c>
      <c r="E727" t="s">
        <v>56</v>
      </c>
      <c r="F727" t="s">
        <v>2439</v>
      </c>
      <c r="G727" t="s">
        <v>2440</v>
      </c>
      <c r="H727" t="s">
        <v>56</v>
      </c>
      <c r="I727" t="s">
        <v>2453</v>
      </c>
      <c r="J727" t="s">
        <v>56</v>
      </c>
      <c r="K727" t="s">
        <v>62</v>
      </c>
      <c r="L727" t="s">
        <v>2442</v>
      </c>
      <c r="M727" t="s">
        <v>56</v>
      </c>
      <c r="N727" t="s">
        <v>252</v>
      </c>
      <c r="O727" t="s">
        <v>887</v>
      </c>
      <c r="P727" t="s">
        <v>888</v>
      </c>
      <c r="Q727" t="s">
        <v>114</v>
      </c>
      <c r="R727" t="s">
        <v>67</v>
      </c>
      <c r="S727">
        <v>50000000</v>
      </c>
      <c r="T727">
        <v>15786419.140000001</v>
      </c>
      <c r="U727" t="s">
        <v>68</v>
      </c>
      <c r="V727" t="s">
        <v>2436</v>
      </c>
      <c r="W727" s="9">
        <v>60602462</v>
      </c>
      <c r="X727" t="s">
        <v>2454</v>
      </c>
      <c r="Y727" s="1">
        <v>44709</v>
      </c>
      <c r="Z727" s="1">
        <v>44709</v>
      </c>
      <c r="AA727" s="2">
        <v>10176302.300000001</v>
      </c>
      <c r="AB727" s="2">
        <v>8623985</v>
      </c>
      <c r="AC727" s="2">
        <v>1552317.3</v>
      </c>
      <c r="AD727" s="2">
        <v>862398.6</v>
      </c>
      <c r="AE727" t="s">
        <v>2455</v>
      </c>
      <c r="AF727" t="s">
        <v>72</v>
      </c>
      <c r="AG727">
        <v>1369</v>
      </c>
      <c r="AH727" t="s">
        <v>473</v>
      </c>
      <c r="AI727" t="s">
        <v>74</v>
      </c>
      <c r="AJ727" t="s">
        <v>75</v>
      </c>
      <c r="AK727" t="s">
        <v>76</v>
      </c>
      <c r="AL727" t="s">
        <v>77</v>
      </c>
      <c r="AM727" t="s">
        <v>78</v>
      </c>
      <c r="AN727" t="s">
        <v>795</v>
      </c>
      <c r="AO727" t="s">
        <v>80</v>
      </c>
      <c r="AP727" t="e">
        <v>#N/A</v>
      </c>
      <c r="AQ727" t="s">
        <v>81</v>
      </c>
      <c r="AR727" t="str">
        <f t="shared" si="22"/>
        <v>60602462.STATAM</v>
      </c>
      <c r="AS727">
        <f t="shared" si="23"/>
        <v>3408979.5300000003</v>
      </c>
      <c r="AT727" t="s">
        <v>82</v>
      </c>
    </row>
    <row r="728" spans="1:46" x14ac:dyDescent="0.35">
      <c r="A728" t="s">
        <v>52</v>
      </c>
      <c r="B728" t="s">
        <v>53</v>
      </c>
      <c r="C728" t="s">
        <v>54</v>
      </c>
      <c r="D728" t="s">
        <v>55</v>
      </c>
      <c r="E728" t="s">
        <v>56</v>
      </c>
      <c r="F728" t="s">
        <v>2439</v>
      </c>
      <c r="G728" t="s">
        <v>2456</v>
      </c>
      <c r="H728" t="s">
        <v>56</v>
      </c>
      <c r="I728" t="s">
        <v>2457</v>
      </c>
      <c r="J728" t="s">
        <v>56</v>
      </c>
      <c r="K728" t="s">
        <v>62</v>
      </c>
      <c r="L728" t="s">
        <v>2458</v>
      </c>
      <c r="M728" t="s">
        <v>56</v>
      </c>
      <c r="N728" t="s">
        <v>1384</v>
      </c>
      <c r="O728" t="s">
        <v>887</v>
      </c>
      <c r="P728" t="s">
        <v>888</v>
      </c>
      <c r="Q728" t="s">
        <v>393</v>
      </c>
      <c r="R728" t="s">
        <v>67</v>
      </c>
      <c r="S728">
        <v>50000000</v>
      </c>
      <c r="T728">
        <v>15786419.140000001</v>
      </c>
      <c r="U728" t="s">
        <v>68</v>
      </c>
      <c r="V728" t="s">
        <v>2436</v>
      </c>
      <c r="W728" s="9">
        <v>60602462</v>
      </c>
      <c r="X728" t="s">
        <v>2459</v>
      </c>
      <c r="Y728" s="1">
        <v>44748</v>
      </c>
      <c r="Z728" s="1">
        <v>44748</v>
      </c>
      <c r="AA728" s="2">
        <v>2472325.38</v>
      </c>
      <c r="AB728" s="2">
        <v>2095191</v>
      </c>
      <c r="AC728" s="2">
        <v>377134.38</v>
      </c>
      <c r="AD728" s="2">
        <v>209518.97</v>
      </c>
      <c r="AE728" t="s">
        <v>2460</v>
      </c>
      <c r="AF728" t="s">
        <v>72</v>
      </c>
      <c r="AG728">
        <v>1330</v>
      </c>
      <c r="AH728" t="s">
        <v>473</v>
      </c>
      <c r="AI728" t="s">
        <v>74</v>
      </c>
      <c r="AJ728" t="s">
        <v>75</v>
      </c>
      <c r="AK728" t="s">
        <v>76</v>
      </c>
      <c r="AL728" t="s">
        <v>77</v>
      </c>
      <c r="AM728" t="s">
        <v>78</v>
      </c>
      <c r="AN728" t="s">
        <v>795</v>
      </c>
      <c r="AO728" t="s">
        <v>80</v>
      </c>
      <c r="AP728" t="e">
        <v>#N/A</v>
      </c>
      <c r="AQ728" t="s">
        <v>81</v>
      </c>
      <c r="AR728" t="str">
        <f t="shared" si="22"/>
        <v>60602462.STATAM</v>
      </c>
      <c r="AS728">
        <f t="shared" si="23"/>
        <v>3408979.5300000003</v>
      </c>
      <c r="AT728" t="s">
        <v>82</v>
      </c>
    </row>
    <row r="729" spans="1:46" x14ac:dyDescent="0.35">
      <c r="A729" t="s">
        <v>52</v>
      </c>
      <c r="B729" t="s">
        <v>53</v>
      </c>
      <c r="C729" t="s">
        <v>54</v>
      </c>
      <c r="D729" t="s">
        <v>55</v>
      </c>
      <c r="E729" t="s">
        <v>56</v>
      </c>
      <c r="F729" t="s">
        <v>2439</v>
      </c>
      <c r="G729" t="s">
        <v>2456</v>
      </c>
      <c r="H729" t="s">
        <v>56</v>
      </c>
      <c r="I729" t="s">
        <v>2457</v>
      </c>
      <c r="J729" t="s">
        <v>56</v>
      </c>
      <c r="K729" t="s">
        <v>62</v>
      </c>
      <c r="L729" t="s">
        <v>2458</v>
      </c>
      <c r="M729" t="s">
        <v>56</v>
      </c>
      <c r="N729" t="s">
        <v>252</v>
      </c>
      <c r="O729" t="s">
        <v>887</v>
      </c>
      <c r="P729" t="s">
        <v>888</v>
      </c>
      <c r="Q729" t="s">
        <v>393</v>
      </c>
      <c r="R729" t="s">
        <v>67</v>
      </c>
      <c r="S729">
        <v>50000000</v>
      </c>
      <c r="T729">
        <v>15786419.140000001</v>
      </c>
      <c r="U729" t="s">
        <v>68</v>
      </c>
      <c r="V729" t="s">
        <v>2436</v>
      </c>
      <c r="W729" s="9">
        <v>60602462</v>
      </c>
      <c r="X729" t="s">
        <v>2459</v>
      </c>
      <c r="Y729" s="1">
        <v>44748</v>
      </c>
      <c r="Z729" s="1">
        <v>44748</v>
      </c>
      <c r="AA729" s="2">
        <v>2842100.8</v>
      </c>
      <c r="AB729" s="2">
        <v>2408560</v>
      </c>
      <c r="AC729" s="2">
        <v>433540.8</v>
      </c>
      <c r="AD729" s="2">
        <v>240855.85</v>
      </c>
      <c r="AE729" t="s">
        <v>2461</v>
      </c>
      <c r="AF729" t="s">
        <v>72</v>
      </c>
      <c r="AG729">
        <v>1330</v>
      </c>
      <c r="AH729" t="s">
        <v>473</v>
      </c>
      <c r="AI729" t="s">
        <v>74</v>
      </c>
      <c r="AJ729" t="s">
        <v>75</v>
      </c>
      <c r="AK729" t="s">
        <v>76</v>
      </c>
      <c r="AL729" t="s">
        <v>77</v>
      </c>
      <c r="AM729" t="s">
        <v>78</v>
      </c>
      <c r="AN729" t="s">
        <v>795</v>
      </c>
      <c r="AO729" t="s">
        <v>80</v>
      </c>
      <c r="AP729" t="e">
        <v>#N/A</v>
      </c>
      <c r="AQ729" t="s">
        <v>81</v>
      </c>
      <c r="AR729" t="str">
        <f t="shared" si="22"/>
        <v>60602462.STATAM</v>
      </c>
      <c r="AS729">
        <f t="shared" si="23"/>
        <v>3408979.5300000003</v>
      </c>
      <c r="AT729" t="s">
        <v>82</v>
      </c>
    </row>
    <row r="730" spans="1:46" x14ac:dyDescent="0.35">
      <c r="A730" t="s">
        <v>52</v>
      </c>
      <c r="B730" t="s">
        <v>53</v>
      </c>
      <c r="C730" t="s">
        <v>54</v>
      </c>
      <c r="D730" t="s">
        <v>55</v>
      </c>
      <c r="E730" t="s">
        <v>56</v>
      </c>
      <c r="F730" t="s">
        <v>2439</v>
      </c>
      <c r="G730" t="s">
        <v>2445</v>
      </c>
      <c r="H730" t="s">
        <v>56</v>
      </c>
      <c r="I730" t="s">
        <v>2462</v>
      </c>
      <c r="J730" t="s">
        <v>56</v>
      </c>
      <c r="K730" t="s">
        <v>62</v>
      </c>
      <c r="L730" t="s">
        <v>2447</v>
      </c>
      <c r="M730" t="s">
        <v>56</v>
      </c>
      <c r="N730" t="s">
        <v>1384</v>
      </c>
      <c r="O730" t="s">
        <v>887</v>
      </c>
      <c r="P730" t="s">
        <v>888</v>
      </c>
      <c r="Q730" t="s">
        <v>114</v>
      </c>
      <c r="R730" t="s">
        <v>67</v>
      </c>
      <c r="S730">
        <v>50000000</v>
      </c>
      <c r="T730">
        <v>15786419.140000001</v>
      </c>
      <c r="U730" t="s">
        <v>68</v>
      </c>
      <c r="V730" t="s">
        <v>2436</v>
      </c>
      <c r="W730" s="9">
        <v>60602462</v>
      </c>
      <c r="X730" t="s">
        <v>2463</v>
      </c>
      <c r="Y730" s="1">
        <v>44749</v>
      </c>
      <c r="Z730" s="1">
        <v>44749</v>
      </c>
      <c r="AA730" s="2">
        <v>4944649.58</v>
      </c>
      <c r="AB730" s="2">
        <v>4190381</v>
      </c>
      <c r="AC730" s="2">
        <v>754268.58</v>
      </c>
      <c r="AD730" s="2">
        <v>419038.26</v>
      </c>
      <c r="AE730" t="s">
        <v>2464</v>
      </c>
      <c r="AF730" t="s">
        <v>72</v>
      </c>
      <c r="AG730">
        <v>1329</v>
      </c>
      <c r="AH730" t="s">
        <v>473</v>
      </c>
      <c r="AI730" t="s">
        <v>74</v>
      </c>
      <c r="AJ730" t="s">
        <v>75</v>
      </c>
      <c r="AK730" t="s">
        <v>76</v>
      </c>
      <c r="AL730" t="s">
        <v>77</v>
      </c>
      <c r="AM730" t="s">
        <v>78</v>
      </c>
      <c r="AN730" t="s">
        <v>795</v>
      </c>
      <c r="AO730" t="s">
        <v>80</v>
      </c>
      <c r="AP730" t="e">
        <v>#N/A</v>
      </c>
      <c r="AQ730" t="s">
        <v>81</v>
      </c>
      <c r="AR730" t="str">
        <f t="shared" si="22"/>
        <v>60602462.STATAM</v>
      </c>
      <c r="AS730">
        <f t="shared" si="23"/>
        <v>3408979.5300000003</v>
      </c>
      <c r="AT730" t="s">
        <v>82</v>
      </c>
    </row>
    <row r="731" spans="1:46" x14ac:dyDescent="0.35">
      <c r="A731" t="s">
        <v>52</v>
      </c>
      <c r="B731" t="s">
        <v>53</v>
      </c>
      <c r="C731" t="s">
        <v>54</v>
      </c>
      <c r="D731" t="s">
        <v>55</v>
      </c>
      <c r="E731" t="s">
        <v>56</v>
      </c>
      <c r="F731" t="s">
        <v>2439</v>
      </c>
      <c r="G731" t="s">
        <v>2445</v>
      </c>
      <c r="H731" t="s">
        <v>56</v>
      </c>
      <c r="I731" t="s">
        <v>2462</v>
      </c>
      <c r="J731" t="s">
        <v>56</v>
      </c>
      <c r="K731" t="s">
        <v>62</v>
      </c>
      <c r="L731" t="s">
        <v>2447</v>
      </c>
      <c r="M731" t="s">
        <v>56</v>
      </c>
      <c r="N731" t="s">
        <v>252</v>
      </c>
      <c r="O731" t="s">
        <v>887</v>
      </c>
      <c r="P731" t="s">
        <v>888</v>
      </c>
      <c r="Q731" t="s">
        <v>114</v>
      </c>
      <c r="R731" t="s">
        <v>67</v>
      </c>
      <c r="S731">
        <v>50000000</v>
      </c>
      <c r="T731">
        <v>15786419.140000001</v>
      </c>
      <c r="U731" t="s">
        <v>68</v>
      </c>
      <c r="V731" t="s">
        <v>2436</v>
      </c>
      <c r="W731" s="9">
        <v>60602462</v>
      </c>
      <c r="X731" t="s">
        <v>2463</v>
      </c>
      <c r="Y731" s="1">
        <v>44749</v>
      </c>
      <c r="Z731" s="1">
        <v>44749</v>
      </c>
      <c r="AA731" s="2">
        <v>5684201.5999999996</v>
      </c>
      <c r="AB731" s="2">
        <v>4817120</v>
      </c>
      <c r="AC731" s="2">
        <v>867081.6</v>
      </c>
      <c r="AD731" s="2">
        <v>481712.19</v>
      </c>
      <c r="AE731" t="s">
        <v>2465</v>
      </c>
      <c r="AF731" t="s">
        <v>72</v>
      </c>
      <c r="AG731">
        <v>1329</v>
      </c>
      <c r="AH731" t="s">
        <v>473</v>
      </c>
      <c r="AI731" t="s">
        <v>74</v>
      </c>
      <c r="AJ731" t="s">
        <v>75</v>
      </c>
      <c r="AK731" t="s">
        <v>76</v>
      </c>
      <c r="AL731" t="s">
        <v>77</v>
      </c>
      <c r="AM731" t="s">
        <v>78</v>
      </c>
      <c r="AN731" t="s">
        <v>795</v>
      </c>
      <c r="AO731" t="s">
        <v>80</v>
      </c>
      <c r="AP731" t="e">
        <v>#N/A</v>
      </c>
      <c r="AQ731" t="s">
        <v>81</v>
      </c>
      <c r="AR731" t="str">
        <f t="shared" si="22"/>
        <v>60602462.STATAM</v>
      </c>
      <c r="AS731">
        <f t="shared" si="23"/>
        <v>3408979.5300000003</v>
      </c>
      <c r="AT731" t="s">
        <v>82</v>
      </c>
    </row>
    <row r="732" spans="1:46" x14ac:dyDescent="0.35">
      <c r="A732" t="s">
        <v>52</v>
      </c>
      <c r="B732" t="s">
        <v>53</v>
      </c>
      <c r="C732" t="s">
        <v>54</v>
      </c>
      <c r="D732" t="s">
        <v>55</v>
      </c>
      <c r="E732" t="s">
        <v>56</v>
      </c>
      <c r="F732" t="s">
        <v>2439</v>
      </c>
      <c r="G732" t="s">
        <v>2445</v>
      </c>
      <c r="H732" t="s">
        <v>56</v>
      </c>
      <c r="I732" t="s">
        <v>2466</v>
      </c>
      <c r="J732" t="s">
        <v>56</v>
      </c>
      <c r="K732" t="s">
        <v>62</v>
      </c>
      <c r="L732" t="s">
        <v>2447</v>
      </c>
      <c r="M732" t="s">
        <v>56</v>
      </c>
      <c r="N732" t="s">
        <v>2451</v>
      </c>
      <c r="O732" t="s">
        <v>887</v>
      </c>
      <c r="P732" t="s">
        <v>888</v>
      </c>
      <c r="Q732" t="s">
        <v>114</v>
      </c>
      <c r="R732" t="s">
        <v>67</v>
      </c>
      <c r="S732">
        <v>50000000</v>
      </c>
      <c r="T732">
        <v>15786419.140000001</v>
      </c>
      <c r="U732" t="s">
        <v>68</v>
      </c>
      <c r="V732" t="s">
        <v>2436</v>
      </c>
      <c r="W732" s="9">
        <v>60602462</v>
      </c>
      <c r="X732" t="s">
        <v>2467</v>
      </c>
      <c r="Y732" s="1">
        <v>44778</v>
      </c>
      <c r="Z732" s="1">
        <v>44778</v>
      </c>
      <c r="AA732" s="2">
        <v>2581368</v>
      </c>
      <c r="AB732" s="2">
        <v>2187600</v>
      </c>
      <c r="AC732" s="2">
        <v>393768</v>
      </c>
      <c r="AD732" s="2">
        <v>90314.97</v>
      </c>
      <c r="AE732" t="s">
        <v>2468</v>
      </c>
      <c r="AF732" t="s">
        <v>72</v>
      </c>
      <c r="AG732">
        <v>1300</v>
      </c>
      <c r="AH732" t="s">
        <v>473</v>
      </c>
      <c r="AI732" t="s">
        <v>74</v>
      </c>
      <c r="AJ732" t="s">
        <v>75</v>
      </c>
      <c r="AK732" t="s">
        <v>76</v>
      </c>
      <c r="AL732" t="s">
        <v>77</v>
      </c>
      <c r="AM732" t="s">
        <v>78</v>
      </c>
      <c r="AN732" t="s">
        <v>795</v>
      </c>
      <c r="AO732" t="s">
        <v>80</v>
      </c>
      <c r="AP732" t="e">
        <v>#N/A</v>
      </c>
      <c r="AQ732" t="s">
        <v>81</v>
      </c>
      <c r="AR732" t="str">
        <f t="shared" si="22"/>
        <v>60602462.STATAM</v>
      </c>
      <c r="AS732">
        <f t="shared" si="23"/>
        <v>3408979.5300000003</v>
      </c>
      <c r="AT732" t="s">
        <v>82</v>
      </c>
    </row>
    <row r="733" spans="1:46" x14ac:dyDescent="0.35">
      <c r="A733" t="s">
        <v>52</v>
      </c>
      <c r="B733" t="s">
        <v>53</v>
      </c>
      <c r="C733" t="s">
        <v>54</v>
      </c>
      <c r="D733" t="s">
        <v>55</v>
      </c>
      <c r="E733" t="s">
        <v>56</v>
      </c>
      <c r="F733" t="s">
        <v>2439</v>
      </c>
      <c r="G733" t="s">
        <v>2445</v>
      </c>
      <c r="H733" t="s">
        <v>56</v>
      </c>
      <c r="I733" t="s">
        <v>2466</v>
      </c>
      <c r="J733" t="s">
        <v>56</v>
      </c>
      <c r="K733" t="s">
        <v>62</v>
      </c>
      <c r="L733" t="s">
        <v>2447</v>
      </c>
      <c r="M733" t="s">
        <v>56</v>
      </c>
      <c r="N733" t="s">
        <v>2448</v>
      </c>
      <c r="O733" t="s">
        <v>887</v>
      </c>
      <c r="P733" t="s">
        <v>888</v>
      </c>
      <c r="Q733" t="s">
        <v>114</v>
      </c>
      <c r="R733" t="s">
        <v>67</v>
      </c>
      <c r="S733">
        <v>50000000</v>
      </c>
      <c r="T733">
        <v>15786419.140000001</v>
      </c>
      <c r="U733" t="s">
        <v>68</v>
      </c>
      <c r="V733" t="s">
        <v>2436</v>
      </c>
      <c r="W733" s="9">
        <v>60602462</v>
      </c>
      <c r="X733" t="s">
        <v>2467</v>
      </c>
      <c r="Y733" s="1">
        <v>44778</v>
      </c>
      <c r="Z733" s="1">
        <v>44778</v>
      </c>
      <c r="AA733" s="2">
        <v>2322240</v>
      </c>
      <c r="AB733" s="2">
        <v>1968000</v>
      </c>
      <c r="AC733" s="2">
        <v>354240</v>
      </c>
      <c r="AD733" s="2">
        <v>81248.800000000003</v>
      </c>
      <c r="AE733" t="s">
        <v>2469</v>
      </c>
      <c r="AF733" t="s">
        <v>72</v>
      </c>
      <c r="AG733">
        <v>1300</v>
      </c>
      <c r="AH733" t="s">
        <v>473</v>
      </c>
      <c r="AI733" t="s">
        <v>74</v>
      </c>
      <c r="AJ733" t="s">
        <v>75</v>
      </c>
      <c r="AK733" t="s">
        <v>76</v>
      </c>
      <c r="AL733" t="s">
        <v>77</v>
      </c>
      <c r="AM733" t="s">
        <v>78</v>
      </c>
      <c r="AN733" t="s">
        <v>795</v>
      </c>
      <c r="AO733" t="s">
        <v>80</v>
      </c>
      <c r="AP733" t="e">
        <v>#N/A</v>
      </c>
      <c r="AQ733" t="s">
        <v>81</v>
      </c>
      <c r="AR733" t="str">
        <f t="shared" si="22"/>
        <v>60602462.STATAM</v>
      </c>
      <c r="AS733">
        <f t="shared" si="23"/>
        <v>3408979.5300000003</v>
      </c>
      <c r="AT733" t="s">
        <v>82</v>
      </c>
    </row>
    <row r="734" spans="1:46" x14ac:dyDescent="0.35">
      <c r="A734" t="s">
        <v>52</v>
      </c>
      <c r="B734" t="s">
        <v>53</v>
      </c>
      <c r="C734" t="s">
        <v>54</v>
      </c>
      <c r="D734" t="s">
        <v>55</v>
      </c>
      <c r="E734" t="s">
        <v>56</v>
      </c>
      <c r="F734" t="s">
        <v>2439</v>
      </c>
      <c r="G734" t="s">
        <v>2456</v>
      </c>
      <c r="H734" t="s">
        <v>56</v>
      </c>
      <c r="I734" t="s">
        <v>2470</v>
      </c>
      <c r="J734" t="s">
        <v>56</v>
      </c>
      <c r="K734" t="s">
        <v>62</v>
      </c>
      <c r="L734" t="s">
        <v>2458</v>
      </c>
      <c r="M734" t="s">
        <v>56</v>
      </c>
      <c r="N734" t="s">
        <v>2448</v>
      </c>
      <c r="O734" t="s">
        <v>887</v>
      </c>
      <c r="P734" t="s">
        <v>888</v>
      </c>
      <c r="Q734" t="s">
        <v>393</v>
      </c>
      <c r="R734" t="s">
        <v>67</v>
      </c>
      <c r="S734">
        <v>50000000</v>
      </c>
      <c r="T734">
        <v>15786419.140000001</v>
      </c>
      <c r="U734" t="s">
        <v>68</v>
      </c>
      <c r="V734" t="s">
        <v>2436</v>
      </c>
      <c r="W734" s="9">
        <v>60602462</v>
      </c>
      <c r="X734" t="s">
        <v>2471</v>
      </c>
      <c r="Y734" s="1">
        <v>44778</v>
      </c>
      <c r="Z734" s="1">
        <v>44778</v>
      </c>
      <c r="AA734" s="2">
        <v>1161120</v>
      </c>
      <c r="AB734" s="2">
        <v>984000</v>
      </c>
      <c r="AC734" s="2">
        <v>177120</v>
      </c>
      <c r="AD734" s="2">
        <v>98301.6</v>
      </c>
      <c r="AE734" t="s">
        <v>2472</v>
      </c>
      <c r="AF734" t="s">
        <v>72</v>
      </c>
      <c r="AG734">
        <v>1300</v>
      </c>
      <c r="AH734" t="s">
        <v>473</v>
      </c>
      <c r="AI734" t="s">
        <v>74</v>
      </c>
      <c r="AJ734" t="s">
        <v>75</v>
      </c>
      <c r="AK734" t="s">
        <v>76</v>
      </c>
      <c r="AL734" t="s">
        <v>77</v>
      </c>
      <c r="AM734" t="s">
        <v>78</v>
      </c>
      <c r="AN734" t="s">
        <v>795</v>
      </c>
      <c r="AO734" t="s">
        <v>80</v>
      </c>
      <c r="AP734" t="e">
        <v>#N/A</v>
      </c>
      <c r="AQ734" t="s">
        <v>81</v>
      </c>
      <c r="AR734" t="str">
        <f t="shared" si="22"/>
        <v>60602462.STATAM</v>
      </c>
      <c r="AS734">
        <f t="shared" si="23"/>
        <v>3408979.5300000003</v>
      </c>
      <c r="AT734" t="s">
        <v>82</v>
      </c>
    </row>
    <row r="735" spans="1:46" x14ac:dyDescent="0.35">
      <c r="A735" t="s">
        <v>52</v>
      </c>
      <c r="B735" t="s">
        <v>53</v>
      </c>
      <c r="C735" t="s">
        <v>54</v>
      </c>
      <c r="D735" t="s">
        <v>55</v>
      </c>
      <c r="E735" t="s">
        <v>56</v>
      </c>
      <c r="F735" t="s">
        <v>2439</v>
      </c>
      <c r="G735" t="s">
        <v>2456</v>
      </c>
      <c r="H735" t="s">
        <v>56</v>
      </c>
      <c r="I735" t="s">
        <v>2470</v>
      </c>
      <c r="J735" t="s">
        <v>56</v>
      </c>
      <c r="K735" t="s">
        <v>62</v>
      </c>
      <c r="L735" t="s">
        <v>2458</v>
      </c>
      <c r="M735" t="s">
        <v>56</v>
      </c>
      <c r="N735" t="s">
        <v>2451</v>
      </c>
      <c r="O735" t="s">
        <v>887</v>
      </c>
      <c r="P735" t="s">
        <v>888</v>
      </c>
      <c r="Q735" t="s">
        <v>393</v>
      </c>
      <c r="R735" t="s">
        <v>67</v>
      </c>
      <c r="S735">
        <v>50000000</v>
      </c>
      <c r="T735">
        <v>15786419.140000001</v>
      </c>
      <c r="U735" t="s">
        <v>68</v>
      </c>
      <c r="V735" t="s">
        <v>2436</v>
      </c>
      <c r="W735" s="9">
        <v>60602462</v>
      </c>
      <c r="X735" t="s">
        <v>2471</v>
      </c>
      <c r="Y735" s="1">
        <v>44778</v>
      </c>
      <c r="Z735" s="1">
        <v>44778</v>
      </c>
      <c r="AA735" s="2">
        <v>1720912</v>
      </c>
      <c r="AB735" s="2">
        <v>1458400</v>
      </c>
      <c r="AC735" s="2">
        <v>262512</v>
      </c>
      <c r="AD735" s="2">
        <v>145694.16</v>
      </c>
      <c r="AE735" t="s">
        <v>2473</v>
      </c>
      <c r="AF735" t="s">
        <v>72</v>
      </c>
      <c r="AG735">
        <v>1300</v>
      </c>
      <c r="AH735" t="s">
        <v>473</v>
      </c>
      <c r="AI735" t="s">
        <v>74</v>
      </c>
      <c r="AJ735" t="s">
        <v>75</v>
      </c>
      <c r="AK735" t="s">
        <v>76</v>
      </c>
      <c r="AL735" t="s">
        <v>77</v>
      </c>
      <c r="AM735" t="s">
        <v>78</v>
      </c>
      <c r="AN735" t="s">
        <v>795</v>
      </c>
      <c r="AO735" t="s">
        <v>80</v>
      </c>
      <c r="AP735" t="e">
        <v>#N/A</v>
      </c>
      <c r="AQ735" t="s">
        <v>81</v>
      </c>
      <c r="AR735" t="str">
        <f t="shared" si="22"/>
        <v>60602462.STATAM</v>
      </c>
      <c r="AS735">
        <f t="shared" si="23"/>
        <v>3408979.5300000003</v>
      </c>
      <c r="AT735" t="s">
        <v>82</v>
      </c>
    </row>
    <row r="736" spans="1:46" x14ac:dyDescent="0.35">
      <c r="A736" t="s">
        <v>52</v>
      </c>
      <c r="B736" t="s">
        <v>53</v>
      </c>
      <c r="C736" t="s">
        <v>54</v>
      </c>
      <c r="D736" t="s">
        <v>55</v>
      </c>
      <c r="E736" t="s">
        <v>56</v>
      </c>
      <c r="F736" t="s">
        <v>2439</v>
      </c>
      <c r="G736" t="s">
        <v>2474</v>
      </c>
      <c r="H736" t="s">
        <v>153</v>
      </c>
      <c r="I736" t="s">
        <v>2475</v>
      </c>
      <c r="J736" t="s">
        <v>56</v>
      </c>
      <c r="K736" t="s">
        <v>62</v>
      </c>
      <c r="L736" t="s">
        <v>56</v>
      </c>
      <c r="M736" t="s">
        <v>56</v>
      </c>
      <c r="N736" t="s">
        <v>155</v>
      </c>
      <c r="O736" t="s">
        <v>2476</v>
      </c>
      <c r="P736" t="s">
        <v>2477</v>
      </c>
      <c r="Q736" t="s">
        <v>393</v>
      </c>
      <c r="R736" t="s">
        <v>67</v>
      </c>
      <c r="S736">
        <v>50000000</v>
      </c>
      <c r="T736">
        <v>15786419.140000001</v>
      </c>
      <c r="U736" t="s">
        <v>68</v>
      </c>
      <c r="V736" t="s">
        <v>2436</v>
      </c>
      <c r="W736" s="9">
        <v>60602462</v>
      </c>
      <c r="X736" t="s">
        <v>2478</v>
      </c>
      <c r="Y736" s="1">
        <v>44803</v>
      </c>
      <c r="Z736" s="1">
        <v>44833</v>
      </c>
      <c r="AA736" s="2">
        <v>4107020.18</v>
      </c>
      <c r="AB736" s="2">
        <v>3480525.57</v>
      </c>
      <c r="AC736" s="2">
        <v>626494.61</v>
      </c>
      <c r="AD736" s="2">
        <v>4107020.18</v>
      </c>
      <c r="AE736" t="s">
        <v>2479</v>
      </c>
      <c r="AF736" t="s">
        <v>72</v>
      </c>
      <c r="AG736">
        <v>1245</v>
      </c>
      <c r="AH736" t="s">
        <v>473</v>
      </c>
      <c r="AI736" t="s">
        <v>74</v>
      </c>
      <c r="AJ736" t="s">
        <v>75</v>
      </c>
      <c r="AK736" t="s">
        <v>102</v>
      </c>
      <c r="AL736" t="s">
        <v>77</v>
      </c>
      <c r="AM736" t="s">
        <v>103</v>
      </c>
      <c r="AN736" t="s">
        <v>2346</v>
      </c>
      <c r="AO736" t="s">
        <v>80</v>
      </c>
      <c r="AP736" t="e">
        <v>#N/A</v>
      </c>
      <c r="AQ736" t="s">
        <v>105</v>
      </c>
      <c r="AR736" t="str">
        <f t="shared" si="22"/>
        <v>60602462.STATEQ</v>
      </c>
      <c r="AS736">
        <f t="shared" si="23"/>
        <v>30804601.330000006</v>
      </c>
      <c r="AT736" t="s">
        <v>82</v>
      </c>
    </row>
    <row r="737" spans="1:46" x14ac:dyDescent="0.35">
      <c r="A737" t="s">
        <v>52</v>
      </c>
      <c r="B737" t="s">
        <v>53</v>
      </c>
      <c r="C737" t="s">
        <v>54</v>
      </c>
      <c r="D737" t="s">
        <v>55</v>
      </c>
      <c r="E737" t="s">
        <v>56</v>
      </c>
      <c r="F737" t="s">
        <v>2439</v>
      </c>
      <c r="G737" t="s">
        <v>2474</v>
      </c>
      <c r="H737" t="s">
        <v>153</v>
      </c>
      <c r="I737" t="s">
        <v>2475</v>
      </c>
      <c r="J737" t="s">
        <v>56</v>
      </c>
      <c r="K737" t="s">
        <v>62</v>
      </c>
      <c r="L737" t="s">
        <v>56</v>
      </c>
      <c r="M737" t="s">
        <v>56</v>
      </c>
      <c r="N737" t="s">
        <v>155</v>
      </c>
      <c r="O737" t="s">
        <v>2476</v>
      </c>
      <c r="P737" t="s">
        <v>2477</v>
      </c>
      <c r="Q737" t="s">
        <v>393</v>
      </c>
      <c r="R737" t="s">
        <v>67</v>
      </c>
      <c r="S737">
        <v>50000000</v>
      </c>
      <c r="T737">
        <v>15786419.140000001</v>
      </c>
      <c r="U737" t="s">
        <v>68</v>
      </c>
      <c r="V737" t="s">
        <v>2436</v>
      </c>
      <c r="W737" s="9">
        <v>60602462</v>
      </c>
      <c r="X737" t="s">
        <v>2480</v>
      </c>
      <c r="Y737" s="1">
        <v>44803</v>
      </c>
      <c r="Z737" s="1">
        <v>44833</v>
      </c>
      <c r="AA737" s="2">
        <v>2151296.2799999998</v>
      </c>
      <c r="AB737" s="2">
        <v>1823132.44</v>
      </c>
      <c r="AC737" s="2">
        <v>328163.84000000003</v>
      </c>
      <c r="AD737" s="2">
        <v>2151296.2799999998</v>
      </c>
      <c r="AE737" t="s">
        <v>2481</v>
      </c>
      <c r="AF737" t="s">
        <v>72</v>
      </c>
      <c r="AG737">
        <v>1245</v>
      </c>
      <c r="AH737" t="s">
        <v>473</v>
      </c>
      <c r="AI737" t="s">
        <v>74</v>
      </c>
      <c r="AJ737" t="s">
        <v>75</v>
      </c>
      <c r="AK737" t="s">
        <v>102</v>
      </c>
      <c r="AL737" t="s">
        <v>77</v>
      </c>
      <c r="AM737" t="s">
        <v>103</v>
      </c>
      <c r="AN737" t="s">
        <v>2346</v>
      </c>
      <c r="AO737" t="s">
        <v>80</v>
      </c>
      <c r="AP737" t="e">
        <v>#N/A</v>
      </c>
      <c r="AQ737" t="s">
        <v>105</v>
      </c>
      <c r="AR737" t="str">
        <f t="shared" si="22"/>
        <v>60602462.STATEQ</v>
      </c>
      <c r="AS737">
        <f t="shared" si="23"/>
        <v>30804601.330000006</v>
      </c>
      <c r="AT737" t="s">
        <v>82</v>
      </c>
    </row>
    <row r="738" spans="1:46" x14ac:dyDescent="0.35">
      <c r="A738" t="s">
        <v>52</v>
      </c>
      <c r="B738" t="s">
        <v>53</v>
      </c>
      <c r="C738" t="s">
        <v>54</v>
      </c>
      <c r="D738" t="s">
        <v>55</v>
      </c>
      <c r="E738" t="s">
        <v>56</v>
      </c>
      <c r="F738" t="s">
        <v>2439</v>
      </c>
      <c r="G738" t="s">
        <v>2474</v>
      </c>
      <c r="H738" t="s">
        <v>153</v>
      </c>
      <c r="I738" t="s">
        <v>2475</v>
      </c>
      <c r="J738" t="s">
        <v>56</v>
      </c>
      <c r="K738" t="s">
        <v>62</v>
      </c>
      <c r="L738" t="s">
        <v>56</v>
      </c>
      <c r="M738" t="s">
        <v>56</v>
      </c>
      <c r="N738" t="s">
        <v>155</v>
      </c>
      <c r="O738" t="s">
        <v>2476</v>
      </c>
      <c r="P738" t="s">
        <v>2477</v>
      </c>
      <c r="Q738" t="s">
        <v>393</v>
      </c>
      <c r="R738" t="s">
        <v>67</v>
      </c>
      <c r="S738">
        <v>50000000</v>
      </c>
      <c r="T738">
        <v>15786419.140000001</v>
      </c>
      <c r="U738" t="s">
        <v>68</v>
      </c>
      <c r="V738" t="s">
        <v>2436</v>
      </c>
      <c r="W738" s="9">
        <v>60602462</v>
      </c>
      <c r="X738" t="s">
        <v>2482</v>
      </c>
      <c r="Y738" s="1">
        <v>44803</v>
      </c>
      <c r="Z738" s="1">
        <v>44833</v>
      </c>
      <c r="AA738" s="2">
        <v>4107020.18</v>
      </c>
      <c r="AB738" s="2">
        <v>3480525.57</v>
      </c>
      <c r="AC738" s="2">
        <v>626494.61</v>
      </c>
      <c r="AD738" s="2">
        <v>4107020.18</v>
      </c>
      <c r="AE738" t="s">
        <v>2483</v>
      </c>
      <c r="AF738" t="s">
        <v>72</v>
      </c>
      <c r="AG738">
        <v>1245</v>
      </c>
      <c r="AH738" t="s">
        <v>473</v>
      </c>
      <c r="AI738" t="s">
        <v>74</v>
      </c>
      <c r="AJ738" t="s">
        <v>75</v>
      </c>
      <c r="AK738" t="s">
        <v>102</v>
      </c>
      <c r="AL738" t="s">
        <v>77</v>
      </c>
      <c r="AM738" t="s">
        <v>103</v>
      </c>
      <c r="AN738" t="s">
        <v>2346</v>
      </c>
      <c r="AO738" t="s">
        <v>80</v>
      </c>
      <c r="AP738" t="e">
        <v>#N/A</v>
      </c>
      <c r="AQ738" t="s">
        <v>105</v>
      </c>
      <c r="AR738" t="str">
        <f t="shared" si="22"/>
        <v>60602462.STATEQ</v>
      </c>
      <c r="AS738">
        <f t="shared" si="23"/>
        <v>30804601.330000006</v>
      </c>
      <c r="AT738" t="s">
        <v>82</v>
      </c>
    </row>
    <row r="739" spans="1:46" x14ac:dyDescent="0.35">
      <c r="A739" t="s">
        <v>52</v>
      </c>
      <c r="B739" t="s">
        <v>53</v>
      </c>
      <c r="C739" t="s">
        <v>54</v>
      </c>
      <c r="D739" t="s">
        <v>55</v>
      </c>
      <c r="E739" t="s">
        <v>56</v>
      </c>
      <c r="F739" t="s">
        <v>2439</v>
      </c>
      <c r="G739" t="s">
        <v>2474</v>
      </c>
      <c r="H739" t="s">
        <v>153</v>
      </c>
      <c r="I739" t="s">
        <v>2475</v>
      </c>
      <c r="J739" t="s">
        <v>56</v>
      </c>
      <c r="K739" t="s">
        <v>62</v>
      </c>
      <c r="L739" t="s">
        <v>56</v>
      </c>
      <c r="M739" t="s">
        <v>56</v>
      </c>
      <c r="N739" t="s">
        <v>155</v>
      </c>
      <c r="O739" t="s">
        <v>2476</v>
      </c>
      <c r="P739" t="s">
        <v>2477</v>
      </c>
      <c r="Q739" t="s">
        <v>393</v>
      </c>
      <c r="R739" t="s">
        <v>67</v>
      </c>
      <c r="S739">
        <v>50000000</v>
      </c>
      <c r="T739">
        <v>15786419.140000001</v>
      </c>
      <c r="U739" t="s">
        <v>68</v>
      </c>
      <c r="V739" t="s">
        <v>2436</v>
      </c>
      <c r="W739" s="9">
        <v>60602462</v>
      </c>
      <c r="X739" t="s">
        <v>2484</v>
      </c>
      <c r="Y739" s="1">
        <v>44809</v>
      </c>
      <c r="Z739" s="1">
        <v>44839</v>
      </c>
      <c r="AA739" s="2">
        <v>3870703.52</v>
      </c>
      <c r="AB739" s="2">
        <v>3280257.22</v>
      </c>
      <c r="AC739" s="2">
        <v>590446.30000000005</v>
      </c>
      <c r="AD739" s="2">
        <v>3870703.52</v>
      </c>
      <c r="AE739" t="s">
        <v>2485</v>
      </c>
      <c r="AF739" t="s">
        <v>72</v>
      </c>
      <c r="AG739">
        <v>1239</v>
      </c>
      <c r="AH739" t="s">
        <v>473</v>
      </c>
      <c r="AI739" t="s">
        <v>74</v>
      </c>
      <c r="AJ739" t="s">
        <v>75</v>
      </c>
      <c r="AK739" t="s">
        <v>102</v>
      </c>
      <c r="AL739" t="s">
        <v>77</v>
      </c>
      <c r="AM739" t="s">
        <v>103</v>
      </c>
      <c r="AN739" t="s">
        <v>2346</v>
      </c>
      <c r="AO739" t="s">
        <v>80</v>
      </c>
      <c r="AP739" t="e">
        <v>#N/A</v>
      </c>
      <c r="AQ739" t="s">
        <v>105</v>
      </c>
      <c r="AR739" t="str">
        <f t="shared" si="22"/>
        <v>60602462.STATEQ</v>
      </c>
      <c r="AS739">
        <f t="shared" si="23"/>
        <v>30804601.330000006</v>
      </c>
      <c r="AT739" t="s">
        <v>82</v>
      </c>
    </row>
    <row r="740" spans="1:46" x14ac:dyDescent="0.35">
      <c r="A740" t="s">
        <v>52</v>
      </c>
      <c r="B740" t="s">
        <v>53</v>
      </c>
      <c r="C740" t="s">
        <v>54</v>
      </c>
      <c r="D740" t="s">
        <v>55</v>
      </c>
      <c r="E740" t="s">
        <v>56</v>
      </c>
      <c r="F740" t="s">
        <v>2439</v>
      </c>
      <c r="G740" t="s">
        <v>2474</v>
      </c>
      <c r="H740" t="s">
        <v>153</v>
      </c>
      <c r="I740" t="s">
        <v>2486</v>
      </c>
      <c r="J740" t="s">
        <v>56</v>
      </c>
      <c r="K740" t="s">
        <v>62</v>
      </c>
      <c r="L740" t="s">
        <v>56</v>
      </c>
      <c r="M740" t="s">
        <v>56</v>
      </c>
      <c r="N740" t="s">
        <v>155</v>
      </c>
      <c r="O740" t="s">
        <v>2476</v>
      </c>
      <c r="P740" t="s">
        <v>2477</v>
      </c>
      <c r="Q740" t="s">
        <v>114</v>
      </c>
      <c r="R740" t="s">
        <v>67</v>
      </c>
      <c r="S740">
        <v>50000000</v>
      </c>
      <c r="T740">
        <v>15786419.140000001</v>
      </c>
      <c r="U740" t="s">
        <v>68</v>
      </c>
      <c r="V740" t="s">
        <v>2436</v>
      </c>
      <c r="W740" s="9">
        <v>60602462</v>
      </c>
      <c r="X740" t="s">
        <v>2487</v>
      </c>
      <c r="Y740" s="1">
        <v>44817</v>
      </c>
      <c r="Z740" s="1">
        <v>44847</v>
      </c>
      <c r="AA740" s="2">
        <v>11283759.890000001</v>
      </c>
      <c r="AB740" s="2">
        <v>9562508.3800000008</v>
      </c>
      <c r="AC740" s="2">
        <v>1721251.51</v>
      </c>
      <c r="AD740" s="2">
        <v>382818.78</v>
      </c>
      <c r="AE740" t="s">
        <v>2488</v>
      </c>
      <c r="AF740" t="s">
        <v>72</v>
      </c>
      <c r="AG740">
        <v>1231</v>
      </c>
      <c r="AH740" t="s">
        <v>473</v>
      </c>
      <c r="AI740" t="s">
        <v>74</v>
      </c>
      <c r="AJ740" t="s">
        <v>75</v>
      </c>
      <c r="AK740" t="s">
        <v>102</v>
      </c>
      <c r="AL740" t="s">
        <v>77</v>
      </c>
      <c r="AM740" t="s">
        <v>103</v>
      </c>
      <c r="AN740" t="s">
        <v>2346</v>
      </c>
      <c r="AO740" t="s">
        <v>80</v>
      </c>
      <c r="AP740" t="e">
        <v>#N/A</v>
      </c>
      <c r="AQ740" t="s">
        <v>105</v>
      </c>
      <c r="AR740" t="str">
        <f t="shared" si="22"/>
        <v>60602462.STATEQ</v>
      </c>
      <c r="AS740">
        <f t="shared" si="23"/>
        <v>30804601.330000006</v>
      </c>
      <c r="AT740" t="s">
        <v>82</v>
      </c>
    </row>
    <row r="741" spans="1:46" x14ac:dyDescent="0.35">
      <c r="A741" t="s">
        <v>52</v>
      </c>
      <c r="B741" t="s">
        <v>53</v>
      </c>
      <c r="C741" t="s">
        <v>54</v>
      </c>
      <c r="D741" t="s">
        <v>55</v>
      </c>
      <c r="E741" t="s">
        <v>56</v>
      </c>
      <c r="F741" t="s">
        <v>2439</v>
      </c>
      <c r="G741" t="s">
        <v>2474</v>
      </c>
      <c r="H741" t="s">
        <v>153</v>
      </c>
      <c r="I741" t="s">
        <v>2486</v>
      </c>
      <c r="J741" t="s">
        <v>56</v>
      </c>
      <c r="K741" t="s">
        <v>62</v>
      </c>
      <c r="L741" t="s">
        <v>56</v>
      </c>
      <c r="M741" t="s">
        <v>56</v>
      </c>
      <c r="N741" t="s">
        <v>155</v>
      </c>
      <c r="O741" t="s">
        <v>2476</v>
      </c>
      <c r="P741" t="s">
        <v>2477</v>
      </c>
      <c r="Q741" t="s">
        <v>114</v>
      </c>
      <c r="R741" t="s">
        <v>67</v>
      </c>
      <c r="S741">
        <v>50000000</v>
      </c>
      <c r="T741">
        <v>15786419.140000001</v>
      </c>
      <c r="U741" t="s">
        <v>68</v>
      </c>
      <c r="V741" t="s">
        <v>2436</v>
      </c>
      <c r="W741" s="9">
        <v>60602462</v>
      </c>
      <c r="X741" t="s">
        <v>2489</v>
      </c>
      <c r="Y741" s="1">
        <v>44817</v>
      </c>
      <c r="Z741" s="1">
        <v>44847</v>
      </c>
      <c r="AA741" s="2">
        <v>1538694.54</v>
      </c>
      <c r="AB741" s="2">
        <v>1303978.42</v>
      </c>
      <c r="AC741" s="2">
        <v>234716.12</v>
      </c>
      <c r="AD741" s="2">
        <v>1538694.54</v>
      </c>
      <c r="AE741" t="s">
        <v>2490</v>
      </c>
      <c r="AF741" t="s">
        <v>72</v>
      </c>
      <c r="AG741">
        <v>1231</v>
      </c>
      <c r="AH741" t="s">
        <v>473</v>
      </c>
      <c r="AI741" t="s">
        <v>74</v>
      </c>
      <c r="AJ741" t="s">
        <v>75</v>
      </c>
      <c r="AK741" t="s">
        <v>102</v>
      </c>
      <c r="AL741" t="s">
        <v>77</v>
      </c>
      <c r="AM741" t="s">
        <v>103</v>
      </c>
      <c r="AN741" t="s">
        <v>2346</v>
      </c>
      <c r="AO741" t="s">
        <v>80</v>
      </c>
      <c r="AP741" t="e">
        <v>#N/A</v>
      </c>
      <c r="AQ741" t="s">
        <v>105</v>
      </c>
      <c r="AR741" t="str">
        <f t="shared" si="22"/>
        <v>60602462.STATEQ</v>
      </c>
      <c r="AS741">
        <f t="shared" si="23"/>
        <v>30804601.330000006</v>
      </c>
      <c r="AT741" t="s">
        <v>82</v>
      </c>
    </row>
    <row r="742" spans="1:46" x14ac:dyDescent="0.35">
      <c r="A742" t="s">
        <v>52</v>
      </c>
      <c r="B742" t="s">
        <v>53</v>
      </c>
      <c r="C742" t="s">
        <v>54</v>
      </c>
      <c r="D742" t="s">
        <v>55</v>
      </c>
      <c r="E742" t="s">
        <v>56</v>
      </c>
      <c r="F742" t="s">
        <v>2439</v>
      </c>
      <c r="G742" t="s">
        <v>2474</v>
      </c>
      <c r="H742" t="s">
        <v>153</v>
      </c>
      <c r="I742" t="s">
        <v>2486</v>
      </c>
      <c r="J742" t="s">
        <v>56</v>
      </c>
      <c r="K742" t="s">
        <v>62</v>
      </c>
      <c r="L742" t="s">
        <v>56</v>
      </c>
      <c r="M742" t="s">
        <v>56</v>
      </c>
      <c r="N742" t="s">
        <v>155</v>
      </c>
      <c r="O742" t="s">
        <v>2476</v>
      </c>
      <c r="P742" t="s">
        <v>2477</v>
      </c>
      <c r="Q742" t="s">
        <v>114</v>
      </c>
      <c r="R742" t="s">
        <v>67</v>
      </c>
      <c r="S742">
        <v>50000000</v>
      </c>
      <c r="T742">
        <v>15786419.140000001</v>
      </c>
      <c r="U742" t="s">
        <v>68</v>
      </c>
      <c r="V742" t="s">
        <v>2436</v>
      </c>
      <c r="W742" s="9">
        <v>60602462</v>
      </c>
      <c r="X742" t="s">
        <v>2491</v>
      </c>
      <c r="Y742" s="1">
        <v>44827</v>
      </c>
      <c r="Z742" s="1">
        <v>44857</v>
      </c>
      <c r="AA742" s="2">
        <v>782289.57</v>
      </c>
      <c r="AB742" s="2">
        <v>662957.25</v>
      </c>
      <c r="AC742" s="2">
        <v>119332.32</v>
      </c>
      <c r="AD742" s="2">
        <v>782289.57</v>
      </c>
      <c r="AE742" t="s">
        <v>2492</v>
      </c>
      <c r="AF742" t="s">
        <v>72</v>
      </c>
      <c r="AG742">
        <v>1221</v>
      </c>
      <c r="AH742" t="s">
        <v>473</v>
      </c>
      <c r="AI742" t="s">
        <v>74</v>
      </c>
      <c r="AJ742" t="s">
        <v>75</v>
      </c>
      <c r="AK742" t="s">
        <v>102</v>
      </c>
      <c r="AL742" t="s">
        <v>77</v>
      </c>
      <c r="AM742" t="s">
        <v>103</v>
      </c>
      <c r="AN742" t="s">
        <v>2346</v>
      </c>
      <c r="AO742" t="s">
        <v>80</v>
      </c>
      <c r="AP742" t="e">
        <v>#N/A</v>
      </c>
      <c r="AQ742" t="s">
        <v>105</v>
      </c>
      <c r="AR742" t="str">
        <f t="shared" si="22"/>
        <v>60602462.STATEQ</v>
      </c>
      <c r="AS742">
        <f t="shared" si="23"/>
        <v>30804601.330000006</v>
      </c>
      <c r="AT742" t="s">
        <v>82</v>
      </c>
    </row>
    <row r="743" spans="1:46" x14ac:dyDescent="0.35">
      <c r="A743" t="s">
        <v>52</v>
      </c>
      <c r="B743" t="s">
        <v>53</v>
      </c>
      <c r="C743" t="s">
        <v>54</v>
      </c>
      <c r="D743" t="s">
        <v>55</v>
      </c>
      <c r="E743" t="s">
        <v>56</v>
      </c>
      <c r="F743" t="s">
        <v>2439</v>
      </c>
      <c r="G743" t="s">
        <v>2474</v>
      </c>
      <c r="H743" t="s">
        <v>153</v>
      </c>
      <c r="I743" t="s">
        <v>2486</v>
      </c>
      <c r="J743" t="s">
        <v>56</v>
      </c>
      <c r="K743" t="s">
        <v>62</v>
      </c>
      <c r="L743" t="s">
        <v>56</v>
      </c>
      <c r="M743" t="s">
        <v>56</v>
      </c>
      <c r="N743" t="s">
        <v>155</v>
      </c>
      <c r="O743" t="s">
        <v>2476</v>
      </c>
      <c r="P743" t="s">
        <v>2477</v>
      </c>
      <c r="Q743" t="s">
        <v>114</v>
      </c>
      <c r="R743" t="s">
        <v>67</v>
      </c>
      <c r="S743">
        <v>50000000</v>
      </c>
      <c r="T743">
        <v>15786419.140000001</v>
      </c>
      <c r="U743" t="s">
        <v>68</v>
      </c>
      <c r="V743" t="s">
        <v>2436</v>
      </c>
      <c r="W743" s="9">
        <v>60602462</v>
      </c>
      <c r="X743" t="s">
        <v>2493</v>
      </c>
      <c r="Y743" s="1">
        <v>44827</v>
      </c>
      <c r="Z743" s="1">
        <v>44857</v>
      </c>
      <c r="AA743" s="2">
        <v>910753.76</v>
      </c>
      <c r="AB743" s="2">
        <v>771825.22</v>
      </c>
      <c r="AC743" s="2">
        <v>138928.54</v>
      </c>
      <c r="AD743" s="2">
        <v>910753.76</v>
      </c>
      <c r="AE743" t="s">
        <v>2494</v>
      </c>
      <c r="AF743" t="s">
        <v>72</v>
      </c>
      <c r="AG743">
        <v>1221</v>
      </c>
      <c r="AH743" t="s">
        <v>473</v>
      </c>
      <c r="AI743" t="s">
        <v>74</v>
      </c>
      <c r="AJ743" t="s">
        <v>75</v>
      </c>
      <c r="AK743" t="s">
        <v>102</v>
      </c>
      <c r="AL743" t="s">
        <v>77</v>
      </c>
      <c r="AM743" t="s">
        <v>103</v>
      </c>
      <c r="AN743" t="s">
        <v>2346</v>
      </c>
      <c r="AO743" t="s">
        <v>80</v>
      </c>
      <c r="AP743" t="e">
        <v>#N/A</v>
      </c>
      <c r="AQ743" t="s">
        <v>105</v>
      </c>
      <c r="AR743" t="str">
        <f t="shared" si="22"/>
        <v>60602462.STATEQ</v>
      </c>
      <c r="AS743">
        <f t="shared" si="23"/>
        <v>30804601.330000006</v>
      </c>
      <c r="AT743" t="s">
        <v>82</v>
      </c>
    </row>
    <row r="744" spans="1:46" x14ac:dyDescent="0.35">
      <c r="A744" t="s">
        <v>52</v>
      </c>
      <c r="B744" t="s">
        <v>53</v>
      </c>
      <c r="C744" t="s">
        <v>54</v>
      </c>
      <c r="D744" t="s">
        <v>55</v>
      </c>
      <c r="E744" t="s">
        <v>56</v>
      </c>
      <c r="F744" t="s">
        <v>2439</v>
      </c>
      <c r="G744" t="s">
        <v>2474</v>
      </c>
      <c r="H744" t="s">
        <v>153</v>
      </c>
      <c r="I744" t="s">
        <v>2475</v>
      </c>
      <c r="J744" t="s">
        <v>56</v>
      </c>
      <c r="K744" t="s">
        <v>62</v>
      </c>
      <c r="L744" t="s">
        <v>56</v>
      </c>
      <c r="M744" t="s">
        <v>56</v>
      </c>
      <c r="N744" t="s">
        <v>155</v>
      </c>
      <c r="O744" t="s">
        <v>2476</v>
      </c>
      <c r="P744" t="s">
        <v>2477</v>
      </c>
      <c r="Q744" t="s">
        <v>393</v>
      </c>
      <c r="R744" t="s">
        <v>67</v>
      </c>
      <c r="S744">
        <v>50000000</v>
      </c>
      <c r="T744">
        <v>15786419.140000001</v>
      </c>
      <c r="U744" t="s">
        <v>68</v>
      </c>
      <c r="V744" t="s">
        <v>2436</v>
      </c>
      <c r="W744" s="9">
        <v>60602462</v>
      </c>
      <c r="X744" t="s">
        <v>2495</v>
      </c>
      <c r="Y744" s="1">
        <v>44830</v>
      </c>
      <c r="Z744" s="1">
        <v>44860</v>
      </c>
      <c r="AA744" s="2">
        <v>455376.88</v>
      </c>
      <c r="AB744" s="2">
        <v>385912.61</v>
      </c>
      <c r="AC744" s="2">
        <v>69464.27</v>
      </c>
      <c r="AD744" s="2">
        <v>455376.88</v>
      </c>
      <c r="AE744" t="s">
        <v>2496</v>
      </c>
      <c r="AF744" t="s">
        <v>72</v>
      </c>
      <c r="AG744">
        <v>1218</v>
      </c>
      <c r="AH744" t="s">
        <v>473</v>
      </c>
      <c r="AI744" t="s">
        <v>74</v>
      </c>
      <c r="AJ744" t="s">
        <v>75</v>
      </c>
      <c r="AK744" t="s">
        <v>102</v>
      </c>
      <c r="AL744" t="s">
        <v>77</v>
      </c>
      <c r="AM744" t="s">
        <v>103</v>
      </c>
      <c r="AN744" t="s">
        <v>2346</v>
      </c>
      <c r="AO744" t="s">
        <v>80</v>
      </c>
      <c r="AP744" t="e">
        <v>#N/A</v>
      </c>
      <c r="AQ744" t="s">
        <v>105</v>
      </c>
      <c r="AR744" t="str">
        <f t="shared" si="22"/>
        <v>60602462.STATEQ</v>
      </c>
      <c r="AS744">
        <f t="shared" si="23"/>
        <v>30804601.330000006</v>
      </c>
      <c r="AT744" t="s">
        <v>82</v>
      </c>
    </row>
    <row r="745" spans="1:46" x14ac:dyDescent="0.35">
      <c r="A745" t="s">
        <v>52</v>
      </c>
      <c r="B745" t="s">
        <v>53</v>
      </c>
      <c r="C745" t="s">
        <v>54</v>
      </c>
      <c r="D745" t="s">
        <v>55</v>
      </c>
      <c r="E745" t="s">
        <v>56</v>
      </c>
      <c r="F745" t="s">
        <v>2439</v>
      </c>
      <c r="G745" t="s">
        <v>2474</v>
      </c>
      <c r="H745" t="s">
        <v>153</v>
      </c>
      <c r="I745" t="s">
        <v>2475</v>
      </c>
      <c r="J745" t="s">
        <v>56</v>
      </c>
      <c r="K745" t="s">
        <v>62</v>
      </c>
      <c r="L745" t="s">
        <v>56</v>
      </c>
      <c r="M745" t="s">
        <v>56</v>
      </c>
      <c r="N745" t="s">
        <v>155</v>
      </c>
      <c r="O745" t="s">
        <v>2476</v>
      </c>
      <c r="P745" t="s">
        <v>2477</v>
      </c>
      <c r="Q745" t="s">
        <v>393</v>
      </c>
      <c r="R745" t="s">
        <v>67</v>
      </c>
      <c r="S745">
        <v>50000000</v>
      </c>
      <c r="T745">
        <v>15786419.140000001</v>
      </c>
      <c r="U745" t="s">
        <v>68</v>
      </c>
      <c r="V745" t="s">
        <v>2436</v>
      </c>
      <c r="W745" s="9">
        <v>60602462</v>
      </c>
      <c r="X745" t="s">
        <v>2497</v>
      </c>
      <c r="Y745" s="1">
        <v>44831</v>
      </c>
      <c r="Z745" s="1">
        <v>44861</v>
      </c>
      <c r="AA745" s="2">
        <v>521526.37</v>
      </c>
      <c r="AB745" s="2">
        <v>441971.5</v>
      </c>
      <c r="AC745" s="2">
        <v>79554.87</v>
      </c>
      <c r="AD745" s="2">
        <v>521526.37</v>
      </c>
      <c r="AE745" t="s">
        <v>2498</v>
      </c>
      <c r="AF745" t="s">
        <v>72</v>
      </c>
      <c r="AG745">
        <v>1217</v>
      </c>
      <c r="AH745" t="s">
        <v>473</v>
      </c>
      <c r="AI745" t="s">
        <v>74</v>
      </c>
      <c r="AJ745" t="s">
        <v>75</v>
      </c>
      <c r="AK745" t="s">
        <v>102</v>
      </c>
      <c r="AL745" t="s">
        <v>77</v>
      </c>
      <c r="AM745" t="s">
        <v>103</v>
      </c>
      <c r="AN745" t="s">
        <v>2346</v>
      </c>
      <c r="AO745" t="s">
        <v>80</v>
      </c>
      <c r="AP745" t="e">
        <v>#N/A</v>
      </c>
      <c r="AQ745" t="s">
        <v>105</v>
      </c>
      <c r="AR745" t="str">
        <f t="shared" si="22"/>
        <v>60602462.STATEQ</v>
      </c>
      <c r="AS745">
        <f t="shared" si="23"/>
        <v>30804601.330000006</v>
      </c>
      <c r="AT745" t="s">
        <v>82</v>
      </c>
    </row>
    <row r="746" spans="1:46" x14ac:dyDescent="0.35">
      <c r="A746" t="s">
        <v>52</v>
      </c>
      <c r="B746" t="s">
        <v>53</v>
      </c>
      <c r="C746" t="s">
        <v>54</v>
      </c>
      <c r="D746" t="s">
        <v>55</v>
      </c>
      <c r="E746" t="s">
        <v>56</v>
      </c>
      <c r="F746" t="s">
        <v>2439</v>
      </c>
      <c r="G746" t="s">
        <v>2474</v>
      </c>
      <c r="H746" t="s">
        <v>153</v>
      </c>
      <c r="I746" t="s">
        <v>2475</v>
      </c>
      <c r="J746" t="s">
        <v>56</v>
      </c>
      <c r="K746" t="s">
        <v>62</v>
      </c>
      <c r="L746" t="s">
        <v>56</v>
      </c>
      <c r="M746" t="s">
        <v>56</v>
      </c>
      <c r="N746" t="s">
        <v>155</v>
      </c>
      <c r="O746" t="s">
        <v>2476</v>
      </c>
      <c r="P746" t="s">
        <v>2477</v>
      </c>
      <c r="Q746" t="s">
        <v>393</v>
      </c>
      <c r="R746" t="s">
        <v>67</v>
      </c>
      <c r="S746">
        <v>50000000</v>
      </c>
      <c r="T746">
        <v>15786419.140000001</v>
      </c>
      <c r="U746" t="s">
        <v>68</v>
      </c>
      <c r="V746" t="s">
        <v>2436</v>
      </c>
      <c r="W746" s="9">
        <v>60602462</v>
      </c>
      <c r="X746" t="s">
        <v>2499</v>
      </c>
      <c r="Y746" s="1">
        <v>44831</v>
      </c>
      <c r="Z746" s="1">
        <v>44861</v>
      </c>
      <c r="AA746" s="2">
        <v>260763.19</v>
      </c>
      <c r="AB746" s="2">
        <v>220985.75</v>
      </c>
      <c r="AC746" s="2">
        <v>39777.440000000002</v>
      </c>
      <c r="AD746" s="2">
        <v>260763.19</v>
      </c>
      <c r="AE746" t="s">
        <v>2500</v>
      </c>
      <c r="AF746" t="s">
        <v>72</v>
      </c>
      <c r="AG746">
        <v>1217</v>
      </c>
      <c r="AH746" t="s">
        <v>473</v>
      </c>
      <c r="AI746" t="s">
        <v>74</v>
      </c>
      <c r="AJ746" t="s">
        <v>75</v>
      </c>
      <c r="AK746" t="s">
        <v>102</v>
      </c>
      <c r="AL746" t="s">
        <v>77</v>
      </c>
      <c r="AM746" t="s">
        <v>103</v>
      </c>
      <c r="AN746" t="s">
        <v>2346</v>
      </c>
      <c r="AO746" t="s">
        <v>80</v>
      </c>
      <c r="AP746" t="e">
        <v>#N/A</v>
      </c>
      <c r="AQ746" t="s">
        <v>105</v>
      </c>
      <c r="AR746" t="str">
        <f t="shared" si="22"/>
        <v>60602462.STATEQ</v>
      </c>
      <c r="AS746">
        <f t="shared" si="23"/>
        <v>30804601.330000006</v>
      </c>
      <c r="AT746" t="s">
        <v>82</v>
      </c>
    </row>
    <row r="747" spans="1:46" x14ac:dyDescent="0.35">
      <c r="A747" t="s">
        <v>52</v>
      </c>
      <c r="B747" t="s">
        <v>53</v>
      </c>
      <c r="C747" t="s">
        <v>54</v>
      </c>
      <c r="D747" t="s">
        <v>55</v>
      </c>
      <c r="E747" t="s">
        <v>56</v>
      </c>
      <c r="F747" t="s">
        <v>2439</v>
      </c>
      <c r="G747" t="s">
        <v>2474</v>
      </c>
      <c r="H747" t="s">
        <v>153</v>
      </c>
      <c r="I747" t="s">
        <v>2475</v>
      </c>
      <c r="J747" t="s">
        <v>56</v>
      </c>
      <c r="K747" t="s">
        <v>62</v>
      </c>
      <c r="L747" t="s">
        <v>56</v>
      </c>
      <c r="M747" t="s">
        <v>56</v>
      </c>
      <c r="N747" t="s">
        <v>155</v>
      </c>
      <c r="O747" t="s">
        <v>2476</v>
      </c>
      <c r="P747" t="s">
        <v>2477</v>
      </c>
      <c r="Q747" t="s">
        <v>393</v>
      </c>
      <c r="R747" t="s">
        <v>67</v>
      </c>
      <c r="S747">
        <v>50000000</v>
      </c>
      <c r="T747">
        <v>15786419.140000001</v>
      </c>
      <c r="U747" t="s">
        <v>68</v>
      </c>
      <c r="V747" t="s">
        <v>2436</v>
      </c>
      <c r="W747" s="9">
        <v>60602462</v>
      </c>
      <c r="X747" t="s">
        <v>2501</v>
      </c>
      <c r="Y747" s="1">
        <v>44832</v>
      </c>
      <c r="Z747" s="1">
        <v>44862</v>
      </c>
      <c r="AA747" s="2">
        <v>1343002.32</v>
      </c>
      <c r="AB747" s="2">
        <v>1138137.57</v>
      </c>
      <c r="AC747" s="2">
        <v>204864.75</v>
      </c>
      <c r="AD747" s="2">
        <v>1343002.32</v>
      </c>
      <c r="AE747" t="s">
        <v>2502</v>
      </c>
      <c r="AF747" t="s">
        <v>72</v>
      </c>
      <c r="AG747">
        <v>1216</v>
      </c>
      <c r="AH747" t="s">
        <v>473</v>
      </c>
      <c r="AI747" t="s">
        <v>74</v>
      </c>
      <c r="AJ747" t="s">
        <v>75</v>
      </c>
      <c r="AK747" t="s">
        <v>102</v>
      </c>
      <c r="AL747" t="s">
        <v>77</v>
      </c>
      <c r="AM747" t="s">
        <v>103</v>
      </c>
      <c r="AN747" t="s">
        <v>2346</v>
      </c>
      <c r="AO747" t="s">
        <v>80</v>
      </c>
      <c r="AP747" t="e">
        <v>#N/A</v>
      </c>
      <c r="AQ747" t="s">
        <v>105</v>
      </c>
      <c r="AR747" t="str">
        <f t="shared" si="22"/>
        <v>60602462.STATEQ</v>
      </c>
      <c r="AS747">
        <f t="shared" si="23"/>
        <v>30804601.330000006</v>
      </c>
      <c r="AT747" t="s">
        <v>82</v>
      </c>
    </row>
    <row r="748" spans="1:46" x14ac:dyDescent="0.35">
      <c r="A748" t="s">
        <v>52</v>
      </c>
      <c r="B748" t="s">
        <v>53</v>
      </c>
      <c r="C748" t="s">
        <v>54</v>
      </c>
      <c r="D748" t="s">
        <v>55</v>
      </c>
      <c r="E748" t="s">
        <v>56</v>
      </c>
      <c r="F748" t="s">
        <v>2439</v>
      </c>
      <c r="G748" t="s">
        <v>2474</v>
      </c>
      <c r="H748" t="s">
        <v>153</v>
      </c>
      <c r="I748" t="s">
        <v>2486</v>
      </c>
      <c r="J748" t="s">
        <v>56</v>
      </c>
      <c r="K748" t="s">
        <v>62</v>
      </c>
      <c r="L748" t="s">
        <v>56</v>
      </c>
      <c r="M748" t="s">
        <v>56</v>
      </c>
      <c r="N748" t="s">
        <v>155</v>
      </c>
      <c r="O748" t="s">
        <v>2476</v>
      </c>
      <c r="P748" t="s">
        <v>2477</v>
      </c>
      <c r="Q748" t="s">
        <v>114</v>
      </c>
      <c r="R748" t="s">
        <v>67</v>
      </c>
      <c r="S748">
        <v>50000000</v>
      </c>
      <c r="T748">
        <v>15786419.140000001</v>
      </c>
      <c r="U748" t="s">
        <v>68</v>
      </c>
      <c r="V748" t="s">
        <v>2436</v>
      </c>
      <c r="W748" s="9">
        <v>60602462</v>
      </c>
      <c r="X748" t="s">
        <v>2503</v>
      </c>
      <c r="Y748" s="1">
        <v>44838</v>
      </c>
      <c r="Z748" s="1">
        <v>44868</v>
      </c>
      <c r="AA748" s="2">
        <v>2082031.1</v>
      </c>
      <c r="AB748" s="2">
        <v>1764433.15</v>
      </c>
      <c r="AC748" s="2">
        <v>317597.95</v>
      </c>
      <c r="AD748" s="2">
        <v>349070.73</v>
      </c>
      <c r="AE748" t="s">
        <v>2504</v>
      </c>
      <c r="AF748" t="s">
        <v>72</v>
      </c>
      <c r="AG748">
        <v>1210</v>
      </c>
      <c r="AH748" t="s">
        <v>473</v>
      </c>
      <c r="AI748" t="s">
        <v>74</v>
      </c>
      <c r="AJ748" t="s">
        <v>75</v>
      </c>
      <c r="AK748" t="s">
        <v>102</v>
      </c>
      <c r="AL748" t="s">
        <v>77</v>
      </c>
      <c r="AM748" t="s">
        <v>103</v>
      </c>
      <c r="AN748" t="s">
        <v>2346</v>
      </c>
      <c r="AO748" t="s">
        <v>80</v>
      </c>
      <c r="AP748" t="e">
        <v>#N/A</v>
      </c>
      <c r="AQ748" t="s">
        <v>105</v>
      </c>
      <c r="AR748" t="str">
        <f t="shared" si="22"/>
        <v>60602462.STATEQ</v>
      </c>
      <c r="AS748">
        <f t="shared" si="23"/>
        <v>30804601.330000006</v>
      </c>
      <c r="AT748" t="s">
        <v>82</v>
      </c>
    </row>
    <row r="749" spans="1:46" x14ac:dyDescent="0.35">
      <c r="A749" t="s">
        <v>52</v>
      </c>
      <c r="B749" t="s">
        <v>53</v>
      </c>
      <c r="C749" t="s">
        <v>54</v>
      </c>
      <c r="D749" t="s">
        <v>55</v>
      </c>
      <c r="E749" t="s">
        <v>56</v>
      </c>
      <c r="F749" t="s">
        <v>2439</v>
      </c>
      <c r="G749" t="s">
        <v>2474</v>
      </c>
      <c r="H749" t="s">
        <v>153</v>
      </c>
      <c r="I749" t="s">
        <v>2475</v>
      </c>
      <c r="J749" t="s">
        <v>56</v>
      </c>
      <c r="K749" t="s">
        <v>62</v>
      </c>
      <c r="L749" t="s">
        <v>56</v>
      </c>
      <c r="M749" t="s">
        <v>56</v>
      </c>
      <c r="N749" t="s">
        <v>155</v>
      </c>
      <c r="O749" t="s">
        <v>2476</v>
      </c>
      <c r="P749" t="s">
        <v>2477</v>
      </c>
      <c r="Q749" t="s">
        <v>393</v>
      </c>
      <c r="R749" t="s">
        <v>67</v>
      </c>
      <c r="S749">
        <v>50000000</v>
      </c>
      <c r="T749">
        <v>15786419.140000001</v>
      </c>
      <c r="U749" t="s">
        <v>68</v>
      </c>
      <c r="V749" t="s">
        <v>2436</v>
      </c>
      <c r="W749" s="9">
        <v>60602462</v>
      </c>
      <c r="X749" t="s">
        <v>2505</v>
      </c>
      <c r="Y749" s="1">
        <v>44862</v>
      </c>
      <c r="Z749" s="1">
        <v>44892</v>
      </c>
      <c r="AA749" s="2">
        <v>11283759.890000001</v>
      </c>
      <c r="AB749" s="2">
        <v>9562508.3800000008</v>
      </c>
      <c r="AC749" s="2">
        <v>1721251.51</v>
      </c>
      <c r="AD749" s="2">
        <v>1891820.91</v>
      </c>
      <c r="AE749" t="s">
        <v>2506</v>
      </c>
      <c r="AF749" t="s">
        <v>72</v>
      </c>
      <c r="AG749">
        <v>1186</v>
      </c>
      <c r="AH749" t="s">
        <v>473</v>
      </c>
      <c r="AI749" t="s">
        <v>74</v>
      </c>
      <c r="AJ749" t="s">
        <v>75</v>
      </c>
      <c r="AK749" t="s">
        <v>102</v>
      </c>
      <c r="AL749" t="s">
        <v>77</v>
      </c>
      <c r="AM749" t="s">
        <v>103</v>
      </c>
      <c r="AN749" t="s">
        <v>2346</v>
      </c>
      <c r="AO749" t="s">
        <v>80</v>
      </c>
      <c r="AP749" t="e">
        <v>#N/A</v>
      </c>
      <c r="AQ749" t="s">
        <v>105</v>
      </c>
      <c r="AR749" t="str">
        <f t="shared" si="22"/>
        <v>60602462.STATEQ</v>
      </c>
      <c r="AS749">
        <f t="shared" si="23"/>
        <v>30804601.330000006</v>
      </c>
      <c r="AT749" t="s">
        <v>82</v>
      </c>
    </row>
    <row r="750" spans="1:46" x14ac:dyDescent="0.35">
      <c r="A750" t="s">
        <v>52</v>
      </c>
      <c r="B750" t="s">
        <v>53</v>
      </c>
      <c r="C750" t="s">
        <v>54</v>
      </c>
      <c r="D750" t="s">
        <v>55</v>
      </c>
      <c r="E750" t="s">
        <v>56</v>
      </c>
      <c r="F750" t="s">
        <v>2439</v>
      </c>
      <c r="G750" t="s">
        <v>2474</v>
      </c>
      <c r="H750" t="s">
        <v>153</v>
      </c>
      <c r="I750" t="s">
        <v>2475</v>
      </c>
      <c r="J750" t="s">
        <v>56</v>
      </c>
      <c r="K750" t="s">
        <v>62</v>
      </c>
      <c r="L750" t="s">
        <v>56</v>
      </c>
      <c r="M750" t="s">
        <v>56</v>
      </c>
      <c r="N750" t="s">
        <v>155</v>
      </c>
      <c r="O750" t="s">
        <v>2476</v>
      </c>
      <c r="P750" t="s">
        <v>2477</v>
      </c>
      <c r="Q750" t="s">
        <v>393</v>
      </c>
      <c r="R750" t="s">
        <v>67</v>
      </c>
      <c r="S750">
        <v>50000000</v>
      </c>
      <c r="T750">
        <v>15786419.140000001</v>
      </c>
      <c r="U750" t="s">
        <v>68</v>
      </c>
      <c r="V750" t="s">
        <v>2436</v>
      </c>
      <c r="W750" s="9">
        <v>60602462</v>
      </c>
      <c r="X750" t="s">
        <v>2507</v>
      </c>
      <c r="Y750" s="1">
        <v>44862</v>
      </c>
      <c r="Z750" s="1">
        <v>44892</v>
      </c>
      <c r="AA750" s="2">
        <v>95928.69</v>
      </c>
      <c r="AB750" s="2">
        <v>81295.5</v>
      </c>
      <c r="AC750" s="2">
        <v>14633.19</v>
      </c>
      <c r="AD750" s="2">
        <v>16083.24</v>
      </c>
      <c r="AE750" t="s">
        <v>2508</v>
      </c>
      <c r="AF750" t="s">
        <v>72</v>
      </c>
      <c r="AG750">
        <v>1186</v>
      </c>
      <c r="AH750" t="s">
        <v>473</v>
      </c>
      <c r="AI750" t="s">
        <v>74</v>
      </c>
      <c r="AJ750" t="s">
        <v>75</v>
      </c>
      <c r="AK750" t="s">
        <v>102</v>
      </c>
      <c r="AL750" t="s">
        <v>77</v>
      </c>
      <c r="AM750" t="s">
        <v>103</v>
      </c>
      <c r="AN750" t="s">
        <v>2346</v>
      </c>
      <c r="AO750" t="s">
        <v>80</v>
      </c>
      <c r="AP750" t="e">
        <v>#N/A</v>
      </c>
      <c r="AQ750" t="s">
        <v>105</v>
      </c>
      <c r="AR750" t="str">
        <f t="shared" si="22"/>
        <v>60602462.STATEQ</v>
      </c>
      <c r="AS750">
        <f t="shared" si="23"/>
        <v>30804601.330000006</v>
      </c>
      <c r="AT750" t="s">
        <v>82</v>
      </c>
    </row>
    <row r="751" spans="1:46" x14ac:dyDescent="0.35">
      <c r="A751" t="s">
        <v>52</v>
      </c>
      <c r="B751" t="s">
        <v>53</v>
      </c>
      <c r="C751" t="s">
        <v>54</v>
      </c>
      <c r="D751" t="s">
        <v>55</v>
      </c>
      <c r="E751" t="s">
        <v>56</v>
      </c>
      <c r="F751" t="s">
        <v>2439</v>
      </c>
      <c r="G751" t="s">
        <v>2474</v>
      </c>
      <c r="H751" t="s">
        <v>153</v>
      </c>
      <c r="I751" t="s">
        <v>2486</v>
      </c>
      <c r="J751" t="s">
        <v>56</v>
      </c>
      <c r="K751" t="s">
        <v>62</v>
      </c>
      <c r="L751" t="s">
        <v>56</v>
      </c>
      <c r="M751" t="s">
        <v>56</v>
      </c>
      <c r="N751" t="s">
        <v>155</v>
      </c>
      <c r="O751" t="s">
        <v>2476</v>
      </c>
      <c r="P751" t="s">
        <v>2477</v>
      </c>
      <c r="Q751" t="s">
        <v>114</v>
      </c>
      <c r="R751" t="s">
        <v>67</v>
      </c>
      <c r="S751">
        <v>50000000</v>
      </c>
      <c r="T751">
        <v>15786419.140000001</v>
      </c>
      <c r="U751" t="s">
        <v>68</v>
      </c>
      <c r="V751" t="s">
        <v>2436</v>
      </c>
      <c r="W751" s="9">
        <v>60602462</v>
      </c>
      <c r="X751" t="s">
        <v>2509</v>
      </c>
      <c r="Y751" s="1">
        <v>44862</v>
      </c>
      <c r="Z751" s="1">
        <v>44892</v>
      </c>
      <c r="AA751" s="2">
        <v>148716.57999999999</v>
      </c>
      <c r="AB751" s="2">
        <v>126031</v>
      </c>
      <c r="AC751" s="2">
        <v>22685.58</v>
      </c>
      <c r="AD751" s="2">
        <v>24933.68</v>
      </c>
      <c r="AE751" t="s">
        <v>2510</v>
      </c>
      <c r="AF751" t="s">
        <v>72</v>
      </c>
      <c r="AG751">
        <v>1186</v>
      </c>
      <c r="AH751" t="s">
        <v>473</v>
      </c>
      <c r="AI751" t="s">
        <v>74</v>
      </c>
      <c r="AJ751" t="s">
        <v>75</v>
      </c>
      <c r="AK751" t="s">
        <v>102</v>
      </c>
      <c r="AL751" t="s">
        <v>77</v>
      </c>
      <c r="AM751" t="s">
        <v>103</v>
      </c>
      <c r="AN751" t="s">
        <v>2346</v>
      </c>
      <c r="AO751" t="s">
        <v>80</v>
      </c>
      <c r="AP751" t="e">
        <v>#N/A</v>
      </c>
      <c r="AQ751" t="s">
        <v>105</v>
      </c>
      <c r="AR751" t="str">
        <f t="shared" si="22"/>
        <v>60602462.STATEQ</v>
      </c>
      <c r="AS751">
        <f t="shared" si="23"/>
        <v>30804601.330000006</v>
      </c>
      <c r="AT751" t="s">
        <v>82</v>
      </c>
    </row>
    <row r="752" spans="1:46" x14ac:dyDescent="0.35">
      <c r="A752" t="s">
        <v>52</v>
      </c>
      <c r="B752" t="s">
        <v>53</v>
      </c>
      <c r="C752" t="s">
        <v>54</v>
      </c>
      <c r="D752" t="s">
        <v>55</v>
      </c>
      <c r="E752" t="s">
        <v>56</v>
      </c>
      <c r="F752" t="s">
        <v>2439</v>
      </c>
      <c r="G752" t="s">
        <v>2474</v>
      </c>
      <c r="H752" t="s">
        <v>153</v>
      </c>
      <c r="I752" t="s">
        <v>2475</v>
      </c>
      <c r="J752" t="s">
        <v>56</v>
      </c>
      <c r="K752" t="s">
        <v>62</v>
      </c>
      <c r="L752" t="s">
        <v>56</v>
      </c>
      <c r="M752" t="s">
        <v>56</v>
      </c>
      <c r="N752" t="s">
        <v>155</v>
      </c>
      <c r="O752" t="s">
        <v>2476</v>
      </c>
      <c r="P752" t="s">
        <v>2477</v>
      </c>
      <c r="Q752" t="s">
        <v>393</v>
      </c>
      <c r="R752" t="s">
        <v>67</v>
      </c>
      <c r="S752">
        <v>50000000</v>
      </c>
      <c r="T752">
        <v>15786419.140000001</v>
      </c>
      <c r="U752" t="s">
        <v>68</v>
      </c>
      <c r="V752" t="s">
        <v>2436</v>
      </c>
      <c r="W752" s="9">
        <v>60602462</v>
      </c>
      <c r="X752" t="s">
        <v>2511</v>
      </c>
      <c r="Y752" s="1">
        <v>44862</v>
      </c>
      <c r="Z752" s="1">
        <v>44892</v>
      </c>
      <c r="AA752" s="2">
        <v>1538694.54</v>
      </c>
      <c r="AB752" s="2">
        <v>1303978.42</v>
      </c>
      <c r="AC752" s="2">
        <v>234716.12</v>
      </c>
      <c r="AD752" s="2">
        <v>257976.12</v>
      </c>
      <c r="AE752" t="s">
        <v>2512</v>
      </c>
      <c r="AF752" t="s">
        <v>72</v>
      </c>
      <c r="AG752">
        <v>1186</v>
      </c>
      <c r="AH752" t="s">
        <v>473</v>
      </c>
      <c r="AI752" t="s">
        <v>74</v>
      </c>
      <c r="AJ752" t="s">
        <v>75</v>
      </c>
      <c r="AK752" t="s">
        <v>102</v>
      </c>
      <c r="AL752" t="s">
        <v>77</v>
      </c>
      <c r="AM752" t="s">
        <v>103</v>
      </c>
      <c r="AN752" t="s">
        <v>2346</v>
      </c>
      <c r="AO752" t="s">
        <v>80</v>
      </c>
      <c r="AP752" t="e">
        <v>#N/A</v>
      </c>
      <c r="AQ752" t="s">
        <v>105</v>
      </c>
      <c r="AR752" t="str">
        <f t="shared" si="22"/>
        <v>60602462.STATEQ</v>
      </c>
      <c r="AS752">
        <f t="shared" si="23"/>
        <v>30804601.330000006</v>
      </c>
      <c r="AT752" t="s">
        <v>82</v>
      </c>
    </row>
    <row r="753" spans="1:46" x14ac:dyDescent="0.35">
      <c r="A753" t="s">
        <v>52</v>
      </c>
      <c r="B753" t="s">
        <v>53</v>
      </c>
      <c r="C753" t="s">
        <v>54</v>
      </c>
      <c r="D753" t="s">
        <v>55</v>
      </c>
      <c r="E753" t="s">
        <v>56</v>
      </c>
      <c r="F753" t="s">
        <v>2439</v>
      </c>
      <c r="G753" t="s">
        <v>2474</v>
      </c>
      <c r="H753" t="s">
        <v>153</v>
      </c>
      <c r="I753" t="s">
        <v>2475</v>
      </c>
      <c r="J753" t="s">
        <v>56</v>
      </c>
      <c r="K753" t="s">
        <v>62</v>
      </c>
      <c r="L753" t="s">
        <v>56</v>
      </c>
      <c r="M753" t="s">
        <v>56</v>
      </c>
      <c r="N753" t="s">
        <v>155</v>
      </c>
      <c r="O753" t="s">
        <v>2476</v>
      </c>
      <c r="P753" t="s">
        <v>2477</v>
      </c>
      <c r="Q753" t="s">
        <v>393</v>
      </c>
      <c r="R753" t="s">
        <v>67</v>
      </c>
      <c r="S753">
        <v>50000000</v>
      </c>
      <c r="T753">
        <v>15786419.140000001</v>
      </c>
      <c r="U753" t="s">
        <v>68</v>
      </c>
      <c r="V753" t="s">
        <v>2436</v>
      </c>
      <c r="W753" s="9">
        <v>60602462</v>
      </c>
      <c r="X753" t="s">
        <v>2513</v>
      </c>
      <c r="Y753" s="1">
        <v>44939</v>
      </c>
      <c r="Z753" s="1">
        <v>44969</v>
      </c>
      <c r="AA753" s="2">
        <v>1538694.54</v>
      </c>
      <c r="AB753" s="2">
        <v>1303978.42</v>
      </c>
      <c r="AC753" s="2">
        <v>234716.12</v>
      </c>
      <c r="AD753" s="2">
        <v>256800.04</v>
      </c>
      <c r="AE753" t="s">
        <v>2514</v>
      </c>
      <c r="AF753" t="s">
        <v>72</v>
      </c>
      <c r="AG753">
        <v>1109</v>
      </c>
      <c r="AH753" t="s">
        <v>473</v>
      </c>
      <c r="AI753" t="s">
        <v>74</v>
      </c>
      <c r="AJ753" t="s">
        <v>75</v>
      </c>
      <c r="AK753" t="s">
        <v>102</v>
      </c>
      <c r="AL753" t="s">
        <v>77</v>
      </c>
      <c r="AM753" t="s">
        <v>103</v>
      </c>
      <c r="AN753" t="s">
        <v>2346</v>
      </c>
      <c r="AO753" t="s">
        <v>80</v>
      </c>
      <c r="AP753" t="e">
        <v>#N/A</v>
      </c>
      <c r="AQ753" t="s">
        <v>105</v>
      </c>
      <c r="AR753" t="str">
        <f t="shared" si="22"/>
        <v>60602462.STATEQ</v>
      </c>
      <c r="AS753">
        <f t="shared" si="23"/>
        <v>30804601.330000006</v>
      </c>
      <c r="AT753" t="s">
        <v>82</v>
      </c>
    </row>
    <row r="754" spans="1:46" x14ac:dyDescent="0.35">
      <c r="A754" t="s">
        <v>52</v>
      </c>
      <c r="B754" t="s">
        <v>53</v>
      </c>
      <c r="C754" t="s">
        <v>54</v>
      </c>
      <c r="D754" t="s">
        <v>55</v>
      </c>
      <c r="E754" t="s">
        <v>56</v>
      </c>
      <c r="F754" t="s">
        <v>2439</v>
      </c>
      <c r="G754" t="s">
        <v>2474</v>
      </c>
      <c r="H754" t="s">
        <v>153</v>
      </c>
      <c r="I754" t="s">
        <v>2475</v>
      </c>
      <c r="J754" t="s">
        <v>56</v>
      </c>
      <c r="K754" t="s">
        <v>62</v>
      </c>
      <c r="L754" t="s">
        <v>56</v>
      </c>
      <c r="M754" t="s">
        <v>56</v>
      </c>
      <c r="N754" t="s">
        <v>155</v>
      </c>
      <c r="O754" t="s">
        <v>2476</v>
      </c>
      <c r="P754" t="s">
        <v>2477</v>
      </c>
      <c r="Q754" t="s">
        <v>393</v>
      </c>
      <c r="R754" t="s">
        <v>67</v>
      </c>
      <c r="S754">
        <v>50000000</v>
      </c>
      <c r="T754">
        <v>15786419.140000001</v>
      </c>
      <c r="U754" t="s">
        <v>68</v>
      </c>
      <c r="V754" t="s">
        <v>2436</v>
      </c>
      <c r="W754" s="9">
        <v>60602462</v>
      </c>
      <c r="X754" t="s">
        <v>2515</v>
      </c>
      <c r="Y754" s="1">
        <v>44939</v>
      </c>
      <c r="Z754" s="1">
        <v>44969</v>
      </c>
      <c r="AA754" s="2">
        <v>11283759.890000001</v>
      </c>
      <c r="AB754" s="2">
        <v>9562508.3800000008</v>
      </c>
      <c r="AC754" s="2">
        <v>1721251.51</v>
      </c>
      <c r="AD754" s="2">
        <v>1883199.89</v>
      </c>
      <c r="AE754" t="s">
        <v>2516</v>
      </c>
      <c r="AF754" t="s">
        <v>72</v>
      </c>
      <c r="AG754">
        <v>1109</v>
      </c>
      <c r="AH754" t="s">
        <v>473</v>
      </c>
      <c r="AI754" t="s">
        <v>74</v>
      </c>
      <c r="AJ754" t="s">
        <v>75</v>
      </c>
      <c r="AK754" t="s">
        <v>102</v>
      </c>
      <c r="AL754" t="s">
        <v>77</v>
      </c>
      <c r="AM754" t="s">
        <v>103</v>
      </c>
      <c r="AN754" t="s">
        <v>2346</v>
      </c>
      <c r="AO754" t="s">
        <v>80</v>
      </c>
      <c r="AP754" t="e">
        <v>#N/A</v>
      </c>
      <c r="AQ754" t="s">
        <v>105</v>
      </c>
      <c r="AR754" t="str">
        <f t="shared" si="22"/>
        <v>60602462.STATEQ</v>
      </c>
      <c r="AS754">
        <f t="shared" si="23"/>
        <v>30804601.330000006</v>
      </c>
      <c r="AT754" t="s">
        <v>82</v>
      </c>
    </row>
    <row r="755" spans="1:46" x14ac:dyDescent="0.35">
      <c r="A755" t="s">
        <v>52</v>
      </c>
      <c r="B755" t="s">
        <v>53</v>
      </c>
      <c r="C755" t="s">
        <v>54</v>
      </c>
      <c r="D755" t="s">
        <v>55</v>
      </c>
      <c r="E755" t="s">
        <v>56</v>
      </c>
      <c r="F755" t="s">
        <v>2439</v>
      </c>
      <c r="G755" t="s">
        <v>2474</v>
      </c>
      <c r="H755" t="s">
        <v>153</v>
      </c>
      <c r="I755" t="s">
        <v>2486</v>
      </c>
      <c r="J755" t="s">
        <v>56</v>
      </c>
      <c r="K755" t="s">
        <v>62</v>
      </c>
      <c r="L755" t="s">
        <v>56</v>
      </c>
      <c r="M755" t="s">
        <v>56</v>
      </c>
      <c r="N755" t="s">
        <v>155</v>
      </c>
      <c r="O755" t="s">
        <v>2476</v>
      </c>
      <c r="P755" t="s">
        <v>2477</v>
      </c>
      <c r="Q755" t="s">
        <v>114</v>
      </c>
      <c r="R755" t="s">
        <v>67</v>
      </c>
      <c r="S755">
        <v>50000000</v>
      </c>
      <c r="T755">
        <v>15786419.140000001</v>
      </c>
      <c r="U755" t="s">
        <v>68</v>
      </c>
      <c r="V755" t="s">
        <v>2436</v>
      </c>
      <c r="W755" s="9">
        <v>60602462</v>
      </c>
      <c r="X755" t="s">
        <v>2517</v>
      </c>
      <c r="Y755" s="1">
        <v>45007</v>
      </c>
      <c r="Z755" s="1">
        <v>45037</v>
      </c>
      <c r="AA755" s="2">
        <v>9802586.6600000001</v>
      </c>
      <c r="AB755" s="2">
        <v>8307276.8300000001</v>
      </c>
      <c r="AC755" s="2">
        <v>1495309.83</v>
      </c>
      <c r="AD755" s="2">
        <v>1643489.66</v>
      </c>
      <c r="AE755" t="s">
        <v>2518</v>
      </c>
      <c r="AF755" t="s">
        <v>72</v>
      </c>
      <c r="AG755">
        <v>1041</v>
      </c>
      <c r="AH755" t="s">
        <v>473</v>
      </c>
      <c r="AI755" t="s">
        <v>74</v>
      </c>
      <c r="AJ755" t="s">
        <v>75</v>
      </c>
      <c r="AK755" t="s">
        <v>102</v>
      </c>
      <c r="AL755" t="s">
        <v>77</v>
      </c>
      <c r="AM755" t="s">
        <v>103</v>
      </c>
      <c r="AN755" t="s">
        <v>2346</v>
      </c>
      <c r="AO755" t="s">
        <v>80</v>
      </c>
      <c r="AP755" t="e">
        <v>#N/A</v>
      </c>
      <c r="AQ755" t="s">
        <v>105</v>
      </c>
      <c r="AR755" t="str">
        <f t="shared" si="22"/>
        <v>60602462.STATEQ</v>
      </c>
      <c r="AS755">
        <f t="shared" si="23"/>
        <v>30804601.330000006</v>
      </c>
      <c r="AT755" t="s">
        <v>82</v>
      </c>
    </row>
    <row r="756" spans="1:46" x14ac:dyDescent="0.35">
      <c r="A756" t="s">
        <v>52</v>
      </c>
      <c r="B756" t="s">
        <v>53</v>
      </c>
      <c r="C756" t="s">
        <v>54</v>
      </c>
      <c r="D756" t="s">
        <v>55</v>
      </c>
      <c r="E756" t="s">
        <v>56</v>
      </c>
      <c r="F756" t="s">
        <v>2439</v>
      </c>
      <c r="G756" t="s">
        <v>2474</v>
      </c>
      <c r="H756" t="s">
        <v>153</v>
      </c>
      <c r="I756" t="s">
        <v>2486</v>
      </c>
      <c r="J756" t="s">
        <v>56</v>
      </c>
      <c r="K756" t="s">
        <v>62</v>
      </c>
      <c r="L756" t="s">
        <v>56</v>
      </c>
      <c r="M756" t="s">
        <v>56</v>
      </c>
      <c r="N756" t="s">
        <v>155</v>
      </c>
      <c r="O756" t="s">
        <v>2476</v>
      </c>
      <c r="P756" t="s">
        <v>2477</v>
      </c>
      <c r="Q756" t="s">
        <v>114</v>
      </c>
      <c r="R756" t="s">
        <v>67</v>
      </c>
      <c r="S756">
        <v>50000000</v>
      </c>
      <c r="T756">
        <v>15786419.140000001</v>
      </c>
      <c r="U756" t="s">
        <v>68</v>
      </c>
      <c r="V756" t="s">
        <v>2436</v>
      </c>
      <c r="W756" s="9">
        <v>60602462</v>
      </c>
      <c r="X756" t="s">
        <v>2519</v>
      </c>
      <c r="Y756" s="1">
        <v>45014</v>
      </c>
      <c r="Z756" s="1">
        <v>45044</v>
      </c>
      <c r="AA756" s="2">
        <v>2450646.77</v>
      </c>
      <c r="AB756" s="2">
        <v>2076819.3</v>
      </c>
      <c r="AC756" s="2">
        <v>373827.47</v>
      </c>
      <c r="AD756" s="2">
        <v>410872.32000000001</v>
      </c>
      <c r="AE756" t="s">
        <v>2520</v>
      </c>
      <c r="AF756" t="s">
        <v>72</v>
      </c>
      <c r="AG756">
        <v>1034</v>
      </c>
      <c r="AH756" t="s">
        <v>473</v>
      </c>
      <c r="AI756" t="s">
        <v>74</v>
      </c>
      <c r="AJ756" t="s">
        <v>75</v>
      </c>
      <c r="AK756" t="s">
        <v>102</v>
      </c>
      <c r="AL756" t="s">
        <v>77</v>
      </c>
      <c r="AM756" t="s">
        <v>103</v>
      </c>
      <c r="AN756" t="s">
        <v>2346</v>
      </c>
      <c r="AO756" t="s">
        <v>80</v>
      </c>
      <c r="AP756" t="e">
        <v>#N/A</v>
      </c>
      <c r="AQ756" t="s">
        <v>105</v>
      </c>
      <c r="AR756" t="str">
        <f t="shared" si="22"/>
        <v>60602462.STATEQ</v>
      </c>
      <c r="AS756">
        <f t="shared" si="23"/>
        <v>30804601.330000006</v>
      </c>
      <c r="AT756" t="s">
        <v>82</v>
      </c>
    </row>
    <row r="757" spans="1:46" x14ac:dyDescent="0.35">
      <c r="A757" t="s">
        <v>52</v>
      </c>
      <c r="B757" t="s">
        <v>53</v>
      </c>
      <c r="C757" t="s">
        <v>54</v>
      </c>
      <c r="D757" t="s">
        <v>55</v>
      </c>
      <c r="E757" t="s">
        <v>56</v>
      </c>
      <c r="F757" t="s">
        <v>2439</v>
      </c>
      <c r="G757" t="s">
        <v>2474</v>
      </c>
      <c r="H757" t="s">
        <v>153</v>
      </c>
      <c r="I757" t="s">
        <v>2486</v>
      </c>
      <c r="J757" t="s">
        <v>56</v>
      </c>
      <c r="K757" t="s">
        <v>62</v>
      </c>
      <c r="L757" t="s">
        <v>56</v>
      </c>
      <c r="M757" t="s">
        <v>56</v>
      </c>
      <c r="N757" t="s">
        <v>155</v>
      </c>
      <c r="O757" t="s">
        <v>2476</v>
      </c>
      <c r="P757" t="s">
        <v>2477</v>
      </c>
      <c r="Q757" t="s">
        <v>114</v>
      </c>
      <c r="R757" t="s">
        <v>67</v>
      </c>
      <c r="S757">
        <v>50000000</v>
      </c>
      <c r="T757">
        <v>15786419.140000001</v>
      </c>
      <c r="U757" t="s">
        <v>68</v>
      </c>
      <c r="V757" t="s">
        <v>2436</v>
      </c>
      <c r="W757" s="9">
        <v>60602462</v>
      </c>
      <c r="X757" t="s">
        <v>2521</v>
      </c>
      <c r="Y757" s="1">
        <v>45015</v>
      </c>
      <c r="Z757" s="1">
        <v>45045</v>
      </c>
      <c r="AA757" s="2">
        <v>2450646.77</v>
      </c>
      <c r="AB757" s="2">
        <v>2076819.3</v>
      </c>
      <c r="AC757" s="2">
        <v>373827.47</v>
      </c>
      <c r="AD757" s="2">
        <v>410872.02</v>
      </c>
      <c r="AE757" t="s">
        <v>2522</v>
      </c>
      <c r="AF757" t="s">
        <v>72</v>
      </c>
      <c r="AG757">
        <v>1033</v>
      </c>
      <c r="AH757" t="s">
        <v>473</v>
      </c>
      <c r="AI757" t="s">
        <v>74</v>
      </c>
      <c r="AJ757" t="s">
        <v>75</v>
      </c>
      <c r="AK757" t="s">
        <v>102</v>
      </c>
      <c r="AL757" t="s">
        <v>77</v>
      </c>
      <c r="AM757" t="s">
        <v>103</v>
      </c>
      <c r="AN757" t="s">
        <v>2346</v>
      </c>
      <c r="AO757" t="s">
        <v>80</v>
      </c>
      <c r="AP757" t="e">
        <v>#N/A</v>
      </c>
      <c r="AQ757" t="s">
        <v>105</v>
      </c>
      <c r="AR757" t="str">
        <f t="shared" si="22"/>
        <v>60602462.STATEQ</v>
      </c>
      <c r="AS757">
        <f t="shared" si="23"/>
        <v>30804601.330000006</v>
      </c>
      <c r="AT757" t="s">
        <v>82</v>
      </c>
    </row>
    <row r="758" spans="1:46" x14ac:dyDescent="0.35">
      <c r="A758" t="s">
        <v>52</v>
      </c>
      <c r="B758" t="s">
        <v>53</v>
      </c>
      <c r="C758" t="s">
        <v>54</v>
      </c>
      <c r="D758" t="s">
        <v>55</v>
      </c>
      <c r="E758" t="s">
        <v>56</v>
      </c>
      <c r="F758" t="s">
        <v>2439</v>
      </c>
      <c r="G758" t="s">
        <v>2474</v>
      </c>
      <c r="H758" t="s">
        <v>153</v>
      </c>
      <c r="I758" t="s">
        <v>2486</v>
      </c>
      <c r="J758" t="s">
        <v>56</v>
      </c>
      <c r="K758" t="s">
        <v>62</v>
      </c>
      <c r="L758" t="s">
        <v>56</v>
      </c>
      <c r="M758" t="s">
        <v>56</v>
      </c>
      <c r="N758" t="s">
        <v>155</v>
      </c>
      <c r="O758" t="s">
        <v>2476</v>
      </c>
      <c r="P758" t="s">
        <v>2477</v>
      </c>
      <c r="Q758" t="s">
        <v>114</v>
      </c>
      <c r="R758" t="s">
        <v>67</v>
      </c>
      <c r="S758">
        <v>50000000</v>
      </c>
      <c r="T758">
        <v>15786419.140000001</v>
      </c>
      <c r="U758" t="s">
        <v>68</v>
      </c>
      <c r="V758" t="s">
        <v>2436</v>
      </c>
      <c r="W758" s="9">
        <v>60602462</v>
      </c>
      <c r="X758" t="s">
        <v>2523</v>
      </c>
      <c r="Y758" s="1">
        <v>45027</v>
      </c>
      <c r="Z758" s="1">
        <v>45057</v>
      </c>
      <c r="AA758" s="2">
        <v>3656934.46</v>
      </c>
      <c r="AB758" s="2">
        <v>3096001</v>
      </c>
      <c r="AC758" s="2">
        <v>560933.46</v>
      </c>
      <c r="AD758" s="2">
        <v>619200.21</v>
      </c>
      <c r="AE758" t="s">
        <v>2524</v>
      </c>
      <c r="AF758" t="s">
        <v>72</v>
      </c>
      <c r="AG758">
        <v>1021</v>
      </c>
      <c r="AH758" t="s">
        <v>473</v>
      </c>
      <c r="AI758" t="s">
        <v>74</v>
      </c>
      <c r="AJ758" t="s">
        <v>75</v>
      </c>
      <c r="AK758" t="s">
        <v>102</v>
      </c>
      <c r="AL758" t="s">
        <v>77</v>
      </c>
      <c r="AM758" t="s">
        <v>103</v>
      </c>
      <c r="AN758" t="s">
        <v>2346</v>
      </c>
      <c r="AO758" t="s">
        <v>80</v>
      </c>
      <c r="AP758" t="e">
        <v>#N/A</v>
      </c>
      <c r="AQ758" t="s">
        <v>105</v>
      </c>
      <c r="AR758" t="str">
        <f t="shared" si="22"/>
        <v>60602462.STATEQ</v>
      </c>
      <c r="AS758">
        <f t="shared" si="23"/>
        <v>30804601.330000006</v>
      </c>
      <c r="AT758" t="s">
        <v>82</v>
      </c>
    </row>
    <row r="759" spans="1:46" x14ac:dyDescent="0.35">
      <c r="A759" t="s">
        <v>52</v>
      </c>
      <c r="B759" t="s">
        <v>53</v>
      </c>
      <c r="C759" t="s">
        <v>54</v>
      </c>
      <c r="D759" t="s">
        <v>55</v>
      </c>
      <c r="E759" t="s">
        <v>56</v>
      </c>
      <c r="F759" t="s">
        <v>2439</v>
      </c>
      <c r="G759" t="s">
        <v>2474</v>
      </c>
      <c r="H759" t="s">
        <v>153</v>
      </c>
      <c r="I759" t="s">
        <v>2475</v>
      </c>
      <c r="J759" t="s">
        <v>56</v>
      </c>
      <c r="K759" t="s">
        <v>62</v>
      </c>
      <c r="L759" t="s">
        <v>56</v>
      </c>
      <c r="M759" t="s">
        <v>56</v>
      </c>
      <c r="N759" t="s">
        <v>155</v>
      </c>
      <c r="O759" t="s">
        <v>2476</v>
      </c>
      <c r="P759" t="s">
        <v>2477</v>
      </c>
      <c r="Q759" t="s">
        <v>393</v>
      </c>
      <c r="R759" t="s">
        <v>67</v>
      </c>
      <c r="S759">
        <v>50000000</v>
      </c>
      <c r="T759">
        <v>15786419.140000001</v>
      </c>
      <c r="U759" t="s">
        <v>68</v>
      </c>
      <c r="V759" t="s">
        <v>2436</v>
      </c>
      <c r="W759" s="9">
        <v>60602462</v>
      </c>
      <c r="X759" t="s">
        <v>2525</v>
      </c>
      <c r="Y759" s="1">
        <v>45348</v>
      </c>
      <c r="Z759" s="1">
        <v>45378</v>
      </c>
      <c r="AA759" s="2">
        <v>11855377.74</v>
      </c>
      <c r="AB759" s="2">
        <v>10046930.289999999</v>
      </c>
      <c r="AC759" s="2">
        <v>1808447.45</v>
      </c>
      <c r="AD759" s="2">
        <v>1988493.01</v>
      </c>
      <c r="AE759" t="s">
        <v>2526</v>
      </c>
      <c r="AF759" t="s">
        <v>72</v>
      </c>
      <c r="AG759">
        <v>700</v>
      </c>
      <c r="AH759" t="s">
        <v>473</v>
      </c>
      <c r="AI759" t="s">
        <v>74</v>
      </c>
      <c r="AJ759" t="s">
        <v>75</v>
      </c>
      <c r="AK759" t="s">
        <v>102</v>
      </c>
      <c r="AL759" t="s">
        <v>77</v>
      </c>
      <c r="AM759" t="s">
        <v>103</v>
      </c>
      <c r="AN759" t="s">
        <v>2346</v>
      </c>
      <c r="AO759" t="s">
        <v>80</v>
      </c>
      <c r="AP759" t="e">
        <v>#N/A</v>
      </c>
      <c r="AQ759" t="s">
        <v>105</v>
      </c>
      <c r="AR759" t="str">
        <f t="shared" si="22"/>
        <v>60602462.STATEQ</v>
      </c>
      <c r="AS759">
        <f t="shared" si="23"/>
        <v>30804601.330000006</v>
      </c>
      <c r="AT759" t="s">
        <v>82</v>
      </c>
    </row>
    <row r="760" spans="1:46" x14ac:dyDescent="0.35">
      <c r="A760" t="s">
        <v>52</v>
      </c>
      <c r="B760" t="s">
        <v>53</v>
      </c>
      <c r="C760" t="s">
        <v>54</v>
      </c>
      <c r="D760" t="s">
        <v>55</v>
      </c>
      <c r="E760" t="s">
        <v>56</v>
      </c>
      <c r="F760" t="s">
        <v>2439</v>
      </c>
      <c r="G760" t="s">
        <v>2474</v>
      </c>
      <c r="H760" t="s">
        <v>153</v>
      </c>
      <c r="I760" t="s">
        <v>2475</v>
      </c>
      <c r="J760" t="s">
        <v>56</v>
      </c>
      <c r="K760" t="s">
        <v>62</v>
      </c>
      <c r="L760" t="s">
        <v>56</v>
      </c>
      <c r="M760" t="s">
        <v>56</v>
      </c>
      <c r="N760" t="s">
        <v>155</v>
      </c>
      <c r="O760" t="s">
        <v>2476</v>
      </c>
      <c r="P760" t="s">
        <v>2477</v>
      </c>
      <c r="Q760" t="s">
        <v>393</v>
      </c>
      <c r="R760" t="s">
        <v>67</v>
      </c>
      <c r="S760">
        <v>50000000</v>
      </c>
      <c r="T760">
        <v>15786419.140000001</v>
      </c>
      <c r="U760" t="s">
        <v>68</v>
      </c>
      <c r="V760" t="s">
        <v>2436</v>
      </c>
      <c r="W760" s="9">
        <v>60602462</v>
      </c>
      <c r="X760" t="s">
        <v>2527</v>
      </c>
      <c r="Y760" s="1">
        <v>45372</v>
      </c>
      <c r="Z760" s="1">
        <v>45402</v>
      </c>
      <c r="AA760" s="2">
        <v>3653281.18</v>
      </c>
      <c r="AB760" s="2">
        <v>3096001</v>
      </c>
      <c r="AC760" s="2">
        <v>557280.18000000005</v>
      </c>
      <c r="AD760" s="2">
        <v>312386.09999999998</v>
      </c>
      <c r="AE760" t="s">
        <v>2528</v>
      </c>
      <c r="AF760" t="s">
        <v>72</v>
      </c>
      <c r="AG760">
        <v>676</v>
      </c>
      <c r="AH760" t="s">
        <v>473</v>
      </c>
      <c r="AI760" t="s">
        <v>74</v>
      </c>
      <c r="AJ760" t="s">
        <v>75</v>
      </c>
      <c r="AK760" t="s">
        <v>102</v>
      </c>
      <c r="AL760" t="s">
        <v>77</v>
      </c>
      <c r="AM760" t="s">
        <v>103</v>
      </c>
      <c r="AN760" t="s">
        <v>2346</v>
      </c>
      <c r="AO760" t="s">
        <v>80</v>
      </c>
      <c r="AP760" t="e">
        <v>#N/A</v>
      </c>
      <c r="AQ760" t="s">
        <v>105</v>
      </c>
      <c r="AR760" t="str">
        <f t="shared" si="22"/>
        <v>60602462.STATEQ</v>
      </c>
      <c r="AS760">
        <f t="shared" si="23"/>
        <v>30804601.330000006</v>
      </c>
      <c r="AT760" t="s">
        <v>82</v>
      </c>
    </row>
    <row r="761" spans="1:46" x14ac:dyDescent="0.35">
      <c r="A761" t="s">
        <v>52</v>
      </c>
      <c r="B761" t="s">
        <v>53</v>
      </c>
      <c r="C761" t="s">
        <v>54</v>
      </c>
      <c r="D761" t="s">
        <v>55</v>
      </c>
      <c r="E761" t="s">
        <v>56</v>
      </c>
      <c r="F761" t="s">
        <v>2439</v>
      </c>
      <c r="G761" t="s">
        <v>2474</v>
      </c>
      <c r="H761" t="s">
        <v>153</v>
      </c>
      <c r="I761" t="s">
        <v>2475</v>
      </c>
      <c r="J761" t="s">
        <v>56</v>
      </c>
      <c r="K761" t="s">
        <v>62</v>
      </c>
      <c r="L761" t="s">
        <v>56</v>
      </c>
      <c r="M761" t="s">
        <v>56</v>
      </c>
      <c r="N761" t="s">
        <v>155</v>
      </c>
      <c r="O761" t="s">
        <v>2476</v>
      </c>
      <c r="P761" t="s">
        <v>2477</v>
      </c>
      <c r="Q761" t="s">
        <v>393</v>
      </c>
      <c r="R761" t="s">
        <v>67</v>
      </c>
      <c r="S761">
        <v>50000000</v>
      </c>
      <c r="T761">
        <v>15786419.140000001</v>
      </c>
      <c r="U761" t="s">
        <v>68</v>
      </c>
      <c r="V761" t="s">
        <v>2436</v>
      </c>
      <c r="W761" s="9">
        <v>60602462</v>
      </c>
      <c r="X761" t="s">
        <v>2529</v>
      </c>
      <c r="Y761" s="1">
        <v>45372</v>
      </c>
      <c r="Z761" s="1">
        <v>45402</v>
      </c>
      <c r="AA761" s="2">
        <v>1823904.29</v>
      </c>
      <c r="AB761" s="2">
        <v>1545681.6</v>
      </c>
      <c r="AC761" s="2">
        <v>278222.69</v>
      </c>
      <c r="AD761" s="2">
        <v>308137.83</v>
      </c>
      <c r="AE761" t="s">
        <v>2530</v>
      </c>
      <c r="AF761" t="s">
        <v>72</v>
      </c>
      <c r="AG761">
        <v>676</v>
      </c>
      <c r="AH761" t="s">
        <v>473</v>
      </c>
      <c r="AI761" t="s">
        <v>74</v>
      </c>
      <c r="AJ761" t="s">
        <v>75</v>
      </c>
      <c r="AK761" t="s">
        <v>102</v>
      </c>
      <c r="AL761" t="s">
        <v>77</v>
      </c>
      <c r="AM761" t="s">
        <v>103</v>
      </c>
      <c r="AN761" t="s">
        <v>2346</v>
      </c>
      <c r="AO761" t="s">
        <v>80</v>
      </c>
      <c r="AP761" t="e">
        <v>#N/A</v>
      </c>
      <c r="AQ761" t="s">
        <v>105</v>
      </c>
      <c r="AR761" t="str">
        <f t="shared" si="22"/>
        <v>60602462.STATEQ</v>
      </c>
      <c r="AS761">
        <f t="shared" si="23"/>
        <v>30804601.330000006</v>
      </c>
      <c r="AT761" t="s">
        <v>82</v>
      </c>
    </row>
    <row r="762" spans="1:46" x14ac:dyDescent="0.35">
      <c r="A762" t="s">
        <v>52</v>
      </c>
      <c r="B762" t="s">
        <v>53</v>
      </c>
      <c r="C762" t="s">
        <v>54</v>
      </c>
      <c r="D762" t="s">
        <v>55</v>
      </c>
      <c r="E762" t="s">
        <v>56</v>
      </c>
      <c r="F762" t="s">
        <v>2531</v>
      </c>
      <c r="G762" t="s">
        <v>2532</v>
      </c>
      <c r="H762" t="s">
        <v>403</v>
      </c>
      <c r="I762" t="s">
        <v>2533</v>
      </c>
      <c r="J762" t="s">
        <v>56</v>
      </c>
      <c r="K762" t="s">
        <v>62</v>
      </c>
      <c r="L762" t="s">
        <v>56</v>
      </c>
      <c r="M762" t="s">
        <v>56</v>
      </c>
      <c r="N762" t="s">
        <v>405</v>
      </c>
      <c r="O762" t="s">
        <v>2534</v>
      </c>
      <c r="P762" t="s">
        <v>2535</v>
      </c>
      <c r="Q762" t="s">
        <v>114</v>
      </c>
      <c r="R762" t="s">
        <v>67</v>
      </c>
      <c r="S762">
        <v>500000</v>
      </c>
      <c r="T762">
        <v>380230</v>
      </c>
      <c r="U762" t="s">
        <v>68</v>
      </c>
      <c r="V762" t="s">
        <v>2436</v>
      </c>
      <c r="W762" s="9">
        <v>60604241</v>
      </c>
      <c r="X762" t="s">
        <v>2536</v>
      </c>
      <c r="Y762" s="1">
        <v>45940</v>
      </c>
      <c r="Z762" s="1">
        <v>45970</v>
      </c>
      <c r="AA762" s="2">
        <v>32450</v>
      </c>
      <c r="AB762" s="2">
        <v>27500</v>
      </c>
      <c r="AC762" s="2">
        <v>4950</v>
      </c>
      <c r="AD762" s="2">
        <v>32450</v>
      </c>
      <c r="AE762" t="s">
        <v>2537</v>
      </c>
      <c r="AF762" t="s">
        <v>72</v>
      </c>
      <c r="AG762">
        <v>108</v>
      </c>
      <c r="AH762" t="s">
        <v>91</v>
      </c>
      <c r="AI762" t="s">
        <v>74</v>
      </c>
      <c r="AJ762" t="s">
        <v>75</v>
      </c>
      <c r="AK762" t="s">
        <v>76</v>
      </c>
      <c r="AL762" t="s">
        <v>77</v>
      </c>
      <c r="AM762" t="s">
        <v>78</v>
      </c>
      <c r="AN762" t="s">
        <v>795</v>
      </c>
      <c r="AO762" t="s">
        <v>80</v>
      </c>
      <c r="AP762" t="e">
        <v>#N/A</v>
      </c>
      <c r="AQ762" t="s">
        <v>81</v>
      </c>
      <c r="AR762" t="str">
        <f t="shared" si="22"/>
        <v>60604241.STATAM</v>
      </c>
      <c r="AS762">
        <f t="shared" si="23"/>
        <v>119770</v>
      </c>
      <c r="AT762" t="s">
        <v>82</v>
      </c>
    </row>
    <row r="763" spans="1:46" x14ac:dyDescent="0.35">
      <c r="A763" t="s">
        <v>52</v>
      </c>
      <c r="B763" t="s">
        <v>53</v>
      </c>
      <c r="C763" t="s">
        <v>54</v>
      </c>
      <c r="D763" t="s">
        <v>55</v>
      </c>
      <c r="E763" t="s">
        <v>56</v>
      </c>
      <c r="F763" t="s">
        <v>2531</v>
      </c>
      <c r="G763" t="s">
        <v>2538</v>
      </c>
      <c r="H763" t="s">
        <v>403</v>
      </c>
      <c r="I763" t="s">
        <v>2539</v>
      </c>
      <c r="J763" t="s">
        <v>61</v>
      </c>
      <c r="K763" t="s">
        <v>62</v>
      </c>
      <c r="L763" t="s">
        <v>56</v>
      </c>
      <c r="M763" t="s">
        <v>56</v>
      </c>
      <c r="N763" t="s">
        <v>405</v>
      </c>
      <c r="O763" t="s">
        <v>2534</v>
      </c>
      <c r="P763" t="s">
        <v>2535</v>
      </c>
      <c r="Q763" t="s">
        <v>393</v>
      </c>
      <c r="R763" t="s">
        <v>67</v>
      </c>
      <c r="S763">
        <v>500000</v>
      </c>
      <c r="T763">
        <v>380230</v>
      </c>
      <c r="U763" t="s">
        <v>68</v>
      </c>
      <c r="V763" t="s">
        <v>2436</v>
      </c>
      <c r="W763" s="9">
        <v>60604241</v>
      </c>
      <c r="X763" t="s">
        <v>2540</v>
      </c>
      <c r="Y763" s="1">
        <v>46000</v>
      </c>
      <c r="Z763" s="1">
        <v>46030</v>
      </c>
      <c r="AA763" s="2">
        <v>87320</v>
      </c>
      <c r="AB763" s="2">
        <v>74000</v>
      </c>
      <c r="AC763" s="2">
        <v>13320</v>
      </c>
      <c r="AD763" s="2">
        <v>87320</v>
      </c>
      <c r="AE763" t="s">
        <v>2541</v>
      </c>
      <c r="AF763" t="s">
        <v>72</v>
      </c>
      <c r="AG763">
        <v>48</v>
      </c>
      <c r="AH763" t="s">
        <v>236</v>
      </c>
      <c r="AI763" t="s">
        <v>74</v>
      </c>
      <c r="AJ763" t="s">
        <v>75</v>
      </c>
      <c r="AK763" t="s">
        <v>76</v>
      </c>
      <c r="AL763" t="s">
        <v>77</v>
      </c>
      <c r="AM763" t="s">
        <v>78</v>
      </c>
      <c r="AN763" t="s">
        <v>795</v>
      </c>
      <c r="AO763" t="s">
        <v>80</v>
      </c>
      <c r="AP763" t="e">
        <v>#N/A</v>
      </c>
      <c r="AQ763" t="s">
        <v>81</v>
      </c>
      <c r="AR763" t="str">
        <f t="shared" si="22"/>
        <v>60604241.STATAM</v>
      </c>
      <c r="AS763">
        <f t="shared" si="23"/>
        <v>119770</v>
      </c>
      <c r="AT763" t="s">
        <v>82</v>
      </c>
    </row>
    <row r="764" spans="1:46" x14ac:dyDescent="0.35">
      <c r="A764" t="s">
        <v>52</v>
      </c>
      <c r="B764" t="s">
        <v>53</v>
      </c>
      <c r="C764" t="s">
        <v>54</v>
      </c>
      <c r="D764" t="s">
        <v>55</v>
      </c>
      <c r="E764" t="s">
        <v>56</v>
      </c>
      <c r="F764" t="s">
        <v>2542</v>
      </c>
      <c r="G764" t="s">
        <v>2543</v>
      </c>
      <c r="H764" t="s">
        <v>59</v>
      </c>
      <c r="I764" t="s">
        <v>2544</v>
      </c>
      <c r="J764" t="s">
        <v>61</v>
      </c>
      <c r="K764" t="s">
        <v>62</v>
      </c>
      <c r="L764" t="s">
        <v>56</v>
      </c>
      <c r="M764" t="s">
        <v>56</v>
      </c>
      <c r="N764" t="s">
        <v>63</v>
      </c>
      <c r="O764" t="s">
        <v>1844</v>
      </c>
      <c r="P764" t="s">
        <v>1845</v>
      </c>
      <c r="Q764" t="s">
        <v>2545</v>
      </c>
      <c r="R764" t="s">
        <v>248</v>
      </c>
      <c r="S764">
        <v>4000000</v>
      </c>
      <c r="T764">
        <v>-4568094.4000000004</v>
      </c>
      <c r="U764" t="s">
        <v>68</v>
      </c>
      <c r="V764" t="s">
        <v>2546</v>
      </c>
      <c r="W764" s="9">
        <v>60603994</v>
      </c>
      <c r="X764" t="s">
        <v>2547</v>
      </c>
      <c r="Y764" s="1">
        <v>45975</v>
      </c>
      <c r="Z764" s="1">
        <v>46035</v>
      </c>
      <c r="AA764" s="2">
        <v>1395796.74</v>
      </c>
      <c r="AB764" s="2">
        <v>1182878.6000000001</v>
      </c>
      <c r="AC764" s="2">
        <v>212918.14</v>
      </c>
      <c r="AD764" s="2">
        <v>700185.16</v>
      </c>
      <c r="AE764" t="s">
        <v>2548</v>
      </c>
      <c r="AF764" t="s">
        <v>72</v>
      </c>
      <c r="AG764">
        <v>43</v>
      </c>
      <c r="AH764" t="s">
        <v>236</v>
      </c>
      <c r="AI764" t="s">
        <v>74</v>
      </c>
      <c r="AJ764" t="s">
        <v>75</v>
      </c>
      <c r="AK764" t="s">
        <v>76</v>
      </c>
      <c r="AL764" t="s">
        <v>77</v>
      </c>
      <c r="AM764" t="s">
        <v>78</v>
      </c>
      <c r="AN764" t="s">
        <v>92</v>
      </c>
      <c r="AO764" t="s">
        <v>80</v>
      </c>
      <c r="AP764" t="e">
        <v>#N/A</v>
      </c>
      <c r="AQ764" t="s">
        <v>81</v>
      </c>
      <c r="AR764" t="str">
        <f t="shared" si="22"/>
        <v>60603994.STATAM</v>
      </c>
      <c r="AS764">
        <f t="shared" si="23"/>
        <v>8487824.9000000022</v>
      </c>
      <c r="AT764" t="s">
        <v>82</v>
      </c>
    </row>
    <row r="765" spans="1:46" x14ac:dyDescent="0.35">
      <c r="A765" t="s">
        <v>52</v>
      </c>
      <c r="B765" t="s">
        <v>53</v>
      </c>
      <c r="C765" t="s">
        <v>54</v>
      </c>
      <c r="D765" t="s">
        <v>55</v>
      </c>
      <c r="E765" t="s">
        <v>56</v>
      </c>
      <c r="F765" t="s">
        <v>2542</v>
      </c>
      <c r="G765" t="s">
        <v>2543</v>
      </c>
      <c r="H765" t="s">
        <v>59</v>
      </c>
      <c r="I765" t="s">
        <v>2544</v>
      </c>
      <c r="J765" t="s">
        <v>61</v>
      </c>
      <c r="K765" t="s">
        <v>62</v>
      </c>
      <c r="L765" t="s">
        <v>56</v>
      </c>
      <c r="M765" t="s">
        <v>56</v>
      </c>
      <c r="N765" t="s">
        <v>63</v>
      </c>
      <c r="O765" t="s">
        <v>1844</v>
      </c>
      <c r="P765" t="s">
        <v>1845</v>
      </c>
      <c r="Q765" t="s">
        <v>2545</v>
      </c>
      <c r="R765" t="s">
        <v>248</v>
      </c>
      <c r="S765">
        <v>4000000</v>
      </c>
      <c r="T765">
        <v>-4568094.4000000004</v>
      </c>
      <c r="U765" t="s">
        <v>68</v>
      </c>
      <c r="V765" t="s">
        <v>2546</v>
      </c>
      <c r="W765" s="9">
        <v>60603994</v>
      </c>
      <c r="X765" t="s">
        <v>2549</v>
      </c>
      <c r="Y765" s="1">
        <v>46006</v>
      </c>
      <c r="Z765" s="1">
        <v>46066</v>
      </c>
      <c r="AA765" s="2">
        <v>2260772.2599999998</v>
      </c>
      <c r="AB765" s="2">
        <v>1915908.7</v>
      </c>
      <c r="AC765" s="2">
        <v>344863.56</v>
      </c>
      <c r="AD765" s="2">
        <v>2260772.2599999998</v>
      </c>
      <c r="AE765" t="s">
        <v>2550</v>
      </c>
      <c r="AF765" t="s">
        <v>72</v>
      </c>
      <c r="AG765">
        <v>12</v>
      </c>
      <c r="AH765" t="s">
        <v>73</v>
      </c>
      <c r="AI765" t="s">
        <v>74</v>
      </c>
      <c r="AJ765" t="s">
        <v>75</v>
      </c>
      <c r="AK765" t="s">
        <v>76</v>
      </c>
      <c r="AL765" t="s">
        <v>77</v>
      </c>
      <c r="AM765" t="s">
        <v>78</v>
      </c>
      <c r="AN765" t="s">
        <v>92</v>
      </c>
      <c r="AO765" t="s">
        <v>80</v>
      </c>
      <c r="AP765" t="e">
        <v>#N/A</v>
      </c>
      <c r="AQ765" t="s">
        <v>81</v>
      </c>
      <c r="AR765" t="str">
        <f t="shared" si="22"/>
        <v>60603994.STATAM</v>
      </c>
      <c r="AS765">
        <f t="shared" si="23"/>
        <v>8487824.9000000022</v>
      </c>
      <c r="AT765" t="s">
        <v>82</v>
      </c>
    </row>
    <row r="766" spans="1:46" x14ac:dyDescent="0.35">
      <c r="A766" t="s">
        <v>52</v>
      </c>
      <c r="B766" t="s">
        <v>53</v>
      </c>
      <c r="C766" t="s">
        <v>54</v>
      </c>
      <c r="D766" t="s">
        <v>55</v>
      </c>
      <c r="E766" t="s">
        <v>56</v>
      </c>
      <c r="F766" t="s">
        <v>2542</v>
      </c>
      <c r="G766" t="s">
        <v>2543</v>
      </c>
      <c r="H766" t="s">
        <v>59</v>
      </c>
      <c r="I766" t="s">
        <v>2544</v>
      </c>
      <c r="J766" t="s">
        <v>61</v>
      </c>
      <c r="K766" t="s">
        <v>62</v>
      </c>
      <c r="L766" t="s">
        <v>56</v>
      </c>
      <c r="M766" t="s">
        <v>56</v>
      </c>
      <c r="N766" t="s">
        <v>63</v>
      </c>
      <c r="O766" t="s">
        <v>1844</v>
      </c>
      <c r="P766" t="s">
        <v>1845</v>
      </c>
      <c r="Q766" t="s">
        <v>2545</v>
      </c>
      <c r="R766" t="s">
        <v>248</v>
      </c>
      <c r="S766">
        <v>4000000</v>
      </c>
      <c r="T766">
        <v>-4568094.4000000004</v>
      </c>
      <c r="U766" t="s">
        <v>68</v>
      </c>
      <c r="V766" t="s">
        <v>2546</v>
      </c>
      <c r="W766" s="9">
        <v>60603994</v>
      </c>
      <c r="X766" t="s">
        <v>2551</v>
      </c>
      <c r="Y766" s="1">
        <v>46041</v>
      </c>
      <c r="Z766" s="1">
        <v>46101</v>
      </c>
      <c r="AA766" s="2">
        <v>2285834.64</v>
      </c>
      <c r="AB766" s="2">
        <v>1937148</v>
      </c>
      <c r="AC766" s="2">
        <v>348686.64</v>
      </c>
      <c r="AD766" s="2">
        <v>2285834.64</v>
      </c>
      <c r="AE766" t="s">
        <v>2552</v>
      </c>
      <c r="AF766" t="s">
        <v>72</v>
      </c>
      <c r="AG766">
        <v>-23</v>
      </c>
      <c r="AH766" t="s">
        <v>117</v>
      </c>
      <c r="AI766" t="s">
        <v>74</v>
      </c>
      <c r="AJ766" t="s">
        <v>75</v>
      </c>
      <c r="AK766" t="s">
        <v>76</v>
      </c>
      <c r="AL766" t="s">
        <v>118</v>
      </c>
      <c r="AM766" t="s">
        <v>78</v>
      </c>
      <c r="AN766" t="s">
        <v>92</v>
      </c>
      <c r="AO766" t="s">
        <v>119</v>
      </c>
      <c r="AP766" t="e">
        <v>#N/A</v>
      </c>
      <c r="AQ766" t="s">
        <v>81</v>
      </c>
      <c r="AR766" t="str">
        <f t="shared" si="22"/>
        <v>60603994.STATAM</v>
      </c>
      <c r="AS766">
        <f t="shared" si="23"/>
        <v>8487824.9000000022</v>
      </c>
      <c r="AT766" t="s">
        <v>82</v>
      </c>
    </row>
    <row r="767" spans="1:46" x14ac:dyDescent="0.35">
      <c r="A767" t="s">
        <v>52</v>
      </c>
      <c r="B767" t="s">
        <v>53</v>
      </c>
      <c r="C767" t="s">
        <v>54</v>
      </c>
      <c r="D767" t="s">
        <v>55</v>
      </c>
      <c r="E767" t="s">
        <v>56</v>
      </c>
      <c r="F767" t="s">
        <v>2542</v>
      </c>
      <c r="G767" t="s">
        <v>2553</v>
      </c>
      <c r="H767" t="s">
        <v>56</v>
      </c>
      <c r="I767" t="s">
        <v>2554</v>
      </c>
      <c r="J767" t="s">
        <v>56</v>
      </c>
      <c r="K767" t="s">
        <v>62</v>
      </c>
      <c r="L767" t="s">
        <v>56</v>
      </c>
      <c r="M767" t="s">
        <v>56</v>
      </c>
      <c r="N767" t="s">
        <v>1189</v>
      </c>
      <c r="O767" t="s">
        <v>1844</v>
      </c>
      <c r="P767" t="s">
        <v>1845</v>
      </c>
      <c r="Q767" t="s">
        <v>393</v>
      </c>
      <c r="R767" t="s">
        <v>248</v>
      </c>
      <c r="S767">
        <v>4000000</v>
      </c>
      <c r="T767">
        <v>-4568094.4000000004</v>
      </c>
      <c r="U767" t="s">
        <v>68</v>
      </c>
      <c r="V767" t="s">
        <v>2546</v>
      </c>
      <c r="W767" s="9">
        <v>60603994</v>
      </c>
      <c r="X767" t="s">
        <v>2555</v>
      </c>
      <c r="Y767" s="1">
        <v>46070</v>
      </c>
      <c r="Z767" s="1">
        <v>46130</v>
      </c>
      <c r="AA767" s="2">
        <v>159864.04</v>
      </c>
      <c r="AB767" s="2">
        <v>135478</v>
      </c>
      <c r="AC767" s="2">
        <v>24386.04</v>
      </c>
      <c r="AD767" s="2">
        <v>159864.04</v>
      </c>
      <c r="AE767" t="s">
        <v>2556</v>
      </c>
      <c r="AF767" t="s">
        <v>72</v>
      </c>
      <c r="AG767">
        <v>-52</v>
      </c>
      <c r="AH767" t="s">
        <v>117</v>
      </c>
      <c r="AI767" t="s">
        <v>74</v>
      </c>
      <c r="AJ767" t="s">
        <v>75</v>
      </c>
      <c r="AK767" t="s">
        <v>76</v>
      </c>
      <c r="AL767" t="s">
        <v>118</v>
      </c>
      <c r="AM767" t="s">
        <v>78</v>
      </c>
      <c r="AN767" t="s">
        <v>92</v>
      </c>
      <c r="AO767" t="s">
        <v>119</v>
      </c>
      <c r="AP767" t="e">
        <v>#N/A</v>
      </c>
      <c r="AQ767" t="s">
        <v>81</v>
      </c>
      <c r="AR767" t="str">
        <f t="shared" si="22"/>
        <v>60603994.STATAM</v>
      </c>
      <c r="AS767">
        <f t="shared" si="23"/>
        <v>8487824.9000000022</v>
      </c>
      <c r="AT767" t="s">
        <v>82</v>
      </c>
    </row>
    <row r="768" spans="1:46" x14ac:dyDescent="0.35">
      <c r="A768" t="s">
        <v>52</v>
      </c>
      <c r="B768" t="s">
        <v>53</v>
      </c>
      <c r="C768" t="s">
        <v>54</v>
      </c>
      <c r="D768" t="s">
        <v>55</v>
      </c>
      <c r="E768" t="s">
        <v>56</v>
      </c>
      <c r="F768" t="s">
        <v>2542</v>
      </c>
      <c r="G768" t="s">
        <v>2553</v>
      </c>
      <c r="H768" t="s">
        <v>56</v>
      </c>
      <c r="I768" t="s">
        <v>2554</v>
      </c>
      <c r="J768" t="s">
        <v>56</v>
      </c>
      <c r="K768" t="s">
        <v>62</v>
      </c>
      <c r="L768" t="s">
        <v>56</v>
      </c>
      <c r="M768" t="s">
        <v>56</v>
      </c>
      <c r="N768" t="s">
        <v>1183</v>
      </c>
      <c r="O768" t="s">
        <v>1844</v>
      </c>
      <c r="P768" t="s">
        <v>1845</v>
      </c>
      <c r="Q768" t="s">
        <v>393</v>
      </c>
      <c r="R768" t="s">
        <v>248</v>
      </c>
      <c r="S768">
        <v>4000000</v>
      </c>
      <c r="T768">
        <v>-4568094.4000000004</v>
      </c>
      <c r="U768" t="s">
        <v>68</v>
      </c>
      <c r="V768" t="s">
        <v>2546</v>
      </c>
      <c r="W768" s="9">
        <v>60603994</v>
      </c>
      <c r="X768" t="s">
        <v>2555</v>
      </c>
      <c r="Y768" s="1">
        <v>46070</v>
      </c>
      <c r="Z768" s="1">
        <v>46130</v>
      </c>
      <c r="AA768" s="2">
        <v>409075.32</v>
      </c>
      <c r="AB768" s="2">
        <v>346674</v>
      </c>
      <c r="AC768" s="2">
        <v>62401.32</v>
      </c>
      <c r="AD768" s="2">
        <v>409075.32</v>
      </c>
      <c r="AE768" t="s">
        <v>2557</v>
      </c>
      <c r="AF768" t="s">
        <v>72</v>
      </c>
      <c r="AG768">
        <v>-52</v>
      </c>
      <c r="AH768" t="s">
        <v>117</v>
      </c>
      <c r="AI768" t="s">
        <v>74</v>
      </c>
      <c r="AJ768" t="s">
        <v>75</v>
      </c>
      <c r="AK768" t="s">
        <v>76</v>
      </c>
      <c r="AL768" t="s">
        <v>118</v>
      </c>
      <c r="AM768" t="s">
        <v>78</v>
      </c>
      <c r="AN768" t="s">
        <v>92</v>
      </c>
      <c r="AO768" t="s">
        <v>119</v>
      </c>
      <c r="AP768" t="e">
        <v>#N/A</v>
      </c>
      <c r="AQ768" t="s">
        <v>81</v>
      </c>
      <c r="AR768" t="str">
        <f t="shared" si="22"/>
        <v>60603994.STATAM</v>
      </c>
      <c r="AS768">
        <f t="shared" si="23"/>
        <v>8487824.9000000022</v>
      </c>
      <c r="AT768" t="s">
        <v>82</v>
      </c>
    </row>
    <row r="769" spans="1:46" x14ac:dyDescent="0.35">
      <c r="A769" t="s">
        <v>52</v>
      </c>
      <c r="B769" t="s">
        <v>53</v>
      </c>
      <c r="C769" t="s">
        <v>54</v>
      </c>
      <c r="D769" t="s">
        <v>55</v>
      </c>
      <c r="E769" t="s">
        <v>56</v>
      </c>
      <c r="F769" t="s">
        <v>2542</v>
      </c>
      <c r="G769" t="s">
        <v>2553</v>
      </c>
      <c r="H769" t="s">
        <v>56</v>
      </c>
      <c r="I769" t="s">
        <v>2558</v>
      </c>
      <c r="J769" t="s">
        <v>56</v>
      </c>
      <c r="K769" t="s">
        <v>62</v>
      </c>
      <c r="L769" t="s">
        <v>56</v>
      </c>
      <c r="M769" t="s">
        <v>56</v>
      </c>
      <c r="N769" t="s">
        <v>1183</v>
      </c>
      <c r="O769" t="s">
        <v>1844</v>
      </c>
      <c r="P769" t="s">
        <v>1845</v>
      </c>
      <c r="Q769" t="s">
        <v>393</v>
      </c>
      <c r="R769" t="s">
        <v>248</v>
      </c>
      <c r="S769">
        <v>4000000</v>
      </c>
      <c r="T769">
        <v>-4568094.4000000004</v>
      </c>
      <c r="U769" t="s">
        <v>68</v>
      </c>
      <c r="V769" t="s">
        <v>2546</v>
      </c>
      <c r="W769" s="9">
        <v>60603994</v>
      </c>
      <c r="X769" t="s">
        <v>2559</v>
      </c>
      <c r="Y769" s="1">
        <v>46070</v>
      </c>
      <c r="Z769" s="1">
        <v>46130</v>
      </c>
      <c r="AA769" s="2">
        <v>227211.36</v>
      </c>
      <c r="AB769" s="2">
        <v>192552</v>
      </c>
      <c r="AC769" s="2">
        <v>34659.360000000001</v>
      </c>
      <c r="AD769" s="2">
        <v>227211.36</v>
      </c>
      <c r="AE769" t="s">
        <v>2560</v>
      </c>
      <c r="AF769" t="s">
        <v>72</v>
      </c>
      <c r="AG769">
        <v>-52</v>
      </c>
      <c r="AH769" t="s">
        <v>117</v>
      </c>
      <c r="AI769" t="s">
        <v>74</v>
      </c>
      <c r="AJ769" t="s">
        <v>75</v>
      </c>
      <c r="AK769" t="s">
        <v>76</v>
      </c>
      <c r="AL769" t="s">
        <v>118</v>
      </c>
      <c r="AM769" t="s">
        <v>78</v>
      </c>
      <c r="AN769" t="s">
        <v>92</v>
      </c>
      <c r="AO769" t="s">
        <v>119</v>
      </c>
      <c r="AP769" t="e">
        <v>#N/A</v>
      </c>
      <c r="AQ769" t="s">
        <v>81</v>
      </c>
      <c r="AR769" t="str">
        <f t="shared" si="22"/>
        <v>60603994.STATAM</v>
      </c>
      <c r="AS769">
        <f t="shared" si="23"/>
        <v>8487824.9000000022</v>
      </c>
      <c r="AT769" t="s">
        <v>82</v>
      </c>
    </row>
    <row r="770" spans="1:46" x14ac:dyDescent="0.35">
      <c r="A770" t="s">
        <v>52</v>
      </c>
      <c r="B770" t="s">
        <v>53</v>
      </c>
      <c r="C770" t="s">
        <v>54</v>
      </c>
      <c r="D770" t="s">
        <v>55</v>
      </c>
      <c r="E770" t="s">
        <v>56</v>
      </c>
      <c r="F770" t="s">
        <v>2542</v>
      </c>
      <c r="G770" t="s">
        <v>2561</v>
      </c>
      <c r="H770" t="s">
        <v>56</v>
      </c>
      <c r="I770" t="s">
        <v>2562</v>
      </c>
      <c r="J770" t="s">
        <v>56</v>
      </c>
      <c r="K770" t="s">
        <v>62</v>
      </c>
      <c r="L770" t="s">
        <v>56</v>
      </c>
      <c r="M770" t="s">
        <v>56</v>
      </c>
      <c r="N770" t="s">
        <v>655</v>
      </c>
      <c r="O770" t="s">
        <v>1844</v>
      </c>
      <c r="P770" t="s">
        <v>1845</v>
      </c>
      <c r="Q770" t="s">
        <v>114</v>
      </c>
      <c r="R770" t="s">
        <v>248</v>
      </c>
      <c r="S770">
        <v>4000000</v>
      </c>
      <c r="T770">
        <v>-4568094.4000000004</v>
      </c>
      <c r="U770" t="s">
        <v>68</v>
      </c>
      <c r="V770" t="s">
        <v>2546</v>
      </c>
      <c r="W770" s="9">
        <v>60603994</v>
      </c>
      <c r="X770" t="s">
        <v>2563</v>
      </c>
      <c r="Y770" s="1">
        <v>46070</v>
      </c>
      <c r="Z770" s="1">
        <v>46130</v>
      </c>
      <c r="AA770" s="2">
        <v>111746.88</v>
      </c>
      <c r="AB770" s="2">
        <v>94700.75</v>
      </c>
      <c r="AC770" s="2">
        <v>17046.13</v>
      </c>
      <c r="AD770" s="2">
        <v>111746.88</v>
      </c>
      <c r="AE770" t="s">
        <v>2564</v>
      </c>
      <c r="AF770" t="s">
        <v>72</v>
      </c>
      <c r="AG770">
        <v>-52</v>
      </c>
      <c r="AH770" t="s">
        <v>117</v>
      </c>
      <c r="AI770" t="s">
        <v>74</v>
      </c>
      <c r="AJ770" t="s">
        <v>75</v>
      </c>
      <c r="AK770" t="s">
        <v>76</v>
      </c>
      <c r="AL770" t="s">
        <v>118</v>
      </c>
      <c r="AM770" t="s">
        <v>78</v>
      </c>
      <c r="AN770" t="s">
        <v>92</v>
      </c>
      <c r="AO770" t="s">
        <v>119</v>
      </c>
      <c r="AP770" t="e">
        <v>#N/A</v>
      </c>
      <c r="AQ770" t="s">
        <v>81</v>
      </c>
      <c r="AR770" t="str">
        <f t="shared" si="22"/>
        <v>60603994.STATAM</v>
      </c>
      <c r="AS770">
        <f t="shared" si="23"/>
        <v>8487824.9000000022</v>
      </c>
      <c r="AT770" t="s">
        <v>82</v>
      </c>
    </row>
    <row r="771" spans="1:46" x14ac:dyDescent="0.35">
      <c r="A771" t="s">
        <v>52</v>
      </c>
      <c r="B771" t="s">
        <v>53</v>
      </c>
      <c r="C771" t="s">
        <v>54</v>
      </c>
      <c r="D771" t="s">
        <v>55</v>
      </c>
      <c r="E771" t="s">
        <v>56</v>
      </c>
      <c r="F771" t="s">
        <v>2542</v>
      </c>
      <c r="G771" t="s">
        <v>2561</v>
      </c>
      <c r="H771" t="s">
        <v>56</v>
      </c>
      <c r="I771" t="s">
        <v>2562</v>
      </c>
      <c r="J771" t="s">
        <v>56</v>
      </c>
      <c r="K771" t="s">
        <v>62</v>
      </c>
      <c r="L771" t="s">
        <v>56</v>
      </c>
      <c r="M771" t="s">
        <v>56</v>
      </c>
      <c r="N771" t="s">
        <v>1189</v>
      </c>
      <c r="O771" t="s">
        <v>1844</v>
      </c>
      <c r="P771" t="s">
        <v>1845</v>
      </c>
      <c r="Q771" t="s">
        <v>114</v>
      </c>
      <c r="R771" t="s">
        <v>248</v>
      </c>
      <c r="S771">
        <v>4000000</v>
      </c>
      <c r="T771">
        <v>-4568094.4000000004</v>
      </c>
      <c r="U771" t="s">
        <v>68</v>
      </c>
      <c r="V771" t="s">
        <v>2546</v>
      </c>
      <c r="W771" s="9">
        <v>60603994</v>
      </c>
      <c r="X771" t="s">
        <v>2563</v>
      </c>
      <c r="Y771" s="1">
        <v>46070</v>
      </c>
      <c r="Z771" s="1">
        <v>46130</v>
      </c>
      <c r="AA771" s="2">
        <v>164335.24</v>
      </c>
      <c r="AB771" s="2">
        <v>139267.15</v>
      </c>
      <c r="AC771" s="2">
        <v>25068.09</v>
      </c>
      <c r="AD771" s="2">
        <v>164335.24</v>
      </c>
      <c r="AE771" t="s">
        <v>2565</v>
      </c>
      <c r="AF771" t="s">
        <v>72</v>
      </c>
      <c r="AG771">
        <v>-52</v>
      </c>
      <c r="AH771" t="s">
        <v>117</v>
      </c>
      <c r="AI771" t="s">
        <v>74</v>
      </c>
      <c r="AJ771" t="s">
        <v>75</v>
      </c>
      <c r="AK771" t="s">
        <v>76</v>
      </c>
      <c r="AL771" t="s">
        <v>118</v>
      </c>
      <c r="AM771" t="s">
        <v>78</v>
      </c>
      <c r="AN771" t="s">
        <v>92</v>
      </c>
      <c r="AO771" t="s">
        <v>119</v>
      </c>
      <c r="AP771" t="e">
        <v>#N/A</v>
      </c>
      <c r="AQ771" t="s">
        <v>81</v>
      </c>
      <c r="AR771" t="str">
        <f t="shared" si="22"/>
        <v>60603994.STATAM</v>
      </c>
      <c r="AS771">
        <f t="shared" si="23"/>
        <v>8487824.9000000022</v>
      </c>
      <c r="AT771" t="s">
        <v>82</v>
      </c>
    </row>
    <row r="772" spans="1:46" x14ac:dyDescent="0.35">
      <c r="A772" t="s">
        <v>52</v>
      </c>
      <c r="B772" t="s">
        <v>53</v>
      </c>
      <c r="C772" t="s">
        <v>54</v>
      </c>
      <c r="D772" t="s">
        <v>55</v>
      </c>
      <c r="E772" t="s">
        <v>56</v>
      </c>
      <c r="F772" t="s">
        <v>2542</v>
      </c>
      <c r="G772" t="s">
        <v>2543</v>
      </c>
      <c r="H772" t="s">
        <v>59</v>
      </c>
      <c r="I772" t="s">
        <v>2544</v>
      </c>
      <c r="J772" t="s">
        <v>61</v>
      </c>
      <c r="K772" t="s">
        <v>62</v>
      </c>
      <c r="L772" t="s">
        <v>56</v>
      </c>
      <c r="M772" t="s">
        <v>56</v>
      </c>
      <c r="N772" t="s">
        <v>63</v>
      </c>
      <c r="O772" t="s">
        <v>1844</v>
      </c>
      <c r="P772" t="s">
        <v>1845</v>
      </c>
      <c r="Q772" t="s">
        <v>2545</v>
      </c>
      <c r="R772" t="s">
        <v>248</v>
      </c>
      <c r="S772">
        <v>4000000</v>
      </c>
      <c r="T772">
        <v>-4568094.4000000004</v>
      </c>
      <c r="U772" t="s">
        <v>68</v>
      </c>
      <c r="V772" t="s">
        <v>2546</v>
      </c>
      <c r="W772" s="9">
        <v>60603994</v>
      </c>
      <c r="X772" t="s">
        <v>2566</v>
      </c>
      <c r="Y772" s="1">
        <v>46070</v>
      </c>
      <c r="Z772" s="1">
        <v>46130</v>
      </c>
      <c r="AA772" s="2">
        <v>2168800</v>
      </c>
      <c r="AB772" s="2">
        <v>1837966.1</v>
      </c>
      <c r="AC772" s="2">
        <v>330833.90000000002</v>
      </c>
      <c r="AD772" s="2">
        <v>2168800</v>
      </c>
      <c r="AE772" t="s">
        <v>2567</v>
      </c>
      <c r="AF772" t="s">
        <v>72</v>
      </c>
      <c r="AG772">
        <v>-52</v>
      </c>
      <c r="AH772" t="s">
        <v>117</v>
      </c>
      <c r="AI772" t="s">
        <v>74</v>
      </c>
      <c r="AJ772" t="s">
        <v>75</v>
      </c>
      <c r="AK772" t="s">
        <v>76</v>
      </c>
      <c r="AL772" t="s">
        <v>118</v>
      </c>
      <c r="AM772" t="s">
        <v>78</v>
      </c>
      <c r="AN772" t="s">
        <v>92</v>
      </c>
      <c r="AO772" t="s">
        <v>119</v>
      </c>
      <c r="AP772" t="e">
        <v>#N/A</v>
      </c>
      <c r="AQ772" t="s">
        <v>81</v>
      </c>
      <c r="AR772" t="str">
        <f t="shared" si="22"/>
        <v>60603994.STATAM</v>
      </c>
      <c r="AS772">
        <f t="shared" si="23"/>
        <v>8487824.9000000022</v>
      </c>
      <c r="AT772" t="s">
        <v>82</v>
      </c>
    </row>
    <row r="773" spans="1:46" x14ac:dyDescent="0.35">
      <c r="A773" t="s">
        <v>52</v>
      </c>
      <c r="B773" t="s">
        <v>53</v>
      </c>
      <c r="C773" t="s">
        <v>54</v>
      </c>
      <c r="D773" t="s">
        <v>55</v>
      </c>
      <c r="E773" t="s">
        <v>56</v>
      </c>
      <c r="F773" t="s">
        <v>2568</v>
      </c>
      <c r="G773" t="s">
        <v>2569</v>
      </c>
      <c r="H773" t="s">
        <v>153</v>
      </c>
      <c r="I773" t="s">
        <v>2570</v>
      </c>
      <c r="J773" t="s">
        <v>56</v>
      </c>
      <c r="K773" t="s">
        <v>243</v>
      </c>
      <c r="L773" t="s">
        <v>56</v>
      </c>
      <c r="M773" t="s">
        <v>56</v>
      </c>
      <c r="N773" t="s">
        <v>155</v>
      </c>
      <c r="O773" t="s">
        <v>2571</v>
      </c>
      <c r="P773" t="s">
        <v>2572</v>
      </c>
      <c r="Q773" t="s">
        <v>114</v>
      </c>
      <c r="R773" t="s">
        <v>88</v>
      </c>
      <c r="T773">
        <v>-107866.18</v>
      </c>
      <c r="U773" t="s">
        <v>68</v>
      </c>
      <c r="V773" t="s">
        <v>2573</v>
      </c>
      <c r="W773" s="9">
        <v>60604271</v>
      </c>
      <c r="X773" t="s">
        <v>2574</v>
      </c>
      <c r="Y773" s="1">
        <v>45719</v>
      </c>
      <c r="Z773" s="1">
        <v>45719</v>
      </c>
      <c r="AA773" s="2">
        <v>592892.44999999995</v>
      </c>
      <c r="AB773" s="2">
        <v>502451.23</v>
      </c>
      <c r="AC773" s="2">
        <v>90441.22</v>
      </c>
      <c r="AD773" s="2">
        <v>107866.18</v>
      </c>
      <c r="AE773" t="s">
        <v>2575</v>
      </c>
      <c r="AF773" t="s">
        <v>72</v>
      </c>
      <c r="AG773">
        <v>359</v>
      </c>
      <c r="AH773" t="s">
        <v>101</v>
      </c>
      <c r="AI773" t="s">
        <v>74</v>
      </c>
      <c r="AJ773" t="s">
        <v>75</v>
      </c>
      <c r="AK773" t="s">
        <v>102</v>
      </c>
      <c r="AL773" t="s">
        <v>77</v>
      </c>
      <c r="AM773" t="s">
        <v>103</v>
      </c>
      <c r="AN773" t="s">
        <v>2346</v>
      </c>
      <c r="AO773" t="s">
        <v>80</v>
      </c>
      <c r="AP773" t="e">
        <v>#N/A</v>
      </c>
      <c r="AQ773" t="s">
        <v>105</v>
      </c>
      <c r="AR773" t="str">
        <f t="shared" si="22"/>
        <v>60604271.STATEQ</v>
      </c>
      <c r="AS773">
        <f t="shared" si="23"/>
        <v>107866.18</v>
      </c>
      <c r="AT773" t="s">
        <v>82</v>
      </c>
    </row>
    <row r="774" spans="1:46" x14ac:dyDescent="0.35">
      <c r="A774" t="s">
        <v>52</v>
      </c>
      <c r="B774" t="s">
        <v>53</v>
      </c>
      <c r="C774" t="s">
        <v>54</v>
      </c>
      <c r="D774" t="s">
        <v>55</v>
      </c>
      <c r="E774" t="s">
        <v>56</v>
      </c>
      <c r="F774" t="s">
        <v>2576</v>
      </c>
      <c r="G774" t="s">
        <v>2577</v>
      </c>
      <c r="H774" t="s">
        <v>56</v>
      </c>
      <c r="I774" t="s">
        <v>2578</v>
      </c>
      <c r="J774" t="s">
        <v>61</v>
      </c>
      <c r="K774" t="s">
        <v>62</v>
      </c>
      <c r="L774" t="s">
        <v>56</v>
      </c>
      <c r="M774" t="s">
        <v>56</v>
      </c>
      <c r="N774" t="s">
        <v>680</v>
      </c>
      <c r="O774" t="s">
        <v>406</v>
      </c>
      <c r="P774" t="s">
        <v>407</v>
      </c>
      <c r="Q774" t="s">
        <v>114</v>
      </c>
      <c r="R774" t="s">
        <v>248</v>
      </c>
      <c r="S774">
        <v>500000</v>
      </c>
      <c r="T774">
        <v>315643.84999999998</v>
      </c>
      <c r="U774" t="s">
        <v>68</v>
      </c>
      <c r="V774" t="s">
        <v>2579</v>
      </c>
      <c r="W774" s="9">
        <v>60602754</v>
      </c>
      <c r="X774" t="s">
        <v>2580</v>
      </c>
      <c r="Y774" s="1">
        <v>45964</v>
      </c>
      <c r="Z774" s="1">
        <v>46024</v>
      </c>
      <c r="AA774" s="2">
        <v>67757.89</v>
      </c>
      <c r="AB774" s="2">
        <v>57421.94</v>
      </c>
      <c r="AC774" s="2">
        <v>10335.950000000001</v>
      </c>
      <c r="AD774" s="2">
        <v>113.78</v>
      </c>
      <c r="AE774" t="s">
        <v>2581</v>
      </c>
      <c r="AF774" t="s">
        <v>72</v>
      </c>
      <c r="AG774">
        <v>54</v>
      </c>
      <c r="AH774" t="s">
        <v>236</v>
      </c>
      <c r="AI774" t="s">
        <v>74</v>
      </c>
      <c r="AJ774" t="s">
        <v>127</v>
      </c>
      <c r="AK774" t="s">
        <v>334</v>
      </c>
      <c r="AL774" t="s">
        <v>77</v>
      </c>
      <c r="AM774" t="s">
        <v>78</v>
      </c>
      <c r="AN774" t="s">
        <v>104</v>
      </c>
      <c r="AO774" t="s">
        <v>80</v>
      </c>
      <c r="AP774" t="e">
        <v>#N/A</v>
      </c>
      <c r="AQ774" t="s">
        <v>335</v>
      </c>
      <c r="AR774" t="str">
        <f t="shared" si="22"/>
        <v>60602754.SPMINAM</v>
      </c>
      <c r="AS774">
        <f t="shared" si="23"/>
        <v>184356.15</v>
      </c>
      <c r="AT774" t="s">
        <v>82</v>
      </c>
    </row>
    <row r="775" spans="1:46" x14ac:dyDescent="0.35">
      <c r="A775" t="s">
        <v>52</v>
      </c>
      <c r="B775" t="s">
        <v>53</v>
      </c>
      <c r="C775" t="s">
        <v>54</v>
      </c>
      <c r="D775" t="s">
        <v>55</v>
      </c>
      <c r="E775" t="s">
        <v>56</v>
      </c>
      <c r="F775" t="s">
        <v>2576</v>
      </c>
      <c r="G775" t="s">
        <v>2582</v>
      </c>
      <c r="H775" t="s">
        <v>56</v>
      </c>
      <c r="I775" t="s">
        <v>2583</v>
      </c>
      <c r="J775" t="s">
        <v>61</v>
      </c>
      <c r="K775" t="s">
        <v>62</v>
      </c>
      <c r="L775" t="s">
        <v>56</v>
      </c>
      <c r="M775" t="s">
        <v>56</v>
      </c>
      <c r="N775" t="s">
        <v>682</v>
      </c>
      <c r="O775" t="s">
        <v>406</v>
      </c>
      <c r="P775" t="s">
        <v>407</v>
      </c>
      <c r="Q775" t="s">
        <v>114</v>
      </c>
      <c r="R775" t="s">
        <v>248</v>
      </c>
      <c r="S775">
        <v>500000</v>
      </c>
      <c r="T775">
        <v>315643.84999999998</v>
      </c>
      <c r="U775" t="s">
        <v>68</v>
      </c>
      <c r="V775" t="s">
        <v>2579</v>
      </c>
      <c r="W775" s="9">
        <v>60602754</v>
      </c>
      <c r="X775" t="s">
        <v>2584</v>
      </c>
      <c r="Y775" s="1">
        <v>46063</v>
      </c>
      <c r="Z775" s="1">
        <v>46123</v>
      </c>
      <c r="AA775" s="2">
        <v>184242.37</v>
      </c>
      <c r="AB775" s="2">
        <v>156137.60000000001</v>
      </c>
      <c r="AC775" s="2">
        <v>28104.77</v>
      </c>
      <c r="AD775" s="2">
        <v>184242.37</v>
      </c>
      <c r="AE775" t="s">
        <v>2585</v>
      </c>
      <c r="AF775" t="s">
        <v>72</v>
      </c>
      <c r="AG775">
        <v>-45</v>
      </c>
      <c r="AH775" t="s">
        <v>117</v>
      </c>
      <c r="AI775" t="s">
        <v>74</v>
      </c>
      <c r="AJ775" t="s">
        <v>127</v>
      </c>
      <c r="AK775" t="s">
        <v>334</v>
      </c>
      <c r="AL775" t="s">
        <v>118</v>
      </c>
      <c r="AM775" t="s">
        <v>78</v>
      </c>
      <c r="AN775" t="s">
        <v>104</v>
      </c>
      <c r="AO775" t="s">
        <v>119</v>
      </c>
      <c r="AP775" t="e">
        <v>#N/A</v>
      </c>
      <c r="AQ775" t="s">
        <v>335</v>
      </c>
      <c r="AR775" t="str">
        <f t="shared" si="22"/>
        <v>60602754.SPMINAM</v>
      </c>
      <c r="AS775">
        <f t="shared" si="23"/>
        <v>184356.15</v>
      </c>
      <c r="AT775" t="s">
        <v>82</v>
      </c>
    </row>
    <row r="776" spans="1:46" x14ac:dyDescent="0.35">
      <c r="A776" t="s">
        <v>52</v>
      </c>
      <c r="B776" t="s">
        <v>53</v>
      </c>
      <c r="C776" t="s">
        <v>54</v>
      </c>
      <c r="D776" t="s">
        <v>55</v>
      </c>
      <c r="E776" t="s">
        <v>56</v>
      </c>
      <c r="F776" t="s">
        <v>2586</v>
      </c>
      <c r="G776" t="s">
        <v>56</v>
      </c>
      <c r="H776" t="s">
        <v>56</v>
      </c>
      <c r="I776" t="s">
        <v>2587</v>
      </c>
      <c r="J776" t="s">
        <v>61</v>
      </c>
      <c r="K776" t="s">
        <v>62</v>
      </c>
      <c r="L776" t="s">
        <v>56</v>
      </c>
      <c r="M776" t="s">
        <v>56</v>
      </c>
      <c r="N776" t="s">
        <v>56</v>
      </c>
      <c r="O776" t="s">
        <v>2476</v>
      </c>
      <c r="P776" t="s">
        <v>2477</v>
      </c>
      <c r="Q776" t="s">
        <v>87</v>
      </c>
      <c r="R776" t="s">
        <v>88</v>
      </c>
      <c r="T776">
        <v>-439</v>
      </c>
      <c r="U776" t="s">
        <v>68</v>
      </c>
      <c r="V776" t="s">
        <v>2588</v>
      </c>
      <c r="W776" s="9">
        <v>20000037</v>
      </c>
      <c r="X776" t="s">
        <v>2589</v>
      </c>
      <c r="Y776" s="1">
        <v>45762</v>
      </c>
      <c r="Z776" s="1">
        <v>45762</v>
      </c>
      <c r="AA776" s="2">
        <v>-4410000</v>
      </c>
      <c r="AB776" s="2">
        <v>-4410000</v>
      </c>
      <c r="AC776" s="2">
        <v>0</v>
      </c>
      <c r="AD776" s="2">
        <v>-63900</v>
      </c>
      <c r="AE776" t="s">
        <v>2589</v>
      </c>
      <c r="AF776" t="s">
        <v>72</v>
      </c>
      <c r="AG776">
        <v>316</v>
      </c>
      <c r="AH776" t="s">
        <v>101</v>
      </c>
      <c r="AI776" t="s">
        <v>74</v>
      </c>
      <c r="AJ776" t="s">
        <v>75</v>
      </c>
      <c r="AK776" t="s">
        <v>102</v>
      </c>
      <c r="AL776" t="s">
        <v>77</v>
      </c>
      <c r="AM776" t="s">
        <v>103</v>
      </c>
      <c r="AN776" t="s">
        <v>2346</v>
      </c>
      <c r="AO776" t="s">
        <v>80</v>
      </c>
      <c r="AP776" t="e">
        <v>#N/A</v>
      </c>
      <c r="AQ776" t="s">
        <v>105</v>
      </c>
      <c r="AR776" t="str">
        <f t="shared" ref="AR776:AR839" si="24">W776&amp;"."&amp;AQ776</f>
        <v>20000037.STATEQ</v>
      </c>
      <c r="AS776">
        <f t="shared" ref="AS776:AS839" si="25">SUMIFS(AD:AD,AQ:AQ,AQ776,W:W,W776)</f>
        <v>439</v>
      </c>
      <c r="AT776" t="s">
        <v>82</v>
      </c>
    </row>
    <row r="777" spans="1:46" x14ac:dyDescent="0.35">
      <c r="A777" t="s">
        <v>52</v>
      </c>
      <c r="B777" t="s">
        <v>53</v>
      </c>
      <c r="C777" t="s">
        <v>54</v>
      </c>
      <c r="D777" t="s">
        <v>55</v>
      </c>
      <c r="E777" t="s">
        <v>56</v>
      </c>
      <c r="F777" t="s">
        <v>2586</v>
      </c>
      <c r="G777" t="s">
        <v>56</v>
      </c>
      <c r="H777" t="s">
        <v>56</v>
      </c>
      <c r="I777" t="s">
        <v>2590</v>
      </c>
      <c r="J777" t="s">
        <v>61</v>
      </c>
      <c r="K777" t="s">
        <v>62</v>
      </c>
      <c r="L777" t="s">
        <v>56</v>
      </c>
      <c r="M777" t="s">
        <v>56</v>
      </c>
      <c r="N777" t="s">
        <v>56</v>
      </c>
      <c r="O777" t="s">
        <v>2476</v>
      </c>
      <c r="P777" t="s">
        <v>2477</v>
      </c>
      <c r="Q777" t="s">
        <v>87</v>
      </c>
      <c r="R777" t="s">
        <v>88</v>
      </c>
      <c r="T777">
        <v>-439</v>
      </c>
      <c r="U777" t="s">
        <v>68</v>
      </c>
      <c r="V777" t="s">
        <v>2588</v>
      </c>
      <c r="W777" s="9">
        <v>20000037</v>
      </c>
      <c r="X777" t="s">
        <v>2591</v>
      </c>
      <c r="Y777" s="1">
        <v>46034</v>
      </c>
      <c r="Z777" s="1">
        <v>46034</v>
      </c>
      <c r="AA777" s="2">
        <v>-26131721</v>
      </c>
      <c r="AB777" s="2">
        <v>-26131721</v>
      </c>
      <c r="AC777" s="2">
        <v>0</v>
      </c>
      <c r="AD777" s="2">
        <v>-438341</v>
      </c>
      <c r="AE777" t="s">
        <v>2591</v>
      </c>
      <c r="AF777" t="s">
        <v>72</v>
      </c>
      <c r="AG777">
        <v>44</v>
      </c>
      <c r="AH777" t="s">
        <v>236</v>
      </c>
      <c r="AI777" t="s">
        <v>74</v>
      </c>
      <c r="AJ777" t="s">
        <v>75</v>
      </c>
      <c r="AK777" t="s">
        <v>102</v>
      </c>
      <c r="AL777" t="s">
        <v>77</v>
      </c>
      <c r="AM777" t="s">
        <v>103</v>
      </c>
      <c r="AN777" t="s">
        <v>2346</v>
      </c>
      <c r="AO777" t="s">
        <v>80</v>
      </c>
      <c r="AP777" t="e">
        <v>#N/A</v>
      </c>
      <c r="AQ777" t="s">
        <v>105</v>
      </c>
      <c r="AR777" t="str">
        <f t="shared" si="24"/>
        <v>20000037.STATEQ</v>
      </c>
      <c r="AS777">
        <f t="shared" si="25"/>
        <v>439</v>
      </c>
      <c r="AT777" t="s">
        <v>82</v>
      </c>
    </row>
    <row r="778" spans="1:46" x14ac:dyDescent="0.35">
      <c r="A778" t="s">
        <v>52</v>
      </c>
      <c r="B778" t="s">
        <v>53</v>
      </c>
      <c r="C778" t="s">
        <v>54</v>
      </c>
      <c r="D778" t="s">
        <v>55</v>
      </c>
      <c r="E778" t="s">
        <v>56</v>
      </c>
      <c r="F778" t="s">
        <v>2586</v>
      </c>
      <c r="G778" t="s">
        <v>2592</v>
      </c>
      <c r="H778" t="s">
        <v>153</v>
      </c>
      <c r="I778" t="s">
        <v>2593</v>
      </c>
      <c r="J778" t="s">
        <v>56</v>
      </c>
      <c r="K778" t="s">
        <v>62</v>
      </c>
      <c r="L778" t="s">
        <v>56</v>
      </c>
      <c r="M778" t="s">
        <v>56</v>
      </c>
      <c r="N778" t="s">
        <v>155</v>
      </c>
      <c r="O778" t="s">
        <v>2476</v>
      </c>
      <c r="P778" t="s">
        <v>2477</v>
      </c>
      <c r="Q778" t="s">
        <v>114</v>
      </c>
      <c r="R778" t="s">
        <v>88</v>
      </c>
      <c r="T778">
        <v>-439</v>
      </c>
      <c r="U778" t="s">
        <v>68</v>
      </c>
      <c r="V778" t="s">
        <v>2588</v>
      </c>
      <c r="W778" s="9">
        <v>20000037</v>
      </c>
      <c r="X778" t="s">
        <v>2594</v>
      </c>
      <c r="Y778" s="1">
        <v>46066</v>
      </c>
      <c r="Z778" s="1">
        <v>46066</v>
      </c>
      <c r="AA778" s="2">
        <v>502680</v>
      </c>
      <c r="AB778" s="2">
        <v>426000</v>
      </c>
      <c r="AC778" s="2">
        <v>76680</v>
      </c>
      <c r="AD778" s="2">
        <v>502680</v>
      </c>
      <c r="AE778" t="s">
        <v>2595</v>
      </c>
      <c r="AF778" t="s">
        <v>72</v>
      </c>
      <c r="AG778">
        <v>12</v>
      </c>
      <c r="AH778" t="s">
        <v>73</v>
      </c>
      <c r="AI778" t="s">
        <v>74</v>
      </c>
      <c r="AJ778" t="s">
        <v>75</v>
      </c>
      <c r="AK778" t="s">
        <v>102</v>
      </c>
      <c r="AL778" t="s">
        <v>77</v>
      </c>
      <c r="AM778" t="s">
        <v>103</v>
      </c>
      <c r="AN778" t="s">
        <v>2346</v>
      </c>
      <c r="AO778" t="s">
        <v>80</v>
      </c>
      <c r="AP778" t="e">
        <v>#N/A</v>
      </c>
      <c r="AQ778" t="s">
        <v>105</v>
      </c>
      <c r="AR778" t="str">
        <f t="shared" si="24"/>
        <v>20000037.STATEQ</v>
      </c>
      <c r="AS778">
        <f t="shared" si="25"/>
        <v>439</v>
      </c>
      <c r="AT778" t="s">
        <v>82</v>
      </c>
    </row>
    <row r="779" spans="1:46" x14ac:dyDescent="0.35">
      <c r="A779" t="s">
        <v>52</v>
      </c>
      <c r="B779" t="s">
        <v>53</v>
      </c>
      <c r="C779" t="s">
        <v>54</v>
      </c>
      <c r="D779" t="s">
        <v>55</v>
      </c>
      <c r="E779" t="s">
        <v>56</v>
      </c>
      <c r="F779" t="s">
        <v>2596</v>
      </c>
      <c r="G779" t="s">
        <v>2597</v>
      </c>
      <c r="H779" t="s">
        <v>56</v>
      </c>
      <c r="I779" t="s">
        <v>2598</v>
      </c>
      <c r="J779" t="s">
        <v>56</v>
      </c>
      <c r="K779" t="s">
        <v>640</v>
      </c>
      <c r="L779" t="s">
        <v>2599</v>
      </c>
      <c r="M779" t="s">
        <v>56</v>
      </c>
      <c r="N779" t="s">
        <v>254</v>
      </c>
      <c r="O779" t="s">
        <v>435</v>
      </c>
      <c r="P779" t="s">
        <v>436</v>
      </c>
      <c r="Q779" t="s">
        <v>641</v>
      </c>
      <c r="R779" t="s">
        <v>248</v>
      </c>
      <c r="S779">
        <v>1500000</v>
      </c>
      <c r="T779">
        <v>-13007997.73</v>
      </c>
      <c r="U779" t="s">
        <v>68</v>
      </c>
      <c r="V779" t="s">
        <v>2600</v>
      </c>
      <c r="W779" s="9">
        <v>60604270</v>
      </c>
      <c r="X779" t="s">
        <v>2601</v>
      </c>
      <c r="Y779" s="1">
        <v>46009</v>
      </c>
      <c r="Z779" s="1">
        <v>46069</v>
      </c>
      <c r="AA779" s="2">
        <v>338193.9</v>
      </c>
      <c r="AB779" s="2">
        <v>286605</v>
      </c>
      <c r="AC779" s="2">
        <v>51588.9</v>
      </c>
      <c r="AD779" s="2">
        <v>338193.9</v>
      </c>
      <c r="AE779" t="s">
        <v>2602</v>
      </c>
      <c r="AF779" t="s">
        <v>72</v>
      </c>
      <c r="AG779">
        <v>9</v>
      </c>
      <c r="AH779" t="s">
        <v>73</v>
      </c>
      <c r="AI779" t="s">
        <v>74</v>
      </c>
      <c r="AJ779" t="s">
        <v>75</v>
      </c>
      <c r="AK779" t="s">
        <v>76</v>
      </c>
      <c r="AL779" t="s">
        <v>77</v>
      </c>
      <c r="AM779" t="s">
        <v>78</v>
      </c>
      <c r="AN779" t="s">
        <v>104</v>
      </c>
      <c r="AO779" t="s">
        <v>80</v>
      </c>
      <c r="AP779" t="s">
        <v>46</v>
      </c>
      <c r="AQ779" t="s">
        <v>81</v>
      </c>
      <c r="AR779" t="str">
        <f t="shared" si="24"/>
        <v>60604270.STATAM</v>
      </c>
      <c r="AS779">
        <f t="shared" si="25"/>
        <v>1679477.8599999999</v>
      </c>
      <c r="AT779" t="s">
        <v>82</v>
      </c>
    </row>
    <row r="780" spans="1:46" x14ac:dyDescent="0.35">
      <c r="A780" t="s">
        <v>52</v>
      </c>
      <c r="B780" t="s">
        <v>53</v>
      </c>
      <c r="C780" t="s">
        <v>54</v>
      </c>
      <c r="D780" t="s">
        <v>55</v>
      </c>
      <c r="E780" t="s">
        <v>56</v>
      </c>
      <c r="F780" t="s">
        <v>2596</v>
      </c>
      <c r="G780" t="s">
        <v>2603</v>
      </c>
      <c r="H780" t="s">
        <v>56</v>
      </c>
      <c r="I780" t="s">
        <v>2604</v>
      </c>
      <c r="J780" t="s">
        <v>61</v>
      </c>
      <c r="K780" t="s">
        <v>640</v>
      </c>
      <c r="L780" t="s">
        <v>56</v>
      </c>
      <c r="M780" t="s">
        <v>56</v>
      </c>
      <c r="N780" t="s">
        <v>923</v>
      </c>
      <c r="O780" t="s">
        <v>435</v>
      </c>
      <c r="P780" t="s">
        <v>436</v>
      </c>
      <c r="Q780" t="s">
        <v>87</v>
      </c>
      <c r="R780" t="s">
        <v>248</v>
      </c>
      <c r="S780">
        <v>1500000</v>
      </c>
      <c r="T780">
        <v>-13007997.73</v>
      </c>
      <c r="U780" t="s">
        <v>68</v>
      </c>
      <c r="V780" t="s">
        <v>2600</v>
      </c>
      <c r="W780" s="9">
        <v>60604270</v>
      </c>
      <c r="X780" t="s">
        <v>2605</v>
      </c>
      <c r="Y780" s="1">
        <v>46009</v>
      </c>
      <c r="Z780" s="1">
        <v>46069</v>
      </c>
      <c r="AA780" s="2">
        <v>1289138.06</v>
      </c>
      <c r="AB780" s="2">
        <v>1092489.8799999999</v>
      </c>
      <c r="AC780" s="2">
        <v>196648.18</v>
      </c>
      <c r="AD780" s="2">
        <v>1289138.06</v>
      </c>
      <c r="AE780" t="s">
        <v>2606</v>
      </c>
      <c r="AF780" t="s">
        <v>72</v>
      </c>
      <c r="AG780">
        <v>9</v>
      </c>
      <c r="AH780" t="s">
        <v>73</v>
      </c>
      <c r="AI780" t="s">
        <v>74</v>
      </c>
      <c r="AJ780" t="s">
        <v>75</v>
      </c>
      <c r="AK780" t="s">
        <v>76</v>
      </c>
      <c r="AL780" t="s">
        <v>77</v>
      </c>
      <c r="AM780" t="s">
        <v>78</v>
      </c>
      <c r="AN780" t="s">
        <v>104</v>
      </c>
      <c r="AO780" t="s">
        <v>80</v>
      </c>
      <c r="AP780" t="s">
        <v>46</v>
      </c>
      <c r="AQ780" t="s">
        <v>81</v>
      </c>
      <c r="AR780" t="str">
        <f t="shared" si="24"/>
        <v>60604270.STATAM</v>
      </c>
      <c r="AS780">
        <f t="shared" si="25"/>
        <v>1679477.8599999999</v>
      </c>
      <c r="AT780" t="s">
        <v>82</v>
      </c>
    </row>
    <row r="781" spans="1:46" x14ac:dyDescent="0.35">
      <c r="A781" t="s">
        <v>52</v>
      </c>
      <c r="B781" t="s">
        <v>53</v>
      </c>
      <c r="C781" t="s">
        <v>54</v>
      </c>
      <c r="D781" t="s">
        <v>55</v>
      </c>
      <c r="E781" t="s">
        <v>56</v>
      </c>
      <c r="F781" t="s">
        <v>2596</v>
      </c>
      <c r="G781" t="s">
        <v>2607</v>
      </c>
      <c r="H781" t="s">
        <v>56</v>
      </c>
      <c r="I781" t="s">
        <v>2608</v>
      </c>
      <c r="J781" t="s">
        <v>61</v>
      </c>
      <c r="K781" t="s">
        <v>640</v>
      </c>
      <c r="L781" t="s">
        <v>2609</v>
      </c>
      <c r="M781" t="s">
        <v>56</v>
      </c>
      <c r="N781" t="s">
        <v>252</v>
      </c>
      <c r="O781" t="s">
        <v>435</v>
      </c>
      <c r="P781" t="s">
        <v>436</v>
      </c>
      <c r="Q781" t="s">
        <v>87</v>
      </c>
      <c r="R781" t="s">
        <v>248</v>
      </c>
      <c r="S781">
        <v>1500000</v>
      </c>
      <c r="T781">
        <v>-13007997.73</v>
      </c>
      <c r="U781" t="s">
        <v>68</v>
      </c>
      <c r="V781" t="s">
        <v>2600</v>
      </c>
      <c r="W781" s="9">
        <v>60604270</v>
      </c>
      <c r="X781" t="s">
        <v>2610</v>
      </c>
      <c r="Y781" s="1">
        <v>46009</v>
      </c>
      <c r="Z781" s="1">
        <v>46069</v>
      </c>
      <c r="AA781" s="2">
        <v>8817.43</v>
      </c>
      <c r="AB781" s="2">
        <v>7472.4</v>
      </c>
      <c r="AC781" s="2">
        <v>1345.03</v>
      </c>
      <c r="AD781" s="2">
        <v>8817.43</v>
      </c>
      <c r="AE781" t="s">
        <v>2611</v>
      </c>
      <c r="AF781" t="s">
        <v>72</v>
      </c>
      <c r="AG781">
        <v>9</v>
      </c>
      <c r="AH781" t="s">
        <v>73</v>
      </c>
      <c r="AI781" t="s">
        <v>74</v>
      </c>
      <c r="AJ781" t="s">
        <v>75</v>
      </c>
      <c r="AK781" t="s">
        <v>76</v>
      </c>
      <c r="AL781" t="s">
        <v>77</v>
      </c>
      <c r="AM781" t="s">
        <v>78</v>
      </c>
      <c r="AN781" t="s">
        <v>104</v>
      </c>
      <c r="AO781" t="s">
        <v>80</v>
      </c>
      <c r="AP781" t="s">
        <v>46</v>
      </c>
      <c r="AQ781" t="s">
        <v>81</v>
      </c>
      <c r="AR781" t="str">
        <f t="shared" si="24"/>
        <v>60604270.STATAM</v>
      </c>
      <c r="AS781">
        <f t="shared" si="25"/>
        <v>1679477.8599999999</v>
      </c>
      <c r="AT781" t="s">
        <v>82</v>
      </c>
    </row>
    <row r="782" spans="1:46" x14ac:dyDescent="0.35">
      <c r="A782" t="s">
        <v>52</v>
      </c>
      <c r="B782" t="s">
        <v>53</v>
      </c>
      <c r="C782" t="s">
        <v>54</v>
      </c>
      <c r="D782" t="s">
        <v>55</v>
      </c>
      <c r="E782" t="s">
        <v>56</v>
      </c>
      <c r="F782" t="s">
        <v>2596</v>
      </c>
      <c r="G782" t="s">
        <v>2612</v>
      </c>
      <c r="H782" t="s">
        <v>56</v>
      </c>
      <c r="I782" t="s">
        <v>2613</v>
      </c>
      <c r="J782" t="s">
        <v>61</v>
      </c>
      <c r="K782" t="s">
        <v>640</v>
      </c>
      <c r="L782" t="s">
        <v>2614</v>
      </c>
      <c r="M782" t="s">
        <v>56</v>
      </c>
      <c r="N782" t="s">
        <v>261</v>
      </c>
      <c r="O782" t="s">
        <v>435</v>
      </c>
      <c r="P782" t="s">
        <v>436</v>
      </c>
      <c r="Q782" t="s">
        <v>87</v>
      </c>
      <c r="R782" t="s">
        <v>248</v>
      </c>
      <c r="S782">
        <v>1500000</v>
      </c>
      <c r="T782">
        <v>-13007997.73</v>
      </c>
      <c r="U782" t="s">
        <v>68</v>
      </c>
      <c r="V782" t="s">
        <v>2600</v>
      </c>
      <c r="W782" s="9">
        <v>60604270</v>
      </c>
      <c r="X782" t="s">
        <v>2615</v>
      </c>
      <c r="Y782" s="1">
        <v>46014</v>
      </c>
      <c r="Z782" s="1">
        <v>46074</v>
      </c>
      <c r="AA782" s="2">
        <v>43328.47</v>
      </c>
      <c r="AB782" s="2">
        <v>36719.040000000001</v>
      </c>
      <c r="AC782" s="2">
        <v>6609.43</v>
      </c>
      <c r="AD782" s="2">
        <v>43328.47</v>
      </c>
      <c r="AE782" t="s">
        <v>2616</v>
      </c>
      <c r="AF782" t="s">
        <v>72</v>
      </c>
      <c r="AG782">
        <v>4</v>
      </c>
      <c r="AH782" t="s">
        <v>73</v>
      </c>
      <c r="AI782" t="s">
        <v>74</v>
      </c>
      <c r="AJ782" t="s">
        <v>75</v>
      </c>
      <c r="AK782" t="s">
        <v>76</v>
      </c>
      <c r="AL782" t="s">
        <v>77</v>
      </c>
      <c r="AM782" t="s">
        <v>78</v>
      </c>
      <c r="AN782" t="s">
        <v>104</v>
      </c>
      <c r="AO782" t="s">
        <v>80</v>
      </c>
      <c r="AP782" t="s">
        <v>46</v>
      </c>
      <c r="AQ782" t="s">
        <v>81</v>
      </c>
      <c r="AR782" t="str">
        <f t="shared" si="24"/>
        <v>60604270.STATAM</v>
      </c>
      <c r="AS782">
        <f t="shared" si="25"/>
        <v>1679477.8599999999</v>
      </c>
      <c r="AT782" t="s">
        <v>82</v>
      </c>
    </row>
    <row r="783" spans="1:46" x14ac:dyDescent="0.35">
      <c r="A783" t="s">
        <v>52</v>
      </c>
      <c r="B783" t="s">
        <v>53</v>
      </c>
      <c r="C783" t="s">
        <v>54</v>
      </c>
      <c r="D783" t="s">
        <v>55</v>
      </c>
      <c r="E783" t="s">
        <v>56</v>
      </c>
      <c r="F783" t="s">
        <v>2617</v>
      </c>
      <c r="G783" t="s">
        <v>2618</v>
      </c>
      <c r="H783" t="s">
        <v>56</v>
      </c>
      <c r="I783" t="s">
        <v>2619</v>
      </c>
      <c r="J783" t="s">
        <v>56</v>
      </c>
      <c r="K783" t="s">
        <v>640</v>
      </c>
      <c r="L783" t="s">
        <v>2620</v>
      </c>
      <c r="M783" t="s">
        <v>56</v>
      </c>
      <c r="N783" t="s">
        <v>1384</v>
      </c>
      <c r="O783" t="s">
        <v>2621</v>
      </c>
      <c r="P783" t="s">
        <v>2622</v>
      </c>
      <c r="Q783" t="s">
        <v>2623</v>
      </c>
      <c r="R783" t="s">
        <v>248</v>
      </c>
      <c r="S783">
        <v>20000000</v>
      </c>
      <c r="T783">
        <v>705022.46</v>
      </c>
      <c r="U783" t="s">
        <v>68</v>
      </c>
      <c r="V783" t="s">
        <v>2624</v>
      </c>
      <c r="W783" s="9">
        <v>60601929</v>
      </c>
      <c r="X783" t="s">
        <v>2625</v>
      </c>
      <c r="Y783" s="1">
        <v>45994</v>
      </c>
      <c r="Z783" s="1">
        <v>46054</v>
      </c>
      <c r="AA783" s="2">
        <v>10148000</v>
      </c>
      <c r="AB783" s="2">
        <v>8600000</v>
      </c>
      <c r="AC783" s="2">
        <v>1548000</v>
      </c>
      <c r="AD783" s="2">
        <v>3998232.34</v>
      </c>
      <c r="AE783" t="s">
        <v>2626</v>
      </c>
      <c r="AF783" t="s">
        <v>72</v>
      </c>
      <c r="AG783">
        <v>24</v>
      </c>
      <c r="AH783" t="s">
        <v>73</v>
      </c>
      <c r="AI783" t="s">
        <v>74</v>
      </c>
      <c r="AJ783" t="s">
        <v>75</v>
      </c>
      <c r="AK783" t="s">
        <v>76</v>
      </c>
      <c r="AL783" t="s">
        <v>77</v>
      </c>
      <c r="AM783" t="s">
        <v>78</v>
      </c>
      <c r="AN783" t="s">
        <v>92</v>
      </c>
      <c r="AO783" t="s">
        <v>80</v>
      </c>
      <c r="AP783" t="s">
        <v>46</v>
      </c>
      <c r="AQ783" t="s">
        <v>81</v>
      </c>
      <c r="AR783" t="str">
        <f t="shared" si="24"/>
        <v>60601929.STATAM</v>
      </c>
      <c r="AS783">
        <f t="shared" si="25"/>
        <v>17698945.809999995</v>
      </c>
      <c r="AT783" t="s">
        <v>82</v>
      </c>
    </row>
    <row r="784" spans="1:46" x14ac:dyDescent="0.35">
      <c r="A784" t="s">
        <v>52</v>
      </c>
      <c r="B784" t="s">
        <v>53</v>
      </c>
      <c r="C784" t="s">
        <v>54</v>
      </c>
      <c r="D784" t="s">
        <v>55</v>
      </c>
      <c r="E784" t="s">
        <v>56</v>
      </c>
      <c r="F784" t="s">
        <v>2617</v>
      </c>
      <c r="G784" t="s">
        <v>2627</v>
      </c>
      <c r="H784" t="s">
        <v>59</v>
      </c>
      <c r="I784" t="s">
        <v>2628</v>
      </c>
      <c r="J784" t="s">
        <v>61</v>
      </c>
      <c r="K784" t="s">
        <v>640</v>
      </c>
      <c r="L784" t="s">
        <v>56</v>
      </c>
      <c r="M784" t="s">
        <v>56</v>
      </c>
      <c r="N784" t="s">
        <v>63</v>
      </c>
      <c r="O784" t="s">
        <v>2629</v>
      </c>
      <c r="P784" t="s">
        <v>2630</v>
      </c>
      <c r="Q784" t="s">
        <v>2631</v>
      </c>
      <c r="R784" t="s">
        <v>248</v>
      </c>
      <c r="S784">
        <v>20000000</v>
      </c>
      <c r="T784">
        <v>705022.46</v>
      </c>
      <c r="U784" t="s">
        <v>68</v>
      </c>
      <c r="V784" t="s">
        <v>2624</v>
      </c>
      <c r="W784" s="9">
        <v>60601929</v>
      </c>
      <c r="X784" t="s">
        <v>2632</v>
      </c>
      <c r="Y784" s="1">
        <v>46008</v>
      </c>
      <c r="Z784" s="1">
        <v>46068</v>
      </c>
      <c r="AA784" s="2">
        <v>520409.5</v>
      </c>
      <c r="AB784" s="2">
        <v>441025</v>
      </c>
      <c r="AC784" s="2">
        <v>79384.5</v>
      </c>
      <c r="AD784" s="2">
        <v>520409.5</v>
      </c>
      <c r="AE784" t="s">
        <v>2633</v>
      </c>
      <c r="AF784" t="s">
        <v>72</v>
      </c>
      <c r="AG784">
        <v>10</v>
      </c>
      <c r="AH784" t="s">
        <v>73</v>
      </c>
      <c r="AI784" t="s">
        <v>74</v>
      </c>
      <c r="AJ784" t="s">
        <v>75</v>
      </c>
      <c r="AK784" t="s">
        <v>76</v>
      </c>
      <c r="AL784" t="s">
        <v>77</v>
      </c>
      <c r="AM784" t="s">
        <v>78</v>
      </c>
      <c r="AN784" t="s">
        <v>92</v>
      </c>
      <c r="AO784" t="s">
        <v>80</v>
      </c>
      <c r="AP784" t="s">
        <v>46</v>
      </c>
      <c r="AQ784" t="s">
        <v>81</v>
      </c>
      <c r="AR784" t="str">
        <f t="shared" si="24"/>
        <v>60601929.STATAM</v>
      </c>
      <c r="AS784">
        <f t="shared" si="25"/>
        <v>17698945.809999995</v>
      </c>
      <c r="AT784" t="s">
        <v>82</v>
      </c>
    </row>
    <row r="785" spans="1:46" x14ac:dyDescent="0.35">
      <c r="A785" t="s">
        <v>52</v>
      </c>
      <c r="B785" t="s">
        <v>53</v>
      </c>
      <c r="C785" t="s">
        <v>54</v>
      </c>
      <c r="D785" t="s">
        <v>55</v>
      </c>
      <c r="E785" t="s">
        <v>56</v>
      </c>
      <c r="F785" t="s">
        <v>2617</v>
      </c>
      <c r="G785" t="s">
        <v>2634</v>
      </c>
      <c r="H785" t="s">
        <v>56</v>
      </c>
      <c r="I785" t="s">
        <v>2635</v>
      </c>
      <c r="J785" t="s">
        <v>56</v>
      </c>
      <c r="K785" t="s">
        <v>640</v>
      </c>
      <c r="L785" t="s">
        <v>56</v>
      </c>
      <c r="M785" t="s">
        <v>56</v>
      </c>
      <c r="N785" t="s">
        <v>337</v>
      </c>
      <c r="O785" t="s">
        <v>2629</v>
      </c>
      <c r="P785" t="s">
        <v>2630</v>
      </c>
      <c r="Q785" t="s">
        <v>2636</v>
      </c>
      <c r="R785" t="s">
        <v>248</v>
      </c>
      <c r="S785">
        <v>20000000</v>
      </c>
      <c r="T785">
        <v>705022.46</v>
      </c>
      <c r="U785" t="s">
        <v>68</v>
      </c>
      <c r="V785" t="s">
        <v>2624</v>
      </c>
      <c r="W785" s="9">
        <v>60601929</v>
      </c>
      <c r="X785" t="s">
        <v>2637</v>
      </c>
      <c r="Y785" s="1">
        <v>46011</v>
      </c>
      <c r="Z785" s="1">
        <v>46071</v>
      </c>
      <c r="AA785" s="2">
        <v>110405.52</v>
      </c>
      <c r="AB785" s="2">
        <v>93564</v>
      </c>
      <c r="AC785" s="2">
        <v>16841.52</v>
      </c>
      <c r="AD785" s="2">
        <v>110405.52</v>
      </c>
      <c r="AE785" t="s">
        <v>2638</v>
      </c>
      <c r="AF785" t="s">
        <v>72</v>
      </c>
      <c r="AG785">
        <v>7</v>
      </c>
      <c r="AH785" t="s">
        <v>73</v>
      </c>
      <c r="AI785" t="s">
        <v>74</v>
      </c>
      <c r="AJ785" t="s">
        <v>127</v>
      </c>
      <c r="AK785" t="s">
        <v>334</v>
      </c>
      <c r="AL785" t="s">
        <v>77</v>
      </c>
      <c r="AM785" t="s">
        <v>78</v>
      </c>
      <c r="AN785" t="s">
        <v>92</v>
      </c>
      <c r="AO785" t="s">
        <v>80</v>
      </c>
      <c r="AP785" t="s">
        <v>46</v>
      </c>
      <c r="AQ785" t="s">
        <v>335</v>
      </c>
      <c r="AR785" t="str">
        <f t="shared" si="24"/>
        <v>60601929.SPMINAM</v>
      </c>
      <c r="AS785">
        <f t="shared" si="25"/>
        <v>475577.97</v>
      </c>
      <c r="AT785" t="s">
        <v>82</v>
      </c>
    </row>
    <row r="786" spans="1:46" x14ac:dyDescent="0.35">
      <c r="A786" t="s">
        <v>52</v>
      </c>
      <c r="B786" t="s">
        <v>53</v>
      </c>
      <c r="C786" t="s">
        <v>54</v>
      </c>
      <c r="D786" t="s">
        <v>55</v>
      </c>
      <c r="E786" t="s">
        <v>56</v>
      </c>
      <c r="F786" t="s">
        <v>2617</v>
      </c>
      <c r="G786" t="s">
        <v>2639</v>
      </c>
      <c r="H786" t="s">
        <v>56</v>
      </c>
      <c r="I786" t="s">
        <v>2640</v>
      </c>
      <c r="J786" t="s">
        <v>61</v>
      </c>
      <c r="K786" t="s">
        <v>640</v>
      </c>
      <c r="L786" t="s">
        <v>2641</v>
      </c>
      <c r="M786" t="s">
        <v>56</v>
      </c>
      <c r="N786" t="s">
        <v>261</v>
      </c>
      <c r="O786" t="s">
        <v>2629</v>
      </c>
      <c r="P786" t="s">
        <v>2630</v>
      </c>
      <c r="Q786" t="s">
        <v>87</v>
      </c>
      <c r="R786" t="s">
        <v>248</v>
      </c>
      <c r="S786">
        <v>20000000</v>
      </c>
      <c r="T786">
        <v>705022.46</v>
      </c>
      <c r="U786" t="s">
        <v>68</v>
      </c>
      <c r="V786" t="s">
        <v>2624</v>
      </c>
      <c r="W786" s="9">
        <v>60601929</v>
      </c>
      <c r="X786" t="s">
        <v>2642</v>
      </c>
      <c r="Y786" s="1">
        <v>46011</v>
      </c>
      <c r="Z786" s="1">
        <v>46071</v>
      </c>
      <c r="AA786" s="2">
        <v>76369.27</v>
      </c>
      <c r="AB786" s="2">
        <v>64719.72</v>
      </c>
      <c r="AC786" s="2">
        <v>11649.55</v>
      </c>
      <c r="AD786" s="2">
        <v>76369.27</v>
      </c>
      <c r="AE786" t="s">
        <v>2643</v>
      </c>
      <c r="AF786" t="s">
        <v>72</v>
      </c>
      <c r="AG786">
        <v>7</v>
      </c>
      <c r="AH786" t="s">
        <v>73</v>
      </c>
      <c r="AI786" t="s">
        <v>74</v>
      </c>
      <c r="AJ786" t="s">
        <v>75</v>
      </c>
      <c r="AK786" t="s">
        <v>76</v>
      </c>
      <c r="AL786" t="s">
        <v>77</v>
      </c>
      <c r="AM786" t="s">
        <v>78</v>
      </c>
      <c r="AN786" t="s">
        <v>92</v>
      </c>
      <c r="AO786" t="s">
        <v>80</v>
      </c>
      <c r="AP786" t="s">
        <v>46</v>
      </c>
      <c r="AQ786" t="s">
        <v>81</v>
      </c>
      <c r="AR786" t="str">
        <f t="shared" si="24"/>
        <v>60601929.STATAM</v>
      </c>
      <c r="AS786">
        <f t="shared" si="25"/>
        <v>17698945.809999995</v>
      </c>
      <c r="AT786" t="s">
        <v>82</v>
      </c>
    </row>
    <row r="787" spans="1:46" x14ac:dyDescent="0.35">
      <c r="A787" t="s">
        <v>52</v>
      </c>
      <c r="B787" t="s">
        <v>53</v>
      </c>
      <c r="C787" t="s">
        <v>54</v>
      </c>
      <c r="D787" t="s">
        <v>55</v>
      </c>
      <c r="E787" t="s">
        <v>56</v>
      </c>
      <c r="F787" t="s">
        <v>2617</v>
      </c>
      <c r="G787" t="s">
        <v>2644</v>
      </c>
      <c r="H787" t="s">
        <v>56</v>
      </c>
      <c r="I787" t="s">
        <v>2645</v>
      </c>
      <c r="J787" t="s">
        <v>56</v>
      </c>
      <c r="K787" t="s">
        <v>640</v>
      </c>
      <c r="L787" t="s">
        <v>2646</v>
      </c>
      <c r="M787" t="s">
        <v>56</v>
      </c>
      <c r="N787" t="s">
        <v>1189</v>
      </c>
      <c r="O787" t="s">
        <v>2629</v>
      </c>
      <c r="P787" t="s">
        <v>2630</v>
      </c>
      <c r="Q787" t="s">
        <v>965</v>
      </c>
      <c r="R787" t="s">
        <v>248</v>
      </c>
      <c r="S787">
        <v>20000000</v>
      </c>
      <c r="T787">
        <v>705022.46</v>
      </c>
      <c r="U787" t="s">
        <v>68</v>
      </c>
      <c r="V787" t="s">
        <v>2624</v>
      </c>
      <c r="W787" s="9">
        <v>60601929</v>
      </c>
      <c r="X787" t="s">
        <v>2647</v>
      </c>
      <c r="Y787" s="1">
        <v>46011</v>
      </c>
      <c r="Z787" s="1">
        <v>46071</v>
      </c>
      <c r="AA787" s="2">
        <v>28647.45</v>
      </c>
      <c r="AB787" s="2">
        <v>24277.5</v>
      </c>
      <c r="AC787" s="2">
        <v>4369.95</v>
      </c>
      <c r="AD787" s="2">
        <v>28647.45</v>
      </c>
      <c r="AE787" t="s">
        <v>2648</v>
      </c>
      <c r="AF787" t="s">
        <v>72</v>
      </c>
      <c r="AG787">
        <v>7</v>
      </c>
      <c r="AH787" t="s">
        <v>73</v>
      </c>
      <c r="AI787" t="s">
        <v>74</v>
      </c>
      <c r="AJ787" t="s">
        <v>75</v>
      </c>
      <c r="AK787" t="s">
        <v>76</v>
      </c>
      <c r="AL787" t="s">
        <v>77</v>
      </c>
      <c r="AM787" t="s">
        <v>78</v>
      </c>
      <c r="AN787" t="s">
        <v>92</v>
      </c>
      <c r="AO787" t="s">
        <v>80</v>
      </c>
      <c r="AP787" t="s">
        <v>46</v>
      </c>
      <c r="AQ787" t="s">
        <v>81</v>
      </c>
      <c r="AR787" t="str">
        <f t="shared" si="24"/>
        <v>60601929.STATAM</v>
      </c>
      <c r="AS787">
        <f t="shared" si="25"/>
        <v>17698945.809999995</v>
      </c>
      <c r="AT787" t="s">
        <v>82</v>
      </c>
    </row>
    <row r="788" spans="1:46" x14ac:dyDescent="0.35">
      <c r="A788" t="s">
        <v>52</v>
      </c>
      <c r="B788" t="s">
        <v>53</v>
      </c>
      <c r="C788" t="s">
        <v>54</v>
      </c>
      <c r="D788" t="s">
        <v>55</v>
      </c>
      <c r="E788" t="s">
        <v>56</v>
      </c>
      <c r="F788" t="s">
        <v>2617</v>
      </c>
      <c r="G788" t="s">
        <v>2649</v>
      </c>
      <c r="H788" t="s">
        <v>56</v>
      </c>
      <c r="I788" t="s">
        <v>2650</v>
      </c>
      <c r="J788" t="s">
        <v>61</v>
      </c>
      <c r="K788" t="s">
        <v>640</v>
      </c>
      <c r="L788" t="s">
        <v>2641</v>
      </c>
      <c r="M788" t="s">
        <v>56</v>
      </c>
      <c r="N788" t="s">
        <v>254</v>
      </c>
      <c r="O788" t="s">
        <v>2629</v>
      </c>
      <c r="P788" t="s">
        <v>2630</v>
      </c>
      <c r="Q788" t="s">
        <v>641</v>
      </c>
      <c r="R788" t="s">
        <v>248</v>
      </c>
      <c r="S788">
        <v>20000000</v>
      </c>
      <c r="T788">
        <v>705022.46</v>
      </c>
      <c r="U788" t="s">
        <v>68</v>
      </c>
      <c r="V788" t="s">
        <v>2624</v>
      </c>
      <c r="W788" s="9">
        <v>60601929</v>
      </c>
      <c r="X788" t="s">
        <v>2651</v>
      </c>
      <c r="Y788" s="1">
        <v>46011</v>
      </c>
      <c r="Z788" s="1">
        <v>46071</v>
      </c>
      <c r="AA788" s="2">
        <v>266389.71999999997</v>
      </c>
      <c r="AB788" s="2">
        <v>225754</v>
      </c>
      <c r="AC788" s="2">
        <v>40635.72</v>
      </c>
      <c r="AD788" s="2">
        <v>266389.71999999997</v>
      </c>
      <c r="AE788" t="s">
        <v>2652</v>
      </c>
      <c r="AF788" t="s">
        <v>72</v>
      </c>
      <c r="AG788">
        <v>7</v>
      </c>
      <c r="AH788" t="s">
        <v>73</v>
      </c>
      <c r="AI788" t="s">
        <v>74</v>
      </c>
      <c r="AJ788" t="s">
        <v>75</v>
      </c>
      <c r="AK788" t="s">
        <v>76</v>
      </c>
      <c r="AL788" t="s">
        <v>77</v>
      </c>
      <c r="AM788" t="s">
        <v>78</v>
      </c>
      <c r="AN788" t="s">
        <v>92</v>
      </c>
      <c r="AO788" t="s">
        <v>80</v>
      </c>
      <c r="AP788" t="s">
        <v>46</v>
      </c>
      <c r="AQ788" t="s">
        <v>81</v>
      </c>
      <c r="AR788" t="str">
        <f t="shared" si="24"/>
        <v>60601929.STATAM</v>
      </c>
      <c r="AS788">
        <f t="shared" si="25"/>
        <v>17698945.809999995</v>
      </c>
      <c r="AT788" t="s">
        <v>82</v>
      </c>
    </row>
    <row r="789" spans="1:46" x14ac:dyDescent="0.35">
      <c r="A789" t="s">
        <v>52</v>
      </c>
      <c r="B789" t="s">
        <v>53</v>
      </c>
      <c r="C789" t="s">
        <v>54</v>
      </c>
      <c r="D789" t="s">
        <v>55</v>
      </c>
      <c r="E789" t="s">
        <v>56</v>
      </c>
      <c r="F789" t="s">
        <v>2617</v>
      </c>
      <c r="G789" t="s">
        <v>2653</v>
      </c>
      <c r="H789" t="s">
        <v>56</v>
      </c>
      <c r="I789" t="s">
        <v>2654</v>
      </c>
      <c r="J789" t="s">
        <v>476</v>
      </c>
      <c r="K789" t="s">
        <v>640</v>
      </c>
      <c r="L789" t="s">
        <v>56</v>
      </c>
      <c r="M789" t="s">
        <v>56</v>
      </c>
      <c r="N789" t="s">
        <v>331</v>
      </c>
      <c r="O789" t="s">
        <v>2629</v>
      </c>
      <c r="P789" t="s">
        <v>2630</v>
      </c>
      <c r="Q789" t="s">
        <v>114</v>
      </c>
      <c r="R789" t="s">
        <v>248</v>
      </c>
      <c r="S789">
        <v>20000000</v>
      </c>
      <c r="T789">
        <v>705022.46</v>
      </c>
      <c r="U789" t="s">
        <v>68</v>
      </c>
      <c r="V789" t="s">
        <v>2624</v>
      </c>
      <c r="W789" s="9">
        <v>60601929</v>
      </c>
      <c r="X789" t="s">
        <v>2655</v>
      </c>
      <c r="Y789" s="1">
        <v>46013</v>
      </c>
      <c r="Z789" s="1">
        <v>46073</v>
      </c>
      <c r="AA789" s="2">
        <v>37481.519999999997</v>
      </c>
      <c r="AB789" s="2">
        <v>31764</v>
      </c>
      <c r="AC789" s="2">
        <v>5717.52</v>
      </c>
      <c r="AD789" s="2">
        <v>37481.519999999997</v>
      </c>
      <c r="AE789" t="s">
        <v>2656</v>
      </c>
      <c r="AF789" t="s">
        <v>72</v>
      </c>
      <c r="AG789">
        <v>5</v>
      </c>
      <c r="AH789" t="s">
        <v>73</v>
      </c>
      <c r="AI789" t="s">
        <v>74</v>
      </c>
      <c r="AJ789" t="s">
        <v>127</v>
      </c>
      <c r="AK789" t="s">
        <v>334</v>
      </c>
      <c r="AL789" t="s">
        <v>77</v>
      </c>
      <c r="AM789" t="s">
        <v>78</v>
      </c>
      <c r="AN789" t="s">
        <v>92</v>
      </c>
      <c r="AO789" t="s">
        <v>80</v>
      </c>
      <c r="AP789" t="s">
        <v>46</v>
      </c>
      <c r="AQ789" t="s">
        <v>335</v>
      </c>
      <c r="AR789" t="str">
        <f t="shared" si="24"/>
        <v>60601929.SPMINAM</v>
      </c>
      <c r="AS789">
        <f t="shared" si="25"/>
        <v>475577.97</v>
      </c>
      <c r="AT789" t="s">
        <v>82</v>
      </c>
    </row>
    <row r="790" spans="1:46" x14ac:dyDescent="0.35">
      <c r="A790" t="s">
        <v>52</v>
      </c>
      <c r="B790" t="s">
        <v>53</v>
      </c>
      <c r="C790" t="s">
        <v>54</v>
      </c>
      <c r="D790" t="s">
        <v>55</v>
      </c>
      <c r="E790" t="s">
        <v>56</v>
      </c>
      <c r="F790" t="s">
        <v>2617</v>
      </c>
      <c r="G790" t="s">
        <v>2657</v>
      </c>
      <c r="H790" t="s">
        <v>56</v>
      </c>
      <c r="I790" t="s">
        <v>2658</v>
      </c>
      <c r="J790" t="s">
        <v>56</v>
      </c>
      <c r="K790" t="s">
        <v>640</v>
      </c>
      <c r="L790" t="s">
        <v>2659</v>
      </c>
      <c r="M790" t="s">
        <v>56</v>
      </c>
      <c r="N790" t="s">
        <v>254</v>
      </c>
      <c r="O790" t="s">
        <v>2629</v>
      </c>
      <c r="P790" t="s">
        <v>2630</v>
      </c>
      <c r="Q790" t="s">
        <v>2660</v>
      </c>
      <c r="R790" t="s">
        <v>248</v>
      </c>
      <c r="S790">
        <v>20000000</v>
      </c>
      <c r="T790">
        <v>705022.46</v>
      </c>
      <c r="U790" t="s">
        <v>68</v>
      </c>
      <c r="V790" t="s">
        <v>2624</v>
      </c>
      <c r="W790" s="9">
        <v>60601929</v>
      </c>
      <c r="X790" t="s">
        <v>2661</v>
      </c>
      <c r="Y790" s="1">
        <v>46030</v>
      </c>
      <c r="Z790" s="1">
        <v>46090</v>
      </c>
      <c r="AA790" s="2">
        <v>610288.92000000004</v>
      </c>
      <c r="AB790" s="2">
        <v>517194</v>
      </c>
      <c r="AC790" s="2">
        <v>93094.92</v>
      </c>
      <c r="AD790" s="2">
        <v>610288.92000000004</v>
      </c>
      <c r="AE790" t="s">
        <v>2662</v>
      </c>
      <c r="AF790" t="s">
        <v>72</v>
      </c>
      <c r="AG790">
        <v>-12</v>
      </c>
      <c r="AH790" t="s">
        <v>117</v>
      </c>
      <c r="AI790" t="s">
        <v>74</v>
      </c>
      <c r="AJ790" t="s">
        <v>75</v>
      </c>
      <c r="AK790" t="s">
        <v>76</v>
      </c>
      <c r="AL790" t="s">
        <v>118</v>
      </c>
      <c r="AM790" t="s">
        <v>78</v>
      </c>
      <c r="AN790" t="s">
        <v>92</v>
      </c>
      <c r="AO790" t="s">
        <v>119</v>
      </c>
      <c r="AP790" t="s">
        <v>46</v>
      </c>
      <c r="AQ790" t="s">
        <v>81</v>
      </c>
      <c r="AR790" t="str">
        <f t="shared" si="24"/>
        <v>60601929.STATAM</v>
      </c>
      <c r="AS790">
        <f t="shared" si="25"/>
        <v>17698945.809999995</v>
      </c>
      <c r="AT790" t="s">
        <v>82</v>
      </c>
    </row>
    <row r="791" spans="1:46" x14ac:dyDescent="0.35">
      <c r="A791" t="s">
        <v>52</v>
      </c>
      <c r="B791" t="s">
        <v>53</v>
      </c>
      <c r="C791" t="s">
        <v>54</v>
      </c>
      <c r="D791" t="s">
        <v>55</v>
      </c>
      <c r="E791" t="s">
        <v>56</v>
      </c>
      <c r="F791" t="s">
        <v>2617</v>
      </c>
      <c r="G791" t="s">
        <v>2657</v>
      </c>
      <c r="H791" t="s">
        <v>56</v>
      </c>
      <c r="I791" t="s">
        <v>2658</v>
      </c>
      <c r="J791" t="s">
        <v>56</v>
      </c>
      <c r="K791" t="s">
        <v>640</v>
      </c>
      <c r="L791" t="s">
        <v>2659</v>
      </c>
      <c r="M791" t="s">
        <v>56</v>
      </c>
      <c r="N791" t="s">
        <v>244</v>
      </c>
      <c r="O791" t="s">
        <v>2629</v>
      </c>
      <c r="P791" t="s">
        <v>2630</v>
      </c>
      <c r="Q791" t="s">
        <v>2660</v>
      </c>
      <c r="R791" t="s">
        <v>248</v>
      </c>
      <c r="S791">
        <v>20000000</v>
      </c>
      <c r="T791">
        <v>705022.46</v>
      </c>
      <c r="U791" t="s">
        <v>68</v>
      </c>
      <c r="V791" t="s">
        <v>2624</v>
      </c>
      <c r="W791" s="9">
        <v>60601929</v>
      </c>
      <c r="X791" t="s">
        <v>2661</v>
      </c>
      <c r="Y791" s="1">
        <v>46030</v>
      </c>
      <c r="Z791" s="1">
        <v>46090</v>
      </c>
      <c r="AA791" s="2">
        <v>671632.4</v>
      </c>
      <c r="AB791" s="2">
        <v>569180</v>
      </c>
      <c r="AC791" s="2">
        <v>102452.4</v>
      </c>
      <c r="AD791" s="2">
        <v>671632.4</v>
      </c>
      <c r="AE791" t="s">
        <v>2663</v>
      </c>
      <c r="AF791" t="s">
        <v>72</v>
      </c>
      <c r="AG791">
        <v>-12</v>
      </c>
      <c r="AH791" t="s">
        <v>117</v>
      </c>
      <c r="AI791" t="s">
        <v>74</v>
      </c>
      <c r="AJ791" t="s">
        <v>75</v>
      </c>
      <c r="AK791" t="s">
        <v>76</v>
      </c>
      <c r="AL791" t="s">
        <v>118</v>
      </c>
      <c r="AM791" t="s">
        <v>78</v>
      </c>
      <c r="AN791" t="s">
        <v>92</v>
      </c>
      <c r="AO791" t="s">
        <v>119</v>
      </c>
      <c r="AP791" t="s">
        <v>46</v>
      </c>
      <c r="AQ791" t="s">
        <v>81</v>
      </c>
      <c r="AR791" t="str">
        <f t="shared" si="24"/>
        <v>60601929.STATAM</v>
      </c>
      <c r="AS791">
        <f t="shared" si="25"/>
        <v>17698945.809999995</v>
      </c>
      <c r="AT791" t="s">
        <v>82</v>
      </c>
    </row>
    <row r="792" spans="1:46" x14ac:dyDescent="0.35">
      <c r="A792" t="s">
        <v>52</v>
      </c>
      <c r="B792" t="s">
        <v>53</v>
      </c>
      <c r="C792" t="s">
        <v>54</v>
      </c>
      <c r="D792" t="s">
        <v>55</v>
      </c>
      <c r="E792" t="s">
        <v>56</v>
      </c>
      <c r="F792" t="s">
        <v>2617</v>
      </c>
      <c r="G792" t="s">
        <v>2664</v>
      </c>
      <c r="H792" t="s">
        <v>56</v>
      </c>
      <c r="I792" t="s">
        <v>2665</v>
      </c>
      <c r="J792" t="s">
        <v>56</v>
      </c>
      <c r="K792" t="s">
        <v>640</v>
      </c>
      <c r="L792" t="s">
        <v>2666</v>
      </c>
      <c r="M792" t="s">
        <v>56</v>
      </c>
      <c r="N792" t="s">
        <v>252</v>
      </c>
      <c r="O792" t="s">
        <v>2629</v>
      </c>
      <c r="P792" t="s">
        <v>2630</v>
      </c>
      <c r="Q792" t="s">
        <v>2636</v>
      </c>
      <c r="R792" t="s">
        <v>248</v>
      </c>
      <c r="S792">
        <v>20000000</v>
      </c>
      <c r="T792">
        <v>705022.46</v>
      </c>
      <c r="U792" t="s">
        <v>68</v>
      </c>
      <c r="V792" t="s">
        <v>2624</v>
      </c>
      <c r="W792" s="9">
        <v>60601929</v>
      </c>
      <c r="X792" t="s">
        <v>2667</v>
      </c>
      <c r="Y792" s="1">
        <v>46030</v>
      </c>
      <c r="Z792" s="1">
        <v>46090</v>
      </c>
      <c r="AA792" s="2">
        <v>671781.55</v>
      </c>
      <c r="AB792" s="2">
        <v>569306.4</v>
      </c>
      <c r="AC792" s="2">
        <v>102475.15</v>
      </c>
      <c r="AD792" s="2">
        <v>671781.55</v>
      </c>
      <c r="AE792" t="s">
        <v>2668</v>
      </c>
      <c r="AF792" t="s">
        <v>72</v>
      </c>
      <c r="AG792">
        <v>-12</v>
      </c>
      <c r="AH792" t="s">
        <v>117</v>
      </c>
      <c r="AI792" t="s">
        <v>74</v>
      </c>
      <c r="AJ792" t="s">
        <v>75</v>
      </c>
      <c r="AK792" t="s">
        <v>76</v>
      </c>
      <c r="AL792" t="s">
        <v>118</v>
      </c>
      <c r="AM792" t="s">
        <v>78</v>
      </c>
      <c r="AN792" t="s">
        <v>92</v>
      </c>
      <c r="AO792" t="s">
        <v>119</v>
      </c>
      <c r="AP792" t="s">
        <v>46</v>
      </c>
      <c r="AQ792" t="s">
        <v>81</v>
      </c>
      <c r="AR792" t="str">
        <f t="shared" si="24"/>
        <v>60601929.STATAM</v>
      </c>
      <c r="AS792">
        <f t="shared" si="25"/>
        <v>17698945.809999995</v>
      </c>
      <c r="AT792" t="s">
        <v>82</v>
      </c>
    </row>
    <row r="793" spans="1:46" x14ac:dyDescent="0.35">
      <c r="A793" t="s">
        <v>52</v>
      </c>
      <c r="B793" t="s">
        <v>53</v>
      </c>
      <c r="C793" t="s">
        <v>54</v>
      </c>
      <c r="D793" t="s">
        <v>55</v>
      </c>
      <c r="E793" t="s">
        <v>56</v>
      </c>
      <c r="F793" t="s">
        <v>2617</v>
      </c>
      <c r="G793" t="s">
        <v>2669</v>
      </c>
      <c r="H793" t="s">
        <v>56</v>
      </c>
      <c r="I793" t="s">
        <v>2670</v>
      </c>
      <c r="J793" t="s">
        <v>61</v>
      </c>
      <c r="K793" t="s">
        <v>640</v>
      </c>
      <c r="L793" t="s">
        <v>2671</v>
      </c>
      <c r="M793" t="s">
        <v>56</v>
      </c>
      <c r="N793" t="s">
        <v>254</v>
      </c>
      <c r="O793" t="s">
        <v>2629</v>
      </c>
      <c r="P793" t="s">
        <v>2630</v>
      </c>
      <c r="Q793" t="s">
        <v>641</v>
      </c>
      <c r="R793" t="s">
        <v>248</v>
      </c>
      <c r="S793">
        <v>20000000</v>
      </c>
      <c r="T793">
        <v>705022.46</v>
      </c>
      <c r="U793" t="s">
        <v>68</v>
      </c>
      <c r="V793" t="s">
        <v>2624</v>
      </c>
      <c r="W793" s="9">
        <v>60601929</v>
      </c>
      <c r="X793" t="s">
        <v>2672</v>
      </c>
      <c r="Y793" s="1">
        <v>46031</v>
      </c>
      <c r="Z793" s="1">
        <v>46091</v>
      </c>
      <c r="AA793" s="2">
        <v>915433.38</v>
      </c>
      <c r="AB793" s="2">
        <v>775791</v>
      </c>
      <c r="AC793" s="2">
        <v>139642.38</v>
      </c>
      <c r="AD793" s="2">
        <v>915433.38</v>
      </c>
      <c r="AE793" t="s">
        <v>2673</v>
      </c>
      <c r="AF793" t="s">
        <v>72</v>
      </c>
      <c r="AG793">
        <v>-13</v>
      </c>
      <c r="AH793" t="s">
        <v>117</v>
      </c>
      <c r="AI793" t="s">
        <v>74</v>
      </c>
      <c r="AJ793" t="s">
        <v>75</v>
      </c>
      <c r="AK793" t="s">
        <v>76</v>
      </c>
      <c r="AL793" t="s">
        <v>118</v>
      </c>
      <c r="AM793" t="s">
        <v>78</v>
      </c>
      <c r="AN793" t="s">
        <v>92</v>
      </c>
      <c r="AO793" t="s">
        <v>119</v>
      </c>
      <c r="AP793" t="s">
        <v>46</v>
      </c>
      <c r="AQ793" t="s">
        <v>81</v>
      </c>
      <c r="AR793" t="str">
        <f t="shared" si="24"/>
        <v>60601929.STATAM</v>
      </c>
      <c r="AS793">
        <f t="shared" si="25"/>
        <v>17698945.809999995</v>
      </c>
      <c r="AT793" t="s">
        <v>82</v>
      </c>
    </row>
    <row r="794" spans="1:46" x14ac:dyDescent="0.35">
      <c r="A794" t="s">
        <v>52</v>
      </c>
      <c r="B794" t="s">
        <v>53</v>
      </c>
      <c r="C794" t="s">
        <v>54</v>
      </c>
      <c r="D794" t="s">
        <v>55</v>
      </c>
      <c r="E794" t="s">
        <v>56</v>
      </c>
      <c r="F794" t="s">
        <v>2617</v>
      </c>
      <c r="G794" t="s">
        <v>2669</v>
      </c>
      <c r="H794" t="s">
        <v>56</v>
      </c>
      <c r="I794" t="s">
        <v>2670</v>
      </c>
      <c r="J794" t="s">
        <v>61</v>
      </c>
      <c r="K794" t="s">
        <v>640</v>
      </c>
      <c r="L794" t="s">
        <v>2671</v>
      </c>
      <c r="M794" t="s">
        <v>56</v>
      </c>
      <c r="N794" t="s">
        <v>244</v>
      </c>
      <c r="O794" t="s">
        <v>2629</v>
      </c>
      <c r="P794" t="s">
        <v>2630</v>
      </c>
      <c r="Q794" t="s">
        <v>641</v>
      </c>
      <c r="R794" t="s">
        <v>248</v>
      </c>
      <c r="S794">
        <v>20000000</v>
      </c>
      <c r="T794">
        <v>705022.46</v>
      </c>
      <c r="U794" t="s">
        <v>68</v>
      </c>
      <c r="V794" t="s">
        <v>2624</v>
      </c>
      <c r="W794" s="9">
        <v>60601929</v>
      </c>
      <c r="X794" t="s">
        <v>2672</v>
      </c>
      <c r="Y794" s="1">
        <v>46031</v>
      </c>
      <c r="Z794" s="1">
        <v>46091</v>
      </c>
      <c r="AA794" s="2">
        <v>1334404.18</v>
      </c>
      <c r="AB794" s="2">
        <v>1130851</v>
      </c>
      <c r="AC794" s="2">
        <v>203553.18</v>
      </c>
      <c r="AD794" s="2">
        <v>1334404.18</v>
      </c>
      <c r="AE794" t="s">
        <v>2674</v>
      </c>
      <c r="AF794" t="s">
        <v>72</v>
      </c>
      <c r="AG794">
        <v>-13</v>
      </c>
      <c r="AH794" t="s">
        <v>117</v>
      </c>
      <c r="AI794" t="s">
        <v>74</v>
      </c>
      <c r="AJ794" t="s">
        <v>75</v>
      </c>
      <c r="AK794" t="s">
        <v>76</v>
      </c>
      <c r="AL794" t="s">
        <v>118</v>
      </c>
      <c r="AM794" t="s">
        <v>78</v>
      </c>
      <c r="AN794" t="s">
        <v>92</v>
      </c>
      <c r="AO794" t="s">
        <v>119</v>
      </c>
      <c r="AP794" t="s">
        <v>46</v>
      </c>
      <c r="AQ794" t="s">
        <v>81</v>
      </c>
      <c r="AR794" t="str">
        <f t="shared" si="24"/>
        <v>60601929.STATAM</v>
      </c>
      <c r="AS794">
        <f t="shared" si="25"/>
        <v>17698945.809999995</v>
      </c>
      <c r="AT794" t="s">
        <v>82</v>
      </c>
    </row>
    <row r="795" spans="1:46" x14ac:dyDescent="0.35">
      <c r="A795" t="s">
        <v>52</v>
      </c>
      <c r="B795" t="s">
        <v>53</v>
      </c>
      <c r="C795" t="s">
        <v>54</v>
      </c>
      <c r="D795" t="s">
        <v>55</v>
      </c>
      <c r="E795" t="s">
        <v>56</v>
      </c>
      <c r="F795" t="s">
        <v>2617</v>
      </c>
      <c r="G795" t="s">
        <v>2669</v>
      </c>
      <c r="H795" t="s">
        <v>56</v>
      </c>
      <c r="I795" t="s">
        <v>2670</v>
      </c>
      <c r="J795" t="s">
        <v>61</v>
      </c>
      <c r="K795" t="s">
        <v>640</v>
      </c>
      <c r="L795" t="s">
        <v>2671</v>
      </c>
      <c r="M795" t="s">
        <v>56</v>
      </c>
      <c r="N795" t="s">
        <v>263</v>
      </c>
      <c r="O795" t="s">
        <v>2629</v>
      </c>
      <c r="P795" t="s">
        <v>2630</v>
      </c>
      <c r="Q795" t="s">
        <v>641</v>
      </c>
      <c r="R795" t="s">
        <v>248</v>
      </c>
      <c r="S795">
        <v>20000000</v>
      </c>
      <c r="T795">
        <v>705022.46</v>
      </c>
      <c r="U795" t="s">
        <v>68</v>
      </c>
      <c r="V795" t="s">
        <v>2624</v>
      </c>
      <c r="W795" s="9">
        <v>60601929</v>
      </c>
      <c r="X795" t="s">
        <v>2672</v>
      </c>
      <c r="Y795" s="1">
        <v>46031</v>
      </c>
      <c r="Z795" s="1">
        <v>46091</v>
      </c>
      <c r="AA795" s="2">
        <v>372459.92</v>
      </c>
      <c r="AB795" s="2">
        <v>315644</v>
      </c>
      <c r="AC795" s="2">
        <v>56815.92</v>
      </c>
      <c r="AD795" s="2">
        <v>372459.92</v>
      </c>
      <c r="AE795" t="s">
        <v>2675</v>
      </c>
      <c r="AF795" t="s">
        <v>72</v>
      </c>
      <c r="AG795">
        <v>-13</v>
      </c>
      <c r="AH795" t="s">
        <v>117</v>
      </c>
      <c r="AI795" t="s">
        <v>74</v>
      </c>
      <c r="AJ795" t="s">
        <v>75</v>
      </c>
      <c r="AK795" t="s">
        <v>76</v>
      </c>
      <c r="AL795" t="s">
        <v>118</v>
      </c>
      <c r="AM795" t="s">
        <v>78</v>
      </c>
      <c r="AN795" t="s">
        <v>92</v>
      </c>
      <c r="AO795" t="s">
        <v>119</v>
      </c>
      <c r="AP795" t="s">
        <v>46</v>
      </c>
      <c r="AQ795" t="s">
        <v>81</v>
      </c>
      <c r="AR795" t="str">
        <f t="shared" si="24"/>
        <v>60601929.STATAM</v>
      </c>
      <c r="AS795">
        <f t="shared" si="25"/>
        <v>17698945.809999995</v>
      </c>
      <c r="AT795" t="s">
        <v>82</v>
      </c>
    </row>
    <row r="796" spans="1:46" x14ac:dyDescent="0.35">
      <c r="A796" t="s">
        <v>52</v>
      </c>
      <c r="B796" t="s">
        <v>53</v>
      </c>
      <c r="C796" t="s">
        <v>54</v>
      </c>
      <c r="D796" t="s">
        <v>55</v>
      </c>
      <c r="E796" t="s">
        <v>56</v>
      </c>
      <c r="F796" t="s">
        <v>2617</v>
      </c>
      <c r="G796" t="s">
        <v>2676</v>
      </c>
      <c r="H796" t="s">
        <v>56</v>
      </c>
      <c r="I796" t="s">
        <v>2677</v>
      </c>
      <c r="J796" t="s">
        <v>56</v>
      </c>
      <c r="K796" t="s">
        <v>640</v>
      </c>
      <c r="L796" t="s">
        <v>2678</v>
      </c>
      <c r="M796" t="s">
        <v>56</v>
      </c>
      <c r="N796" t="s">
        <v>244</v>
      </c>
      <c r="O796" t="s">
        <v>2629</v>
      </c>
      <c r="P796" t="s">
        <v>2630</v>
      </c>
      <c r="Q796" t="s">
        <v>2660</v>
      </c>
      <c r="R796" t="s">
        <v>248</v>
      </c>
      <c r="S796">
        <v>20000000</v>
      </c>
      <c r="T796">
        <v>705022.46</v>
      </c>
      <c r="U796" t="s">
        <v>68</v>
      </c>
      <c r="V796" t="s">
        <v>2624</v>
      </c>
      <c r="W796" s="9">
        <v>60601929</v>
      </c>
      <c r="X796" t="s">
        <v>2679</v>
      </c>
      <c r="Y796" s="1">
        <v>46046</v>
      </c>
      <c r="Z796" s="1">
        <v>46106</v>
      </c>
      <c r="AA796" s="2">
        <v>288779.03999999998</v>
      </c>
      <c r="AB796" s="2">
        <v>244728</v>
      </c>
      <c r="AC796" s="2">
        <v>44051.040000000001</v>
      </c>
      <c r="AD796" s="2">
        <v>288779.03999999998</v>
      </c>
      <c r="AE796" t="s">
        <v>2680</v>
      </c>
      <c r="AF796" t="s">
        <v>72</v>
      </c>
      <c r="AG796">
        <v>-28</v>
      </c>
      <c r="AH796" t="s">
        <v>117</v>
      </c>
      <c r="AI796" t="s">
        <v>74</v>
      </c>
      <c r="AJ796" t="s">
        <v>75</v>
      </c>
      <c r="AK796" t="s">
        <v>76</v>
      </c>
      <c r="AL796" t="s">
        <v>118</v>
      </c>
      <c r="AM796" t="s">
        <v>78</v>
      </c>
      <c r="AN796" t="s">
        <v>92</v>
      </c>
      <c r="AO796" t="s">
        <v>119</v>
      </c>
      <c r="AP796" t="s">
        <v>46</v>
      </c>
      <c r="AQ796" t="s">
        <v>81</v>
      </c>
      <c r="AR796" t="str">
        <f t="shared" si="24"/>
        <v>60601929.STATAM</v>
      </c>
      <c r="AS796">
        <f t="shared" si="25"/>
        <v>17698945.809999995</v>
      </c>
      <c r="AT796" t="s">
        <v>82</v>
      </c>
    </row>
    <row r="797" spans="1:46" x14ac:dyDescent="0.35">
      <c r="A797" t="s">
        <v>52</v>
      </c>
      <c r="B797" t="s">
        <v>53</v>
      </c>
      <c r="C797" t="s">
        <v>54</v>
      </c>
      <c r="D797" t="s">
        <v>55</v>
      </c>
      <c r="E797" t="s">
        <v>56</v>
      </c>
      <c r="F797" t="s">
        <v>2617</v>
      </c>
      <c r="G797" t="s">
        <v>2681</v>
      </c>
      <c r="H797" t="s">
        <v>56</v>
      </c>
      <c r="I797" t="s">
        <v>2682</v>
      </c>
      <c r="J797" t="s">
        <v>56</v>
      </c>
      <c r="K797" t="s">
        <v>640</v>
      </c>
      <c r="L797" t="s">
        <v>2683</v>
      </c>
      <c r="M797" t="s">
        <v>56</v>
      </c>
      <c r="N797" t="s">
        <v>244</v>
      </c>
      <c r="O797" t="s">
        <v>2629</v>
      </c>
      <c r="P797" t="s">
        <v>2630</v>
      </c>
      <c r="Q797" t="s">
        <v>2660</v>
      </c>
      <c r="R797" t="s">
        <v>248</v>
      </c>
      <c r="S797">
        <v>20000000</v>
      </c>
      <c r="T797">
        <v>705022.46</v>
      </c>
      <c r="U797" t="s">
        <v>68</v>
      </c>
      <c r="V797" t="s">
        <v>2624</v>
      </c>
      <c r="W797" s="9">
        <v>60601929</v>
      </c>
      <c r="X797" t="s">
        <v>2684</v>
      </c>
      <c r="Y797" s="1">
        <v>46046</v>
      </c>
      <c r="Z797" s="1">
        <v>46106</v>
      </c>
      <c r="AA797" s="2">
        <v>331223.64</v>
      </c>
      <c r="AB797" s="2">
        <v>280698</v>
      </c>
      <c r="AC797" s="2">
        <v>50525.64</v>
      </c>
      <c r="AD797" s="2">
        <v>331223.64</v>
      </c>
      <c r="AE797" t="s">
        <v>2685</v>
      </c>
      <c r="AF797" t="s">
        <v>72</v>
      </c>
      <c r="AG797">
        <v>-28</v>
      </c>
      <c r="AH797" t="s">
        <v>117</v>
      </c>
      <c r="AI797" t="s">
        <v>74</v>
      </c>
      <c r="AJ797" t="s">
        <v>75</v>
      </c>
      <c r="AK797" t="s">
        <v>76</v>
      </c>
      <c r="AL797" t="s">
        <v>118</v>
      </c>
      <c r="AM797" t="s">
        <v>78</v>
      </c>
      <c r="AN797" t="s">
        <v>92</v>
      </c>
      <c r="AO797" t="s">
        <v>119</v>
      </c>
      <c r="AP797" t="s">
        <v>46</v>
      </c>
      <c r="AQ797" t="s">
        <v>81</v>
      </c>
      <c r="AR797" t="str">
        <f t="shared" si="24"/>
        <v>60601929.STATAM</v>
      </c>
      <c r="AS797">
        <f t="shared" si="25"/>
        <v>17698945.809999995</v>
      </c>
      <c r="AT797" t="s">
        <v>82</v>
      </c>
    </row>
    <row r="798" spans="1:46" x14ac:dyDescent="0.35">
      <c r="A798" t="s">
        <v>52</v>
      </c>
      <c r="B798" t="s">
        <v>53</v>
      </c>
      <c r="C798" t="s">
        <v>54</v>
      </c>
      <c r="D798" t="s">
        <v>55</v>
      </c>
      <c r="E798" t="s">
        <v>56</v>
      </c>
      <c r="F798" t="s">
        <v>2617</v>
      </c>
      <c r="G798" t="s">
        <v>2686</v>
      </c>
      <c r="H798" t="s">
        <v>56</v>
      </c>
      <c r="I798" t="s">
        <v>2687</v>
      </c>
      <c r="J798" t="s">
        <v>56</v>
      </c>
      <c r="K798" t="s">
        <v>640</v>
      </c>
      <c r="L798" t="s">
        <v>2678</v>
      </c>
      <c r="M798" t="s">
        <v>56</v>
      </c>
      <c r="N798" t="s">
        <v>263</v>
      </c>
      <c r="O798" t="s">
        <v>2629</v>
      </c>
      <c r="P798" t="s">
        <v>2630</v>
      </c>
      <c r="Q798" t="s">
        <v>2636</v>
      </c>
      <c r="R798" t="s">
        <v>248</v>
      </c>
      <c r="S798">
        <v>20000000</v>
      </c>
      <c r="T798">
        <v>705022.46</v>
      </c>
      <c r="U798" t="s">
        <v>68</v>
      </c>
      <c r="V798" t="s">
        <v>2624</v>
      </c>
      <c r="W798" s="9">
        <v>60601929</v>
      </c>
      <c r="X798" t="s">
        <v>2688</v>
      </c>
      <c r="Y798" s="1">
        <v>46046</v>
      </c>
      <c r="Z798" s="1">
        <v>46106</v>
      </c>
      <c r="AA798" s="2">
        <v>2444.58</v>
      </c>
      <c r="AB798" s="2">
        <v>2071.6799999999998</v>
      </c>
      <c r="AC798" s="2">
        <v>372.9</v>
      </c>
      <c r="AD798" s="2">
        <v>2444.58</v>
      </c>
      <c r="AE798" t="s">
        <v>2689</v>
      </c>
      <c r="AF798" t="s">
        <v>72</v>
      </c>
      <c r="AG798">
        <v>-28</v>
      </c>
      <c r="AH798" t="s">
        <v>117</v>
      </c>
      <c r="AI798" t="s">
        <v>74</v>
      </c>
      <c r="AJ798" t="s">
        <v>75</v>
      </c>
      <c r="AK798" t="s">
        <v>76</v>
      </c>
      <c r="AL798" t="s">
        <v>118</v>
      </c>
      <c r="AM798" t="s">
        <v>78</v>
      </c>
      <c r="AN798" t="s">
        <v>92</v>
      </c>
      <c r="AO798" t="s">
        <v>119</v>
      </c>
      <c r="AP798" t="s">
        <v>46</v>
      </c>
      <c r="AQ798" t="s">
        <v>81</v>
      </c>
      <c r="AR798" t="str">
        <f t="shared" si="24"/>
        <v>60601929.STATAM</v>
      </c>
      <c r="AS798">
        <f t="shared" si="25"/>
        <v>17698945.809999995</v>
      </c>
      <c r="AT798" t="s">
        <v>82</v>
      </c>
    </row>
    <row r="799" spans="1:46" x14ac:dyDescent="0.35">
      <c r="A799" t="s">
        <v>52</v>
      </c>
      <c r="B799" t="s">
        <v>53</v>
      </c>
      <c r="C799" t="s">
        <v>54</v>
      </c>
      <c r="D799" t="s">
        <v>55</v>
      </c>
      <c r="E799" t="s">
        <v>56</v>
      </c>
      <c r="F799" t="s">
        <v>2617</v>
      </c>
      <c r="G799" t="s">
        <v>2686</v>
      </c>
      <c r="H799" t="s">
        <v>56</v>
      </c>
      <c r="I799" t="s">
        <v>2687</v>
      </c>
      <c r="J799" t="s">
        <v>56</v>
      </c>
      <c r="K799" t="s">
        <v>640</v>
      </c>
      <c r="L799" t="s">
        <v>2678</v>
      </c>
      <c r="M799" t="s">
        <v>56</v>
      </c>
      <c r="N799" t="s">
        <v>1384</v>
      </c>
      <c r="O799" t="s">
        <v>2629</v>
      </c>
      <c r="P799" t="s">
        <v>2630</v>
      </c>
      <c r="Q799" t="s">
        <v>2636</v>
      </c>
      <c r="R799" t="s">
        <v>248</v>
      </c>
      <c r="S799">
        <v>20000000</v>
      </c>
      <c r="T799">
        <v>705022.46</v>
      </c>
      <c r="U799" t="s">
        <v>68</v>
      </c>
      <c r="V799" t="s">
        <v>2624</v>
      </c>
      <c r="W799" s="9">
        <v>60601929</v>
      </c>
      <c r="X799" t="s">
        <v>2688</v>
      </c>
      <c r="Y799" s="1">
        <v>46046</v>
      </c>
      <c r="Z799" s="1">
        <v>46106</v>
      </c>
      <c r="AA799" s="2">
        <v>37117.89</v>
      </c>
      <c r="AB799" s="2">
        <v>31455.84</v>
      </c>
      <c r="AC799" s="2">
        <v>5662.05</v>
      </c>
      <c r="AD799" s="2">
        <v>37117.89</v>
      </c>
      <c r="AE799" t="s">
        <v>2690</v>
      </c>
      <c r="AF799" t="s">
        <v>72</v>
      </c>
      <c r="AG799">
        <v>-28</v>
      </c>
      <c r="AH799" t="s">
        <v>117</v>
      </c>
      <c r="AI799" t="s">
        <v>74</v>
      </c>
      <c r="AJ799" t="s">
        <v>75</v>
      </c>
      <c r="AK799" t="s">
        <v>76</v>
      </c>
      <c r="AL799" t="s">
        <v>118</v>
      </c>
      <c r="AM799" t="s">
        <v>78</v>
      </c>
      <c r="AN799" t="s">
        <v>92</v>
      </c>
      <c r="AO799" t="s">
        <v>119</v>
      </c>
      <c r="AP799" t="s">
        <v>46</v>
      </c>
      <c r="AQ799" t="s">
        <v>81</v>
      </c>
      <c r="AR799" t="str">
        <f t="shared" si="24"/>
        <v>60601929.STATAM</v>
      </c>
      <c r="AS799">
        <f t="shared" si="25"/>
        <v>17698945.809999995</v>
      </c>
      <c r="AT799" t="s">
        <v>82</v>
      </c>
    </row>
    <row r="800" spans="1:46" x14ac:dyDescent="0.35">
      <c r="A800" t="s">
        <v>52</v>
      </c>
      <c r="B800" t="s">
        <v>53</v>
      </c>
      <c r="C800" t="s">
        <v>54</v>
      </c>
      <c r="D800" t="s">
        <v>55</v>
      </c>
      <c r="E800" t="s">
        <v>56</v>
      </c>
      <c r="F800" t="s">
        <v>2617</v>
      </c>
      <c r="G800" t="s">
        <v>2627</v>
      </c>
      <c r="H800" t="s">
        <v>59</v>
      </c>
      <c r="I800" t="s">
        <v>2628</v>
      </c>
      <c r="J800" t="s">
        <v>61</v>
      </c>
      <c r="K800" t="s">
        <v>640</v>
      </c>
      <c r="L800" t="s">
        <v>56</v>
      </c>
      <c r="M800" t="s">
        <v>56</v>
      </c>
      <c r="N800" t="s">
        <v>63</v>
      </c>
      <c r="O800" t="s">
        <v>2629</v>
      </c>
      <c r="P800" t="s">
        <v>2630</v>
      </c>
      <c r="Q800" t="s">
        <v>2631</v>
      </c>
      <c r="R800" t="s">
        <v>248</v>
      </c>
      <c r="S800">
        <v>20000000</v>
      </c>
      <c r="T800">
        <v>705022.46</v>
      </c>
      <c r="U800" t="s">
        <v>68</v>
      </c>
      <c r="V800" t="s">
        <v>2624</v>
      </c>
      <c r="W800" s="9">
        <v>60601929</v>
      </c>
      <c r="X800" t="s">
        <v>2691</v>
      </c>
      <c r="Y800" s="1">
        <v>46050</v>
      </c>
      <c r="Z800" s="1">
        <v>46110</v>
      </c>
      <c r="AA800" s="2">
        <v>420886.64</v>
      </c>
      <c r="AB800" s="2">
        <v>356683.6</v>
      </c>
      <c r="AC800" s="2">
        <v>64203.040000000001</v>
      </c>
      <c r="AD800" s="2">
        <v>420886.64</v>
      </c>
      <c r="AE800" t="s">
        <v>2692</v>
      </c>
      <c r="AF800" t="s">
        <v>72</v>
      </c>
      <c r="AG800">
        <v>-32</v>
      </c>
      <c r="AH800" t="s">
        <v>117</v>
      </c>
      <c r="AI800" t="s">
        <v>74</v>
      </c>
      <c r="AJ800" t="s">
        <v>75</v>
      </c>
      <c r="AK800" t="s">
        <v>76</v>
      </c>
      <c r="AL800" t="s">
        <v>118</v>
      </c>
      <c r="AM800" t="s">
        <v>78</v>
      </c>
      <c r="AN800" t="s">
        <v>92</v>
      </c>
      <c r="AO800" t="s">
        <v>119</v>
      </c>
      <c r="AP800" t="s">
        <v>46</v>
      </c>
      <c r="AQ800" t="s">
        <v>81</v>
      </c>
      <c r="AR800" t="str">
        <f t="shared" si="24"/>
        <v>60601929.STATAM</v>
      </c>
      <c r="AS800">
        <f t="shared" si="25"/>
        <v>17698945.809999995</v>
      </c>
      <c r="AT800" t="s">
        <v>82</v>
      </c>
    </row>
    <row r="801" spans="1:46" x14ac:dyDescent="0.35">
      <c r="A801" t="s">
        <v>52</v>
      </c>
      <c r="B801" t="s">
        <v>53</v>
      </c>
      <c r="C801" t="s">
        <v>54</v>
      </c>
      <c r="D801" t="s">
        <v>55</v>
      </c>
      <c r="E801" t="s">
        <v>56</v>
      </c>
      <c r="F801" t="s">
        <v>2617</v>
      </c>
      <c r="G801" t="s">
        <v>2681</v>
      </c>
      <c r="H801" t="s">
        <v>56</v>
      </c>
      <c r="I801" t="s">
        <v>2693</v>
      </c>
      <c r="J801" t="s">
        <v>56</v>
      </c>
      <c r="K801" t="s">
        <v>640</v>
      </c>
      <c r="L801" t="s">
        <v>2683</v>
      </c>
      <c r="M801" t="s">
        <v>56</v>
      </c>
      <c r="N801" t="s">
        <v>244</v>
      </c>
      <c r="O801" t="s">
        <v>2629</v>
      </c>
      <c r="P801" t="s">
        <v>2630</v>
      </c>
      <c r="Q801" t="s">
        <v>2660</v>
      </c>
      <c r="R801" t="s">
        <v>248</v>
      </c>
      <c r="S801">
        <v>20000000</v>
      </c>
      <c r="T801">
        <v>705022.46</v>
      </c>
      <c r="U801" t="s">
        <v>68</v>
      </c>
      <c r="V801" t="s">
        <v>2624</v>
      </c>
      <c r="W801" s="9">
        <v>60601929</v>
      </c>
      <c r="X801" t="s">
        <v>2694</v>
      </c>
      <c r="Y801" s="1">
        <v>46060</v>
      </c>
      <c r="Z801" s="1">
        <v>46120</v>
      </c>
      <c r="AA801" s="2">
        <v>42444.6</v>
      </c>
      <c r="AB801" s="2">
        <v>35970</v>
      </c>
      <c r="AC801" s="2">
        <v>6474.6</v>
      </c>
      <c r="AD801" s="2">
        <v>42444.6</v>
      </c>
      <c r="AE801" t="s">
        <v>2695</v>
      </c>
      <c r="AF801" t="s">
        <v>72</v>
      </c>
      <c r="AG801">
        <v>-42</v>
      </c>
      <c r="AH801" t="s">
        <v>117</v>
      </c>
      <c r="AI801" t="s">
        <v>74</v>
      </c>
      <c r="AJ801" t="s">
        <v>75</v>
      </c>
      <c r="AK801" t="s">
        <v>76</v>
      </c>
      <c r="AL801" t="s">
        <v>118</v>
      </c>
      <c r="AM801" t="s">
        <v>78</v>
      </c>
      <c r="AN801" t="s">
        <v>92</v>
      </c>
      <c r="AO801" t="s">
        <v>119</v>
      </c>
      <c r="AP801" t="s">
        <v>46</v>
      </c>
      <c r="AQ801" t="s">
        <v>81</v>
      </c>
      <c r="AR801" t="str">
        <f t="shared" si="24"/>
        <v>60601929.STATAM</v>
      </c>
      <c r="AS801">
        <f t="shared" si="25"/>
        <v>17698945.809999995</v>
      </c>
      <c r="AT801" t="s">
        <v>82</v>
      </c>
    </row>
    <row r="802" spans="1:46" x14ac:dyDescent="0.35">
      <c r="A802" t="s">
        <v>52</v>
      </c>
      <c r="B802" t="s">
        <v>53</v>
      </c>
      <c r="C802" t="s">
        <v>54</v>
      </c>
      <c r="D802" t="s">
        <v>55</v>
      </c>
      <c r="E802" t="s">
        <v>56</v>
      </c>
      <c r="F802" t="s">
        <v>2617</v>
      </c>
      <c r="G802" t="s">
        <v>2627</v>
      </c>
      <c r="H802" t="s">
        <v>59</v>
      </c>
      <c r="I802" t="s">
        <v>2628</v>
      </c>
      <c r="J802" t="s">
        <v>61</v>
      </c>
      <c r="K802" t="s">
        <v>640</v>
      </c>
      <c r="L802" t="s">
        <v>56</v>
      </c>
      <c r="M802" t="s">
        <v>56</v>
      </c>
      <c r="N802" t="s">
        <v>63</v>
      </c>
      <c r="O802" t="s">
        <v>2629</v>
      </c>
      <c r="P802" t="s">
        <v>2630</v>
      </c>
      <c r="Q802" t="s">
        <v>2631</v>
      </c>
      <c r="R802" t="s">
        <v>248</v>
      </c>
      <c r="S802">
        <v>20000000</v>
      </c>
      <c r="T802">
        <v>705022.46</v>
      </c>
      <c r="U802" t="s">
        <v>68</v>
      </c>
      <c r="V802" t="s">
        <v>2624</v>
      </c>
      <c r="W802" s="9">
        <v>60601929</v>
      </c>
      <c r="X802" t="s">
        <v>2696</v>
      </c>
      <c r="Y802" s="1">
        <v>46067</v>
      </c>
      <c r="Z802" s="1">
        <v>46127</v>
      </c>
      <c r="AA802" s="2">
        <v>723342.36</v>
      </c>
      <c r="AB802" s="2">
        <v>613002</v>
      </c>
      <c r="AC802" s="2">
        <v>110340.36</v>
      </c>
      <c r="AD802" s="2">
        <v>723342.36</v>
      </c>
      <c r="AE802" t="s">
        <v>2697</v>
      </c>
      <c r="AF802" t="s">
        <v>72</v>
      </c>
      <c r="AG802">
        <v>-49</v>
      </c>
      <c r="AH802" t="s">
        <v>117</v>
      </c>
      <c r="AI802" t="s">
        <v>74</v>
      </c>
      <c r="AJ802" t="s">
        <v>75</v>
      </c>
      <c r="AK802" t="s">
        <v>76</v>
      </c>
      <c r="AL802" t="s">
        <v>118</v>
      </c>
      <c r="AM802" t="s">
        <v>78</v>
      </c>
      <c r="AN802" t="s">
        <v>92</v>
      </c>
      <c r="AO802" t="s">
        <v>119</v>
      </c>
      <c r="AP802" t="s">
        <v>46</v>
      </c>
      <c r="AQ802" t="s">
        <v>81</v>
      </c>
      <c r="AR802" t="str">
        <f t="shared" si="24"/>
        <v>60601929.STATAM</v>
      </c>
      <c r="AS802">
        <f t="shared" si="25"/>
        <v>17698945.809999995</v>
      </c>
      <c r="AT802" t="s">
        <v>82</v>
      </c>
    </row>
    <row r="803" spans="1:46" x14ac:dyDescent="0.35">
      <c r="A803" t="s">
        <v>52</v>
      </c>
      <c r="B803" t="s">
        <v>53</v>
      </c>
      <c r="C803" t="s">
        <v>54</v>
      </c>
      <c r="D803" t="s">
        <v>55</v>
      </c>
      <c r="E803" t="s">
        <v>56</v>
      </c>
      <c r="F803" t="s">
        <v>2617</v>
      </c>
      <c r="G803" t="s">
        <v>2698</v>
      </c>
      <c r="H803" t="s">
        <v>56</v>
      </c>
      <c r="I803" t="s">
        <v>2699</v>
      </c>
      <c r="J803" t="s">
        <v>56</v>
      </c>
      <c r="K803" t="s">
        <v>640</v>
      </c>
      <c r="L803" t="s">
        <v>2700</v>
      </c>
      <c r="M803" t="s">
        <v>56</v>
      </c>
      <c r="N803" t="s">
        <v>1183</v>
      </c>
      <c r="O803" t="s">
        <v>2629</v>
      </c>
      <c r="P803" t="s">
        <v>2630</v>
      </c>
      <c r="Q803" t="s">
        <v>965</v>
      </c>
      <c r="R803" t="s">
        <v>248</v>
      </c>
      <c r="S803">
        <v>20000000</v>
      </c>
      <c r="T803">
        <v>705022.46</v>
      </c>
      <c r="U803" t="s">
        <v>68</v>
      </c>
      <c r="V803" t="s">
        <v>2624</v>
      </c>
      <c r="W803" s="9">
        <v>60601929</v>
      </c>
      <c r="X803" t="s">
        <v>2701</v>
      </c>
      <c r="Y803" s="1">
        <v>46074</v>
      </c>
      <c r="Z803" s="1">
        <v>46134</v>
      </c>
      <c r="AA803" s="2">
        <v>222402.7</v>
      </c>
      <c r="AB803" s="2">
        <v>188476.86</v>
      </c>
      <c r="AC803" s="2">
        <v>33925.839999999997</v>
      </c>
      <c r="AD803" s="2">
        <v>222402.7</v>
      </c>
      <c r="AE803" t="s">
        <v>2702</v>
      </c>
      <c r="AF803" t="s">
        <v>72</v>
      </c>
      <c r="AG803">
        <v>-56</v>
      </c>
      <c r="AH803" t="s">
        <v>117</v>
      </c>
      <c r="AI803" t="s">
        <v>74</v>
      </c>
      <c r="AJ803" t="s">
        <v>75</v>
      </c>
      <c r="AK803" t="s">
        <v>76</v>
      </c>
      <c r="AL803" t="s">
        <v>118</v>
      </c>
      <c r="AM803" t="s">
        <v>78</v>
      </c>
      <c r="AN803" t="s">
        <v>92</v>
      </c>
      <c r="AO803" t="s">
        <v>119</v>
      </c>
      <c r="AP803" t="s">
        <v>46</v>
      </c>
      <c r="AQ803" t="s">
        <v>81</v>
      </c>
      <c r="AR803" t="str">
        <f t="shared" si="24"/>
        <v>60601929.STATAM</v>
      </c>
      <c r="AS803">
        <f t="shared" si="25"/>
        <v>17698945.809999995</v>
      </c>
      <c r="AT803" t="s">
        <v>82</v>
      </c>
    </row>
    <row r="804" spans="1:46" x14ac:dyDescent="0.35">
      <c r="A804" t="s">
        <v>52</v>
      </c>
      <c r="B804" t="s">
        <v>53</v>
      </c>
      <c r="C804" t="s">
        <v>54</v>
      </c>
      <c r="D804" t="s">
        <v>55</v>
      </c>
      <c r="E804" t="s">
        <v>56</v>
      </c>
      <c r="F804" t="s">
        <v>2617</v>
      </c>
      <c r="G804" t="s">
        <v>2698</v>
      </c>
      <c r="H804" t="s">
        <v>56</v>
      </c>
      <c r="I804" t="s">
        <v>2699</v>
      </c>
      <c r="J804" t="s">
        <v>56</v>
      </c>
      <c r="K804" t="s">
        <v>640</v>
      </c>
      <c r="L804" t="s">
        <v>2700</v>
      </c>
      <c r="M804" t="s">
        <v>56</v>
      </c>
      <c r="N804" t="s">
        <v>1189</v>
      </c>
      <c r="O804" t="s">
        <v>2629</v>
      </c>
      <c r="P804" t="s">
        <v>2630</v>
      </c>
      <c r="Q804" t="s">
        <v>965</v>
      </c>
      <c r="R804" t="s">
        <v>248</v>
      </c>
      <c r="S804">
        <v>20000000</v>
      </c>
      <c r="T804">
        <v>705022.46</v>
      </c>
      <c r="U804" t="s">
        <v>68</v>
      </c>
      <c r="V804" t="s">
        <v>2624</v>
      </c>
      <c r="W804" s="9">
        <v>60601929</v>
      </c>
      <c r="X804" t="s">
        <v>2701</v>
      </c>
      <c r="Y804" s="1">
        <v>46074</v>
      </c>
      <c r="Z804" s="1">
        <v>46134</v>
      </c>
      <c r="AA804" s="2">
        <v>239165.94</v>
      </c>
      <c r="AB804" s="2">
        <v>202683</v>
      </c>
      <c r="AC804" s="2">
        <v>36482.94</v>
      </c>
      <c r="AD804" s="2">
        <v>239165.94</v>
      </c>
      <c r="AE804" t="s">
        <v>2703</v>
      </c>
      <c r="AF804" t="s">
        <v>72</v>
      </c>
      <c r="AG804">
        <v>-56</v>
      </c>
      <c r="AH804" t="s">
        <v>117</v>
      </c>
      <c r="AI804" t="s">
        <v>74</v>
      </c>
      <c r="AJ804" t="s">
        <v>75</v>
      </c>
      <c r="AK804" t="s">
        <v>76</v>
      </c>
      <c r="AL804" t="s">
        <v>118</v>
      </c>
      <c r="AM804" t="s">
        <v>78</v>
      </c>
      <c r="AN804" t="s">
        <v>92</v>
      </c>
      <c r="AO804" t="s">
        <v>119</v>
      </c>
      <c r="AP804" t="s">
        <v>46</v>
      </c>
      <c r="AQ804" t="s">
        <v>81</v>
      </c>
      <c r="AR804" t="str">
        <f t="shared" si="24"/>
        <v>60601929.STATAM</v>
      </c>
      <c r="AS804">
        <f t="shared" si="25"/>
        <v>17698945.809999995</v>
      </c>
      <c r="AT804" t="s">
        <v>82</v>
      </c>
    </row>
    <row r="805" spans="1:46" x14ac:dyDescent="0.35">
      <c r="A805" t="s">
        <v>52</v>
      </c>
      <c r="B805" t="s">
        <v>53</v>
      </c>
      <c r="C805" t="s">
        <v>54</v>
      </c>
      <c r="D805" t="s">
        <v>55</v>
      </c>
      <c r="E805" t="s">
        <v>56</v>
      </c>
      <c r="F805" t="s">
        <v>2617</v>
      </c>
      <c r="G805" t="s">
        <v>2704</v>
      </c>
      <c r="H805" t="s">
        <v>56</v>
      </c>
      <c r="I805" t="s">
        <v>2705</v>
      </c>
      <c r="J805" t="s">
        <v>61</v>
      </c>
      <c r="K805" t="s">
        <v>640</v>
      </c>
      <c r="L805" t="s">
        <v>2706</v>
      </c>
      <c r="M805" t="s">
        <v>56</v>
      </c>
      <c r="N805" t="s">
        <v>1384</v>
      </c>
      <c r="O805" t="s">
        <v>2629</v>
      </c>
      <c r="P805" t="s">
        <v>2630</v>
      </c>
      <c r="Q805" t="s">
        <v>87</v>
      </c>
      <c r="R805" t="s">
        <v>248</v>
      </c>
      <c r="S805">
        <v>20000000</v>
      </c>
      <c r="T805">
        <v>705022.46</v>
      </c>
      <c r="U805" t="s">
        <v>68</v>
      </c>
      <c r="V805" t="s">
        <v>2624</v>
      </c>
      <c r="W805" s="9">
        <v>60601929</v>
      </c>
      <c r="X805" t="s">
        <v>2707</v>
      </c>
      <c r="Y805" s="1">
        <v>46074</v>
      </c>
      <c r="Z805" s="1">
        <v>46134</v>
      </c>
      <c r="AA805" s="2">
        <v>35980.28</v>
      </c>
      <c r="AB805" s="2">
        <v>30491.759999999998</v>
      </c>
      <c r="AC805" s="2">
        <v>5488.52</v>
      </c>
      <c r="AD805" s="2">
        <v>35980.28</v>
      </c>
      <c r="AE805" t="s">
        <v>2708</v>
      </c>
      <c r="AF805" t="s">
        <v>72</v>
      </c>
      <c r="AG805">
        <v>-56</v>
      </c>
      <c r="AH805" t="s">
        <v>117</v>
      </c>
      <c r="AI805" t="s">
        <v>74</v>
      </c>
      <c r="AJ805" t="s">
        <v>75</v>
      </c>
      <c r="AK805" t="s">
        <v>76</v>
      </c>
      <c r="AL805" t="s">
        <v>118</v>
      </c>
      <c r="AM805" t="s">
        <v>78</v>
      </c>
      <c r="AN805" t="s">
        <v>92</v>
      </c>
      <c r="AO805" t="s">
        <v>119</v>
      </c>
      <c r="AP805" t="s">
        <v>46</v>
      </c>
      <c r="AQ805" t="s">
        <v>81</v>
      </c>
      <c r="AR805" t="str">
        <f t="shared" si="24"/>
        <v>60601929.STATAM</v>
      </c>
      <c r="AS805">
        <f t="shared" si="25"/>
        <v>17698945.809999995</v>
      </c>
      <c r="AT805" t="s">
        <v>82</v>
      </c>
    </row>
    <row r="806" spans="1:46" x14ac:dyDescent="0.35">
      <c r="A806" t="s">
        <v>52</v>
      </c>
      <c r="B806" t="s">
        <v>53</v>
      </c>
      <c r="C806" t="s">
        <v>54</v>
      </c>
      <c r="D806" t="s">
        <v>55</v>
      </c>
      <c r="E806" t="s">
        <v>56</v>
      </c>
      <c r="F806" t="s">
        <v>2617</v>
      </c>
      <c r="G806" t="s">
        <v>2704</v>
      </c>
      <c r="H806" t="s">
        <v>56</v>
      </c>
      <c r="I806" t="s">
        <v>2705</v>
      </c>
      <c r="J806" t="s">
        <v>61</v>
      </c>
      <c r="K806" t="s">
        <v>640</v>
      </c>
      <c r="L806" t="s">
        <v>2706</v>
      </c>
      <c r="M806" t="s">
        <v>56</v>
      </c>
      <c r="N806" t="s">
        <v>252</v>
      </c>
      <c r="O806" t="s">
        <v>2629</v>
      </c>
      <c r="P806" t="s">
        <v>2630</v>
      </c>
      <c r="Q806" t="s">
        <v>87</v>
      </c>
      <c r="R806" t="s">
        <v>248</v>
      </c>
      <c r="S806">
        <v>20000000</v>
      </c>
      <c r="T806">
        <v>705022.46</v>
      </c>
      <c r="U806" t="s">
        <v>68</v>
      </c>
      <c r="V806" t="s">
        <v>2624</v>
      </c>
      <c r="W806" s="9">
        <v>60601929</v>
      </c>
      <c r="X806" t="s">
        <v>2707</v>
      </c>
      <c r="Y806" s="1">
        <v>46074</v>
      </c>
      <c r="Z806" s="1">
        <v>46134</v>
      </c>
      <c r="AA806" s="2">
        <v>214390.61</v>
      </c>
      <c r="AB806" s="2">
        <v>181686.96</v>
      </c>
      <c r="AC806" s="2">
        <v>32703.65</v>
      </c>
      <c r="AD806" s="2">
        <v>214390.61</v>
      </c>
      <c r="AE806" t="s">
        <v>2709</v>
      </c>
      <c r="AF806" t="s">
        <v>72</v>
      </c>
      <c r="AG806">
        <v>-56</v>
      </c>
      <c r="AH806" t="s">
        <v>117</v>
      </c>
      <c r="AI806" t="s">
        <v>74</v>
      </c>
      <c r="AJ806" t="s">
        <v>75</v>
      </c>
      <c r="AK806" t="s">
        <v>76</v>
      </c>
      <c r="AL806" t="s">
        <v>118</v>
      </c>
      <c r="AM806" t="s">
        <v>78</v>
      </c>
      <c r="AN806" t="s">
        <v>92</v>
      </c>
      <c r="AO806" t="s">
        <v>119</v>
      </c>
      <c r="AP806" t="s">
        <v>46</v>
      </c>
      <c r="AQ806" t="s">
        <v>81</v>
      </c>
      <c r="AR806" t="str">
        <f t="shared" si="24"/>
        <v>60601929.STATAM</v>
      </c>
      <c r="AS806">
        <f t="shared" si="25"/>
        <v>17698945.809999995</v>
      </c>
      <c r="AT806" t="s">
        <v>82</v>
      </c>
    </row>
    <row r="807" spans="1:46" x14ac:dyDescent="0.35">
      <c r="A807" t="s">
        <v>52</v>
      </c>
      <c r="B807" t="s">
        <v>53</v>
      </c>
      <c r="C807" t="s">
        <v>54</v>
      </c>
      <c r="D807" t="s">
        <v>55</v>
      </c>
      <c r="E807" t="s">
        <v>56</v>
      </c>
      <c r="F807" t="s">
        <v>2617</v>
      </c>
      <c r="G807" t="s">
        <v>2710</v>
      </c>
      <c r="H807" t="s">
        <v>56</v>
      </c>
      <c r="I807" t="s">
        <v>2711</v>
      </c>
      <c r="J807" t="s">
        <v>61</v>
      </c>
      <c r="K807" t="s">
        <v>640</v>
      </c>
      <c r="L807" t="s">
        <v>2712</v>
      </c>
      <c r="M807" t="s">
        <v>56</v>
      </c>
      <c r="N807" t="s">
        <v>252</v>
      </c>
      <c r="O807" t="s">
        <v>2629</v>
      </c>
      <c r="P807" t="s">
        <v>2630</v>
      </c>
      <c r="Q807" t="s">
        <v>87</v>
      </c>
      <c r="R807" t="s">
        <v>248</v>
      </c>
      <c r="S807">
        <v>20000000</v>
      </c>
      <c r="T807">
        <v>705022.46</v>
      </c>
      <c r="U807" t="s">
        <v>68</v>
      </c>
      <c r="V807" t="s">
        <v>2624</v>
      </c>
      <c r="W807" s="9">
        <v>60601929</v>
      </c>
      <c r="X807" t="s">
        <v>2713</v>
      </c>
      <c r="Y807" s="1">
        <v>46074</v>
      </c>
      <c r="Z807" s="1">
        <v>46134</v>
      </c>
      <c r="AA807" s="2">
        <v>60346.95</v>
      </c>
      <c r="AB807" s="2">
        <v>51141.48</v>
      </c>
      <c r="AC807" s="2">
        <v>9205.4699999999993</v>
      </c>
      <c r="AD807" s="2">
        <v>60346.95</v>
      </c>
      <c r="AE807" t="s">
        <v>2714</v>
      </c>
      <c r="AF807" t="s">
        <v>72</v>
      </c>
      <c r="AG807">
        <v>-56</v>
      </c>
      <c r="AH807" t="s">
        <v>117</v>
      </c>
      <c r="AI807" t="s">
        <v>74</v>
      </c>
      <c r="AJ807" t="s">
        <v>75</v>
      </c>
      <c r="AK807" t="s">
        <v>76</v>
      </c>
      <c r="AL807" t="s">
        <v>118</v>
      </c>
      <c r="AM807" t="s">
        <v>78</v>
      </c>
      <c r="AN807" t="s">
        <v>92</v>
      </c>
      <c r="AO807" t="s">
        <v>119</v>
      </c>
      <c r="AP807" t="s">
        <v>46</v>
      </c>
      <c r="AQ807" t="s">
        <v>81</v>
      </c>
      <c r="AR807" t="str">
        <f t="shared" si="24"/>
        <v>60601929.STATAM</v>
      </c>
      <c r="AS807">
        <f t="shared" si="25"/>
        <v>17698945.809999995</v>
      </c>
      <c r="AT807" t="s">
        <v>82</v>
      </c>
    </row>
    <row r="808" spans="1:46" x14ac:dyDescent="0.35">
      <c r="A808" t="s">
        <v>52</v>
      </c>
      <c r="B808" t="s">
        <v>53</v>
      </c>
      <c r="C808" t="s">
        <v>54</v>
      </c>
      <c r="D808" t="s">
        <v>55</v>
      </c>
      <c r="E808" t="s">
        <v>56</v>
      </c>
      <c r="F808" t="s">
        <v>2617</v>
      </c>
      <c r="G808" t="s">
        <v>2710</v>
      </c>
      <c r="H808" t="s">
        <v>56</v>
      </c>
      <c r="I808" t="s">
        <v>2711</v>
      </c>
      <c r="J808" t="s">
        <v>61</v>
      </c>
      <c r="K808" t="s">
        <v>640</v>
      </c>
      <c r="L808" t="s">
        <v>2712</v>
      </c>
      <c r="M808" t="s">
        <v>56</v>
      </c>
      <c r="N808" t="s">
        <v>1384</v>
      </c>
      <c r="O808" t="s">
        <v>2629</v>
      </c>
      <c r="P808" t="s">
        <v>2630</v>
      </c>
      <c r="Q808" t="s">
        <v>87</v>
      </c>
      <c r="R808" t="s">
        <v>248</v>
      </c>
      <c r="S808">
        <v>20000000</v>
      </c>
      <c r="T808">
        <v>705022.46</v>
      </c>
      <c r="U808" t="s">
        <v>68</v>
      </c>
      <c r="V808" t="s">
        <v>2624</v>
      </c>
      <c r="W808" s="9">
        <v>60601929</v>
      </c>
      <c r="X808" t="s">
        <v>2713</v>
      </c>
      <c r="Y808" s="1">
        <v>46074</v>
      </c>
      <c r="Z808" s="1">
        <v>46134</v>
      </c>
      <c r="AA808" s="2">
        <v>539.26</v>
      </c>
      <c r="AB808" s="2">
        <v>457</v>
      </c>
      <c r="AC808" s="2">
        <v>82.26</v>
      </c>
      <c r="AD808" s="2">
        <v>539.26</v>
      </c>
      <c r="AE808" t="s">
        <v>2715</v>
      </c>
      <c r="AF808" t="s">
        <v>72</v>
      </c>
      <c r="AG808">
        <v>-56</v>
      </c>
      <c r="AH808" t="s">
        <v>117</v>
      </c>
      <c r="AI808" t="s">
        <v>74</v>
      </c>
      <c r="AJ808" t="s">
        <v>75</v>
      </c>
      <c r="AK808" t="s">
        <v>76</v>
      </c>
      <c r="AL808" t="s">
        <v>118</v>
      </c>
      <c r="AM808" t="s">
        <v>78</v>
      </c>
      <c r="AN808" t="s">
        <v>92</v>
      </c>
      <c r="AO808" t="s">
        <v>119</v>
      </c>
      <c r="AP808" t="s">
        <v>46</v>
      </c>
      <c r="AQ808" t="s">
        <v>81</v>
      </c>
      <c r="AR808" t="str">
        <f t="shared" si="24"/>
        <v>60601929.STATAM</v>
      </c>
      <c r="AS808">
        <f t="shared" si="25"/>
        <v>17698945.809999995</v>
      </c>
      <c r="AT808" t="s">
        <v>82</v>
      </c>
    </row>
    <row r="809" spans="1:46" x14ac:dyDescent="0.35">
      <c r="A809" t="s">
        <v>52</v>
      </c>
      <c r="B809" t="s">
        <v>53</v>
      </c>
      <c r="C809" t="s">
        <v>54</v>
      </c>
      <c r="D809" t="s">
        <v>55</v>
      </c>
      <c r="E809" t="s">
        <v>56</v>
      </c>
      <c r="F809" t="s">
        <v>2617</v>
      </c>
      <c r="G809" t="s">
        <v>2710</v>
      </c>
      <c r="H809" t="s">
        <v>56</v>
      </c>
      <c r="I809" t="s">
        <v>2711</v>
      </c>
      <c r="J809" t="s">
        <v>61</v>
      </c>
      <c r="K809" t="s">
        <v>640</v>
      </c>
      <c r="L809" t="s">
        <v>2712</v>
      </c>
      <c r="M809" t="s">
        <v>56</v>
      </c>
      <c r="N809" t="s">
        <v>263</v>
      </c>
      <c r="O809" t="s">
        <v>2629</v>
      </c>
      <c r="P809" t="s">
        <v>2630</v>
      </c>
      <c r="Q809" t="s">
        <v>87</v>
      </c>
      <c r="R809" t="s">
        <v>248</v>
      </c>
      <c r="S809">
        <v>20000000</v>
      </c>
      <c r="T809">
        <v>705022.46</v>
      </c>
      <c r="U809" t="s">
        <v>68</v>
      </c>
      <c r="V809" t="s">
        <v>2624</v>
      </c>
      <c r="W809" s="9">
        <v>60601929</v>
      </c>
      <c r="X809" t="s">
        <v>2713</v>
      </c>
      <c r="Y809" s="1">
        <v>46074</v>
      </c>
      <c r="Z809" s="1">
        <v>46134</v>
      </c>
      <c r="AA809" s="2">
        <v>1809.51</v>
      </c>
      <c r="AB809" s="2">
        <v>1533.48</v>
      </c>
      <c r="AC809" s="2">
        <v>276.02999999999997</v>
      </c>
      <c r="AD809" s="2">
        <v>1809.51</v>
      </c>
      <c r="AE809" t="s">
        <v>2716</v>
      </c>
      <c r="AF809" t="s">
        <v>72</v>
      </c>
      <c r="AG809">
        <v>-56</v>
      </c>
      <c r="AH809" t="s">
        <v>117</v>
      </c>
      <c r="AI809" t="s">
        <v>74</v>
      </c>
      <c r="AJ809" t="s">
        <v>75</v>
      </c>
      <c r="AK809" t="s">
        <v>76</v>
      </c>
      <c r="AL809" t="s">
        <v>118</v>
      </c>
      <c r="AM809" t="s">
        <v>78</v>
      </c>
      <c r="AN809" t="s">
        <v>92</v>
      </c>
      <c r="AO809" t="s">
        <v>119</v>
      </c>
      <c r="AP809" t="s">
        <v>46</v>
      </c>
      <c r="AQ809" t="s">
        <v>81</v>
      </c>
      <c r="AR809" t="str">
        <f t="shared" si="24"/>
        <v>60601929.STATAM</v>
      </c>
      <c r="AS809">
        <f t="shared" si="25"/>
        <v>17698945.809999995</v>
      </c>
      <c r="AT809" t="s">
        <v>82</v>
      </c>
    </row>
    <row r="810" spans="1:46" x14ac:dyDescent="0.35">
      <c r="A810" t="s">
        <v>52</v>
      </c>
      <c r="B810" t="s">
        <v>53</v>
      </c>
      <c r="C810" t="s">
        <v>54</v>
      </c>
      <c r="D810" t="s">
        <v>55</v>
      </c>
      <c r="E810" t="s">
        <v>56</v>
      </c>
      <c r="F810" t="s">
        <v>2617</v>
      </c>
      <c r="G810" t="s">
        <v>2717</v>
      </c>
      <c r="H810" t="s">
        <v>56</v>
      </c>
      <c r="I810" t="s">
        <v>2718</v>
      </c>
      <c r="J810" t="s">
        <v>61</v>
      </c>
      <c r="K810" t="s">
        <v>640</v>
      </c>
      <c r="L810" t="s">
        <v>2719</v>
      </c>
      <c r="M810" t="s">
        <v>56</v>
      </c>
      <c r="N810" t="s">
        <v>1384</v>
      </c>
      <c r="O810" t="s">
        <v>2629</v>
      </c>
      <c r="P810" t="s">
        <v>2630</v>
      </c>
      <c r="Q810" t="s">
        <v>87</v>
      </c>
      <c r="R810" t="s">
        <v>248</v>
      </c>
      <c r="S810">
        <v>20000000</v>
      </c>
      <c r="T810">
        <v>705022.46</v>
      </c>
      <c r="U810" t="s">
        <v>68</v>
      </c>
      <c r="V810" t="s">
        <v>2624</v>
      </c>
      <c r="W810" s="9">
        <v>60601929</v>
      </c>
      <c r="X810" t="s">
        <v>2720</v>
      </c>
      <c r="Y810" s="1">
        <v>46074</v>
      </c>
      <c r="Z810" s="1">
        <v>46134</v>
      </c>
      <c r="AA810" s="2">
        <v>17990.14</v>
      </c>
      <c r="AB810" s="2">
        <v>15245.88</v>
      </c>
      <c r="AC810" s="2">
        <v>2744.26</v>
      </c>
      <c r="AD810" s="2">
        <v>17990.14</v>
      </c>
      <c r="AE810" t="s">
        <v>2721</v>
      </c>
      <c r="AF810" t="s">
        <v>72</v>
      </c>
      <c r="AG810">
        <v>-56</v>
      </c>
      <c r="AH810" t="s">
        <v>117</v>
      </c>
      <c r="AI810" t="s">
        <v>74</v>
      </c>
      <c r="AJ810" t="s">
        <v>75</v>
      </c>
      <c r="AK810" t="s">
        <v>76</v>
      </c>
      <c r="AL810" t="s">
        <v>118</v>
      </c>
      <c r="AM810" t="s">
        <v>78</v>
      </c>
      <c r="AN810" t="s">
        <v>92</v>
      </c>
      <c r="AO810" t="s">
        <v>119</v>
      </c>
      <c r="AP810" t="s">
        <v>46</v>
      </c>
      <c r="AQ810" t="s">
        <v>81</v>
      </c>
      <c r="AR810" t="str">
        <f t="shared" si="24"/>
        <v>60601929.STATAM</v>
      </c>
      <c r="AS810">
        <f t="shared" si="25"/>
        <v>17698945.809999995</v>
      </c>
      <c r="AT810" t="s">
        <v>82</v>
      </c>
    </row>
    <row r="811" spans="1:46" x14ac:dyDescent="0.35">
      <c r="A811" t="s">
        <v>52</v>
      </c>
      <c r="B811" t="s">
        <v>53</v>
      </c>
      <c r="C811" t="s">
        <v>54</v>
      </c>
      <c r="D811" t="s">
        <v>55</v>
      </c>
      <c r="E811" t="s">
        <v>56</v>
      </c>
      <c r="F811" t="s">
        <v>2617</v>
      </c>
      <c r="G811" t="s">
        <v>2722</v>
      </c>
      <c r="H811" t="s">
        <v>56</v>
      </c>
      <c r="I811" t="s">
        <v>2723</v>
      </c>
      <c r="J811" t="s">
        <v>61</v>
      </c>
      <c r="K811" t="s">
        <v>640</v>
      </c>
      <c r="L811" t="s">
        <v>2724</v>
      </c>
      <c r="M811" t="s">
        <v>56</v>
      </c>
      <c r="N811" t="s">
        <v>1384</v>
      </c>
      <c r="O811" t="s">
        <v>2629</v>
      </c>
      <c r="P811" t="s">
        <v>2630</v>
      </c>
      <c r="Q811" t="s">
        <v>87</v>
      </c>
      <c r="R811" t="s">
        <v>248</v>
      </c>
      <c r="S811">
        <v>20000000</v>
      </c>
      <c r="T811">
        <v>705022.46</v>
      </c>
      <c r="U811" t="s">
        <v>68</v>
      </c>
      <c r="V811" t="s">
        <v>2624</v>
      </c>
      <c r="W811" s="9">
        <v>60601929</v>
      </c>
      <c r="X811" t="s">
        <v>2725</v>
      </c>
      <c r="Y811" s="1">
        <v>46074</v>
      </c>
      <c r="Z811" s="1">
        <v>46134</v>
      </c>
      <c r="AA811" s="2">
        <v>12071.97</v>
      </c>
      <c r="AB811" s="2">
        <v>10230.48</v>
      </c>
      <c r="AC811" s="2">
        <v>1841.49</v>
      </c>
      <c r="AD811" s="2">
        <v>12071.97</v>
      </c>
      <c r="AE811" t="s">
        <v>2726</v>
      </c>
      <c r="AF811" t="s">
        <v>72</v>
      </c>
      <c r="AG811">
        <v>-56</v>
      </c>
      <c r="AH811" t="s">
        <v>117</v>
      </c>
      <c r="AI811" t="s">
        <v>74</v>
      </c>
      <c r="AJ811" t="s">
        <v>75</v>
      </c>
      <c r="AK811" t="s">
        <v>76</v>
      </c>
      <c r="AL811" t="s">
        <v>118</v>
      </c>
      <c r="AM811" t="s">
        <v>78</v>
      </c>
      <c r="AN811" t="s">
        <v>92</v>
      </c>
      <c r="AO811" t="s">
        <v>119</v>
      </c>
      <c r="AP811" t="s">
        <v>46</v>
      </c>
      <c r="AQ811" t="s">
        <v>81</v>
      </c>
      <c r="AR811" t="str">
        <f t="shared" si="24"/>
        <v>60601929.STATAM</v>
      </c>
      <c r="AS811">
        <f t="shared" si="25"/>
        <v>17698945.809999995</v>
      </c>
      <c r="AT811" t="s">
        <v>82</v>
      </c>
    </row>
    <row r="812" spans="1:46" x14ac:dyDescent="0.35">
      <c r="A812" t="s">
        <v>52</v>
      </c>
      <c r="B812" t="s">
        <v>53</v>
      </c>
      <c r="C812" t="s">
        <v>54</v>
      </c>
      <c r="D812" t="s">
        <v>55</v>
      </c>
      <c r="E812" t="s">
        <v>56</v>
      </c>
      <c r="F812" t="s">
        <v>2617</v>
      </c>
      <c r="G812" t="s">
        <v>2727</v>
      </c>
      <c r="H812" t="s">
        <v>56</v>
      </c>
      <c r="I812" t="s">
        <v>2728</v>
      </c>
      <c r="J812" t="s">
        <v>61</v>
      </c>
      <c r="K812" t="s">
        <v>640</v>
      </c>
      <c r="L812" t="s">
        <v>2729</v>
      </c>
      <c r="M812" t="s">
        <v>56</v>
      </c>
      <c r="N812" t="s">
        <v>1384</v>
      </c>
      <c r="O812" t="s">
        <v>2629</v>
      </c>
      <c r="P812" t="s">
        <v>2630</v>
      </c>
      <c r="Q812" t="s">
        <v>87</v>
      </c>
      <c r="R812" t="s">
        <v>248</v>
      </c>
      <c r="S812">
        <v>20000000</v>
      </c>
      <c r="T812">
        <v>705022.46</v>
      </c>
      <c r="U812" t="s">
        <v>68</v>
      </c>
      <c r="V812" t="s">
        <v>2624</v>
      </c>
      <c r="W812" s="9">
        <v>60601929</v>
      </c>
      <c r="X812" t="s">
        <v>2730</v>
      </c>
      <c r="Y812" s="1">
        <v>46074</v>
      </c>
      <c r="Z812" s="1">
        <v>46134</v>
      </c>
      <c r="AA812" s="2">
        <v>57712.76</v>
      </c>
      <c r="AB812" s="2">
        <v>48909.120000000003</v>
      </c>
      <c r="AC812" s="2">
        <v>8803.64</v>
      </c>
      <c r="AD812" s="2">
        <v>57712.76</v>
      </c>
      <c r="AE812" t="s">
        <v>2731</v>
      </c>
      <c r="AF812" t="s">
        <v>72</v>
      </c>
      <c r="AG812">
        <v>-56</v>
      </c>
      <c r="AH812" t="s">
        <v>117</v>
      </c>
      <c r="AI812" t="s">
        <v>74</v>
      </c>
      <c r="AJ812" t="s">
        <v>75</v>
      </c>
      <c r="AK812" t="s">
        <v>76</v>
      </c>
      <c r="AL812" t="s">
        <v>118</v>
      </c>
      <c r="AM812" t="s">
        <v>78</v>
      </c>
      <c r="AN812" t="s">
        <v>92</v>
      </c>
      <c r="AO812" t="s">
        <v>119</v>
      </c>
      <c r="AP812" t="s">
        <v>46</v>
      </c>
      <c r="AQ812" t="s">
        <v>81</v>
      </c>
      <c r="AR812" t="str">
        <f t="shared" si="24"/>
        <v>60601929.STATAM</v>
      </c>
      <c r="AS812">
        <f t="shared" si="25"/>
        <v>17698945.809999995</v>
      </c>
      <c r="AT812" t="s">
        <v>82</v>
      </c>
    </row>
    <row r="813" spans="1:46" x14ac:dyDescent="0.35">
      <c r="A813" t="s">
        <v>52</v>
      </c>
      <c r="B813" t="s">
        <v>53</v>
      </c>
      <c r="C813" t="s">
        <v>54</v>
      </c>
      <c r="D813" t="s">
        <v>55</v>
      </c>
      <c r="E813" t="s">
        <v>56</v>
      </c>
      <c r="F813" t="s">
        <v>2617</v>
      </c>
      <c r="G813" t="s">
        <v>2732</v>
      </c>
      <c r="H813" t="s">
        <v>56</v>
      </c>
      <c r="I813" t="s">
        <v>2733</v>
      </c>
      <c r="J813" t="s">
        <v>61</v>
      </c>
      <c r="K813" t="s">
        <v>640</v>
      </c>
      <c r="L813" t="s">
        <v>2734</v>
      </c>
      <c r="M813" t="s">
        <v>56</v>
      </c>
      <c r="N813" t="s">
        <v>682</v>
      </c>
      <c r="O813" t="s">
        <v>2629</v>
      </c>
      <c r="P813" t="s">
        <v>2630</v>
      </c>
      <c r="Q813" t="s">
        <v>87</v>
      </c>
      <c r="R813" t="s">
        <v>248</v>
      </c>
      <c r="S813">
        <v>20000000</v>
      </c>
      <c r="T813">
        <v>705022.46</v>
      </c>
      <c r="U813" t="s">
        <v>68</v>
      </c>
      <c r="V813" t="s">
        <v>2624</v>
      </c>
      <c r="W813" s="9">
        <v>60601929</v>
      </c>
      <c r="X813" t="s">
        <v>2735</v>
      </c>
      <c r="Y813" s="1">
        <v>46074</v>
      </c>
      <c r="Z813" s="1">
        <v>46134</v>
      </c>
      <c r="AA813" s="2">
        <v>30569.24</v>
      </c>
      <c r="AB813" s="2">
        <v>25906.14</v>
      </c>
      <c r="AC813" s="2">
        <v>4663.1000000000004</v>
      </c>
      <c r="AD813" s="2">
        <v>30569.24</v>
      </c>
      <c r="AE813" t="s">
        <v>2736</v>
      </c>
      <c r="AF813" t="s">
        <v>72</v>
      </c>
      <c r="AG813">
        <v>-56</v>
      </c>
      <c r="AH813" t="s">
        <v>117</v>
      </c>
      <c r="AI813" t="s">
        <v>74</v>
      </c>
      <c r="AJ813" t="s">
        <v>127</v>
      </c>
      <c r="AK813" t="s">
        <v>334</v>
      </c>
      <c r="AL813" t="s">
        <v>118</v>
      </c>
      <c r="AM813" t="s">
        <v>78</v>
      </c>
      <c r="AN813" t="s">
        <v>92</v>
      </c>
      <c r="AO813" t="s">
        <v>119</v>
      </c>
      <c r="AP813" t="s">
        <v>46</v>
      </c>
      <c r="AQ813" t="s">
        <v>335</v>
      </c>
      <c r="AR813" t="str">
        <f t="shared" si="24"/>
        <v>60601929.SPMINAM</v>
      </c>
      <c r="AS813">
        <f t="shared" si="25"/>
        <v>475577.97</v>
      </c>
      <c r="AT813" t="s">
        <v>82</v>
      </c>
    </row>
    <row r="814" spans="1:46" x14ac:dyDescent="0.35">
      <c r="A814" t="s">
        <v>52</v>
      </c>
      <c r="B814" t="s">
        <v>53</v>
      </c>
      <c r="C814" t="s">
        <v>54</v>
      </c>
      <c r="D814" t="s">
        <v>55</v>
      </c>
      <c r="E814" t="s">
        <v>56</v>
      </c>
      <c r="F814" t="s">
        <v>2617</v>
      </c>
      <c r="G814" t="s">
        <v>2737</v>
      </c>
      <c r="H814" t="s">
        <v>56</v>
      </c>
      <c r="I814" t="s">
        <v>2738</v>
      </c>
      <c r="J814" t="s">
        <v>61</v>
      </c>
      <c r="K814" t="s">
        <v>640</v>
      </c>
      <c r="L814" t="s">
        <v>2739</v>
      </c>
      <c r="M814" t="s">
        <v>56</v>
      </c>
      <c r="N814" t="s">
        <v>252</v>
      </c>
      <c r="O814" t="s">
        <v>2629</v>
      </c>
      <c r="P814" t="s">
        <v>2630</v>
      </c>
      <c r="Q814" t="s">
        <v>87</v>
      </c>
      <c r="R814" t="s">
        <v>248</v>
      </c>
      <c r="S814">
        <v>20000000</v>
      </c>
      <c r="T814">
        <v>705022.46</v>
      </c>
      <c r="U814" t="s">
        <v>68</v>
      </c>
      <c r="V814" t="s">
        <v>2624</v>
      </c>
      <c r="W814" s="9">
        <v>60601929</v>
      </c>
      <c r="X814" t="s">
        <v>2740</v>
      </c>
      <c r="Y814" s="1">
        <v>46074</v>
      </c>
      <c r="Z814" s="1">
        <v>46134</v>
      </c>
      <c r="AA814" s="2">
        <v>60346.95</v>
      </c>
      <c r="AB814" s="2">
        <v>51141.48</v>
      </c>
      <c r="AC814" s="2">
        <v>9205.4699999999993</v>
      </c>
      <c r="AD814" s="2">
        <v>60346.95</v>
      </c>
      <c r="AE814" t="s">
        <v>2741</v>
      </c>
      <c r="AF814" t="s">
        <v>72</v>
      </c>
      <c r="AG814">
        <v>-56</v>
      </c>
      <c r="AH814" t="s">
        <v>117</v>
      </c>
      <c r="AI814" t="s">
        <v>74</v>
      </c>
      <c r="AJ814" t="s">
        <v>75</v>
      </c>
      <c r="AK814" t="s">
        <v>76</v>
      </c>
      <c r="AL814" t="s">
        <v>118</v>
      </c>
      <c r="AM814" t="s">
        <v>78</v>
      </c>
      <c r="AN814" t="s">
        <v>92</v>
      </c>
      <c r="AO814" t="s">
        <v>119</v>
      </c>
      <c r="AP814" t="s">
        <v>46</v>
      </c>
      <c r="AQ814" t="s">
        <v>81</v>
      </c>
      <c r="AR814" t="str">
        <f t="shared" si="24"/>
        <v>60601929.STATAM</v>
      </c>
      <c r="AS814">
        <f t="shared" si="25"/>
        <v>17698945.809999995</v>
      </c>
      <c r="AT814" t="s">
        <v>82</v>
      </c>
    </row>
    <row r="815" spans="1:46" x14ac:dyDescent="0.35">
      <c r="A815" t="s">
        <v>52</v>
      </c>
      <c r="B815" t="s">
        <v>53</v>
      </c>
      <c r="C815" t="s">
        <v>54</v>
      </c>
      <c r="D815" t="s">
        <v>55</v>
      </c>
      <c r="E815" t="s">
        <v>56</v>
      </c>
      <c r="F815" t="s">
        <v>2617</v>
      </c>
      <c r="G815" t="s">
        <v>2742</v>
      </c>
      <c r="H815" t="s">
        <v>56</v>
      </c>
      <c r="I815" t="s">
        <v>2743</v>
      </c>
      <c r="J815" t="s">
        <v>56</v>
      </c>
      <c r="K815" t="s">
        <v>640</v>
      </c>
      <c r="L815" t="s">
        <v>2744</v>
      </c>
      <c r="M815" t="s">
        <v>56</v>
      </c>
      <c r="N815" t="s">
        <v>1384</v>
      </c>
      <c r="O815" t="s">
        <v>2629</v>
      </c>
      <c r="P815" t="s">
        <v>2630</v>
      </c>
      <c r="Q815" t="s">
        <v>2636</v>
      </c>
      <c r="R815" t="s">
        <v>248</v>
      </c>
      <c r="S815">
        <v>20000000</v>
      </c>
      <c r="T815">
        <v>705022.46</v>
      </c>
      <c r="U815" t="s">
        <v>68</v>
      </c>
      <c r="V815" t="s">
        <v>2624</v>
      </c>
      <c r="W815" s="9">
        <v>60601929</v>
      </c>
      <c r="X815" t="s">
        <v>2745</v>
      </c>
      <c r="Y815" s="1">
        <v>46074</v>
      </c>
      <c r="Z815" s="1">
        <v>46134</v>
      </c>
      <c r="AA815" s="2">
        <v>61230.2</v>
      </c>
      <c r="AB815" s="2">
        <v>51890</v>
      </c>
      <c r="AC815" s="2">
        <v>9340.2000000000007</v>
      </c>
      <c r="AD815" s="2">
        <v>61230.2</v>
      </c>
      <c r="AE815" t="s">
        <v>2746</v>
      </c>
      <c r="AF815" t="s">
        <v>72</v>
      </c>
      <c r="AG815">
        <v>-56</v>
      </c>
      <c r="AH815" t="s">
        <v>117</v>
      </c>
      <c r="AI815" t="s">
        <v>74</v>
      </c>
      <c r="AJ815" t="s">
        <v>75</v>
      </c>
      <c r="AK815" t="s">
        <v>76</v>
      </c>
      <c r="AL815" t="s">
        <v>118</v>
      </c>
      <c r="AM815" t="s">
        <v>78</v>
      </c>
      <c r="AN815" t="s">
        <v>92</v>
      </c>
      <c r="AO815" t="s">
        <v>119</v>
      </c>
      <c r="AP815" t="s">
        <v>46</v>
      </c>
      <c r="AQ815" t="s">
        <v>81</v>
      </c>
      <c r="AR815" t="str">
        <f t="shared" si="24"/>
        <v>60601929.STATAM</v>
      </c>
      <c r="AS815">
        <f t="shared" si="25"/>
        <v>17698945.809999995</v>
      </c>
      <c r="AT815" t="s">
        <v>82</v>
      </c>
    </row>
    <row r="816" spans="1:46" x14ac:dyDescent="0.35">
      <c r="A816" t="s">
        <v>52</v>
      </c>
      <c r="B816" t="s">
        <v>53</v>
      </c>
      <c r="C816" t="s">
        <v>54</v>
      </c>
      <c r="D816" t="s">
        <v>55</v>
      </c>
      <c r="E816" t="s">
        <v>56</v>
      </c>
      <c r="F816" t="s">
        <v>2617</v>
      </c>
      <c r="G816" t="s">
        <v>2742</v>
      </c>
      <c r="H816" t="s">
        <v>56</v>
      </c>
      <c r="I816" t="s">
        <v>2743</v>
      </c>
      <c r="J816" t="s">
        <v>56</v>
      </c>
      <c r="K816" t="s">
        <v>640</v>
      </c>
      <c r="L816" t="s">
        <v>2744</v>
      </c>
      <c r="M816" t="s">
        <v>56</v>
      </c>
      <c r="N816" t="s">
        <v>682</v>
      </c>
      <c r="O816" t="s">
        <v>2629</v>
      </c>
      <c r="P816" t="s">
        <v>2630</v>
      </c>
      <c r="Q816" t="s">
        <v>2636</v>
      </c>
      <c r="R816" t="s">
        <v>248</v>
      </c>
      <c r="S816">
        <v>20000000</v>
      </c>
      <c r="T816">
        <v>705022.46</v>
      </c>
      <c r="U816" t="s">
        <v>68</v>
      </c>
      <c r="V816" t="s">
        <v>2624</v>
      </c>
      <c r="W816" s="9">
        <v>60601929</v>
      </c>
      <c r="X816" t="s">
        <v>2745</v>
      </c>
      <c r="Y816" s="1">
        <v>46074</v>
      </c>
      <c r="Z816" s="1">
        <v>46134</v>
      </c>
      <c r="AA816" s="2">
        <v>297121.69</v>
      </c>
      <c r="AB816" s="2">
        <v>251798.04</v>
      </c>
      <c r="AC816" s="2">
        <v>45323.65</v>
      </c>
      <c r="AD816" s="2">
        <v>297121.69</v>
      </c>
      <c r="AE816" t="s">
        <v>2747</v>
      </c>
      <c r="AF816" t="s">
        <v>72</v>
      </c>
      <c r="AG816">
        <v>-56</v>
      </c>
      <c r="AH816" t="s">
        <v>117</v>
      </c>
      <c r="AI816" t="s">
        <v>74</v>
      </c>
      <c r="AJ816" t="s">
        <v>127</v>
      </c>
      <c r="AK816" t="s">
        <v>334</v>
      </c>
      <c r="AL816" t="s">
        <v>118</v>
      </c>
      <c r="AM816" t="s">
        <v>78</v>
      </c>
      <c r="AN816" t="s">
        <v>92</v>
      </c>
      <c r="AO816" t="s">
        <v>119</v>
      </c>
      <c r="AP816" t="s">
        <v>46</v>
      </c>
      <c r="AQ816" t="s">
        <v>335</v>
      </c>
      <c r="AR816" t="str">
        <f t="shared" si="24"/>
        <v>60601929.SPMINAM</v>
      </c>
      <c r="AS816">
        <f t="shared" si="25"/>
        <v>475577.97</v>
      </c>
      <c r="AT816" t="s">
        <v>82</v>
      </c>
    </row>
    <row r="817" spans="1:46" x14ac:dyDescent="0.35">
      <c r="A817" t="s">
        <v>52</v>
      </c>
      <c r="B817" t="s">
        <v>53</v>
      </c>
      <c r="C817" t="s">
        <v>54</v>
      </c>
      <c r="D817" t="s">
        <v>55</v>
      </c>
      <c r="E817" t="s">
        <v>56</v>
      </c>
      <c r="F817" t="s">
        <v>2617</v>
      </c>
      <c r="G817" t="s">
        <v>2748</v>
      </c>
      <c r="H817" t="s">
        <v>56</v>
      </c>
      <c r="I817" t="s">
        <v>2749</v>
      </c>
      <c r="J817" t="s">
        <v>61</v>
      </c>
      <c r="K817" t="s">
        <v>640</v>
      </c>
      <c r="L817" t="s">
        <v>2671</v>
      </c>
      <c r="M817" t="s">
        <v>56</v>
      </c>
      <c r="N817" t="s">
        <v>263</v>
      </c>
      <c r="O817" t="s">
        <v>2629</v>
      </c>
      <c r="P817" t="s">
        <v>2630</v>
      </c>
      <c r="Q817" t="s">
        <v>641</v>
      </c>
      <c r="R817" t="s">
        <v>248</v>
      </c>
      <c r="S817">
        <v>20000000</v>
      </c>
      <c r="T817">
        <v>705022.46</v>
      </c>
      <c r="U817" t="s">
        <v>68</v>
      </c>
      <c r="V817" t="s">
        <v>2624</v>
      </c>
      <c r="W817" s="9">
        <v>60601929</v>
      </c>
      <c r="X817" t="s">
        <v>2750</v>
      </c>
      <c r="Y817" s="1">
        <v>46074</v>
      </c>
      <c r="Z817" s="1">
        <v>46134</v>
      </c>
      <c r="AA817" s="2">
        <v>143352.29999999999</v>
      </c>
      <c r="AB817" s="2">
        <v>121485</v>
      </c>
      <c r="AC817" s="2">
        <v>21867.3</v>
      </c>
      <c r="AD817" s="2">
        <v>143352.29999999999</v>
      </c>
      <c r="AE817" t="s">
        <v>2751</v>
      </c>
      <c r="AF817" t="s">
        <v>72</v>
      </c>
      <c r="AG817">
        <v>-56</v>
      </c>
      <c r="AH817" t="s">
        <v>117</v>
      </c>
      <c r="AI817" t="s">
        <v>74</v>
      </c>
      <c r="AJ817" t="s">
        <v>75</v>
      </c>
      <c r="AK817" t="s">
        <v>76</v>
      </c>
      <c r="AL817" t="s">
        <v>118</v>
      </c>
      <c r="AM817" t="s">
        <v>78</v>
      </c>
      <c r="AN817" t="s">
        <v>92</v>
      </c>
      <c r="AO817" t="s">
        <v>119</v>
      </c>
      <c r="AP817" t="s">
        <v>46</v>
      </c>
      <c r="AQ817" t="s">
        <v>81</v>
      </c>
      <c r="AR817" t="str">
        <f t="shared" si="24"/>
        <v>60601929.STATAM</v>
      </c>
      <c r="AS817">
        <f t="shared" si="25"/>
        <v>17698945.809999995</v>
      </c>
      <c r="AT817" t="s">
        <v>82</v>
      </c>
    </row>
    <row r="818" spans="1:46" x14ac:dyDescent="0.35">
      <c r="A818" t="s">
        <v>52</v>
      </c>
      <c r="B818" t="s">
        <v>53</v>
      </c>
      <c r="C818" t="s">
        <v>54</v>
      </c>
      <c r="D818" t="s">
        <v>55</v>
      </c>
      <c r="E818" t="s">
        <v>56</v>
      </c>
      <c r="F818" t="s">
        <v>2617</v>
      </c>
      <c r="G818" t="s">
        <v>2748</v>
      </c>
      <c r="H818" t="s">
        <v>56</v>
      </c>
      <c r="I818" t="s">
        <v>2749</v>
      </c>
      <c r="J818" t="s">
        <v>61</v>
      </c>
      <c r="K818" t="s">
        <v>640</v>
      </c>
      <c r="L818" t="s">
        <v>2671</v>
      </c>
      <c r="M818" t="s">
        <v>56</v>
      </c>
      <c r="N818" t="s">
        <v>244</v>
      </c>
      <c r="O818" t="s">
        <v>2629</v>
      </c>
      <c r="P818" t="s">
        <v>2630</v>
      </c>
      <c r="Q818" t="s">
        <v>641</v>
      </c>
      <c r="R818" t="s">
        <v>248</v>
      </c>
      <c r="S818">
        <v>20000000</v>
      </c>
      <c r="T818">
        <v>705022.46</v>
      </c>
      <c r="U818" t="s">
        <v>68</v>
      </c>
      <c r="V818" t="s">
        <v>2624</v>
      </c>
      <c r="W818" s="9">
        <v>60601929</v>
      </c>
      <c r="X818" t="s">
        <v>2750</v>
      </c>
      <c r="Y818" s="1">
        <v>46074</v>
      </c>
      <c r="Z818" s="1">
        <v>46134</v>
      </c>
      <c r="AA818" s="2">
        <v>955089.64</v>
      </c>
      <c r="AB818" s="2">
        <v>809398</v>
      </c>
      <c r="AC818" s="2">
        <v>145691.64000000001</v>
      </c>
      <c r="AD818" s="2">
        <v>955089.64</v>
      </c>
      <c r="AE818" t="s">
        <v>2752</v>
      </c>
      <c r="AF818" t="s">
        <v>72</v>
      </c>
      <c r="AG818">
        <v>-56</v>
      </c>
      <c r="AH818" t="s">
        <v>117</v>
      </c>
      <c r="AI818" t="s">
        <v>74</v>
      </c>
      <c r="AJ818" t="s">
        <v>75</v>
      </c>
      <c r="AK818" t="s">
        <v>76</v>
      </c>
      <c r="AL818" t="s">
        <v>118</v>
      </c>
      <c r="AM818" t="s">
        <v>78</v>
      </c>
      <c r="AN818" t="s">
        <v>92</v>
      </c>
      <c r="AO818" t="s">
        <v>119</v>
      </c>
      <c r="AP818" t="s">
        <v>46</v>
      </c>
      <c r="AQ818" t="s">
        <v>81</v>
      </c>
      <c r="AR818" t="str">
        <f t="shared" si="24"/>
        <v>60601929.STATAM</v>
      </c>
      <c r="AS818">
        <f t="shared" si="25"/>
        <v>17698945.809999995</v>
      </c>
      <c r="AT818" t="s">
        <v>82</v>
      </c>
    </row>
    <row r="819" spans="1:46" x14ac:dyDescent="0.35">
      <c r="A819" t="s">
        <v>52</v>
      </c>
      <c r="B819" t="s">
        <v>53</v>
      </c>
      <c r="C819" t="s">
        <v>54</v>
      </c>
      <c r="D819" t="s">
        <v>55</v>
      </c>
      <c r="E819" t="s">
        <v>56</v>
      </c>
      <c r="F819" t="s">
        <v>2617</v>
      </c>
      <c r="G819" t="s">
        <v>2748</v>
      </c>
      <c r="H819" t="s">
        <v>56</v>
      </c>
      <c r="I819" t="s">
        <v>2749</v>
      </c>
      <c r="J819" t="s">
        <v>61</v>
      </c>
      <c r="K819" t="s">
        <v>640</v>
      </c>
      <c r="L819" t="s">
        <v>2671</v>
      </c>
      <c r="M819" t="s">
        <v>56</v>
      </c>
      <c r="N819" t="s">
        <v>254</v>
      </c>
      <c r="O819" t="s">
        <v>2629</v>
      </c>
      <c r="P819" t="s">
        <v>2630</v>
      </c>
      <c r="Q819" t="s">
        <v>641</v>
      </c>
      <c r="R819" t="s">
        <v>248</v>
      </c>
      <c r="S819">
        <v>20000000</v>
      </c>
      <c r="T819">
        <v>705022.46</v>
      </c>
      <c r="U819" t="s">
        <v>68</v>
      </c>
      <c r="V819" t="s">
        <v>2624</v>
      </c>
      <c r="W819" s="9">
        <v>60601929</v>
      </c>
      <c r="X819" t="s">
        <v>2750</v>
      </c>
      <c r="Y819" s="1">
        <v>46074</v>
      </c>
      <c r="Z819" s="1">
        <v>46134</v>
      </c>
      <c r="AA819" s="2">
        <v>622497.19999999995</v>
      </c>
      <c r="AB819" s="2">
        <v>527540</v>
      </c>
      <c r="AC819" s="2">
        <v>94957.2</v>
      </c>
      <c r="AD819" s="2">
        <v>622497.19999999995</v>
      </c>
      <c r="AE819" t="s">
        <v>2753</v>
      </c>
      <c r="AF819" t="s">
        <v>72</v>
      </c>
      <c r="AG819">
        <v>-56</v>
      </c>
      <c r="AH819" t="s">
        <v>117</v>
      </c>
      <c r="AI819" t="s">
        <v>74</v>
      </c>
      <c r="AJ819" t="s">
        <v>75</v>
      </c>
      <c r="AK819" t="s">
        <v>76</v>
      </c>
      <c r="AL819" t="s">
        <v>118</v>
      </c>
      <c r="AM819" t="s">
        <v>78</v>
      </c>
      <c r="AN819" t="s">
        <v>92</v>
      </c>
      <c r="AO819" t="s">
        <v>119</v>
      </c>
      <c r="AP819" t="s">
        <v>46</v>
      </c>
      <c r="AQ819" t="s">
        <v>81</v>
      </c>
      <c r="AR819" t="str">
        <f t="shared" si="24"/>
        <v>60601929.STATAM</v>
      </c>
      <c r="AS819">
        <f t="shared" si="25"/>
        <v>17698945.809999995</v>
      </c>
      <c r="AT819" t="s">
        <v>82</v>
      </c>
    </row>
    <row r="820" spans="1:46" x14ac:dyDescent="0.35">
      <c r="A820" t="s">
        <v>52</v>
      </c>
      <c r="B820" t="s">
        <v>53</v>
      </c>
      <c r="C820" t="s">
        <v>54</v>
      </c>
      <c r="D820" t="s">
        <v>55</v>
      </c>
      <c r="E820" t="s">
        <v>56</v>
      </c>
      <c r="F820" t="s">
        <v>2617</v>
      </c>
      <c r="G820" t="s">
        <v>2754</v>
      </c>
      <c r="H820" t="s">
        <v>56</v>
      </c>
      <c r="I820" t="s">
        <v>2755</v>
      </c>
      <c r="J820" t="s">
        <v>61</v>
      </c>
      <c r="K820" t="s">
        <v>640</v>
      </c>
      <c r="L820" t="s">
        <v>2641</v>
      </c>
      <c r="M820" t="s">
        <v>56</v>
      </c>
      <c r="N820" t="s">
        <v>252</v>
      </c>
      <c r="O820" t="s">
        <v>2629</v>
      </c>
      <c r="P820" t="s">
        <v>2630</v>
      </c>
      <c r="Q820" t="s">
        <v>87</v>
      </c>
      <c r="R820" t="s">
        <v>248</v>
      </c>
      <c r="S820">
        <v>20000000</v>
      </c>
      <c r="T820">
        <v>705022.46</v>
      </c>
      <c r="U820" t="s">
        <v>68</v>
      </c>
      <c r="V820" t="s">
        <v>2624</v>
      </c>
      <c r="W820" s="9">
        <v>60601929</v>
      </c>
      <c r="X820" t="s">
        <v>2756</v>
      </c>
      <c r="Y820" s="1">
        <v>46074</v>
      </c>
      <c r="Z820" s="1">
        <v>46134</v>
      </c>
      <c r="AA820" s="2">
        <v>130424.36</v>
      </c>
      <c r="AB820" s="2">
        <v>110529.12</v>
      </c>
      <c r="AC820" s="2">
        <v>19895.240000000002</v>
      </c>
      <c r="AD820" s="2">
        <v>130424.36</v>
      </c>
      <c r="AE820" t="s">
        <v>2757</v>
      </c>
      <c r="AF820" t="s">
        <v>72</v>
      </c>
      <c r="AG820">
        <v>-56</v>
      </c>
      <c r="AH820" t="s">
        <v>117</v>
      </c>
      <c r="AI820" t="s">
        <v>74</v>
      </c>
      <c r="AJ820" t="s">
        <v>75</v>
      </c>
      <c r="AK820" t="s">
        <v>76</v>
      </c>
      <c r="AL820" t="s">
        <v>118</v>
      </c>
      <c r="AM820" t="s">
        <v>78</v>
      </c>
      <c r="AN820" t="s">
        <v>92</v>
      </c>
      <c r="AO820" t="s">
        <v>119</v>
      </c>
      <c r="AP820" t="s">
        <v>46</v>
      </c>
      <c r="AQ820" t="s">
        <v>81</v>
      </c>
      <c r="AR820" t="str">
        <f t="shared" si="24"/>
        <v>60601929.STATAM</v>
      </c>
      <c r="AS820">
        <f t="shared" si="25"/>
        <v>17698945.809999995</v>
      </c>
      <c r="AT820" t="s">
        <v>82</v>
      </c>
    </row>
    <row r="821" spans="1:46" x14ac:dyDescent="0.35">
      <c r="A821" t="s">
        <v>52</v>
      </c>
      <c r="B821" t="s">
        <v>53</v>
      </c>
      <c r="C821" t="s">
        <v>54</v>
      </c>
      <c r="D821" t="s">
        <v>55</v>
      </c>
      <c r="E821" t="s">
        <v>56</v>
      </c>
      <c r="F821" t="s">
        <v>2617</v>
      </c>
      <c r="G821" t="s">
        <v>2758</v>
      </c>
      <c r="H821" t="s">
        <v>56</v>
      </c>
      <c r="I821" t="s">
        <v>2759</v>
      </c>
      <c r="J821" t="s">
        <v>61</v>
      </c>
      <c r="K821" t="s">
        <v>640</v>
      </c>
      <c r="L821" t="s">
        <v>2671</v>
      </c>
      <c r="M821" t="s">
        <v>56</v>
      </c>
      <c r="N821" t="s">
        <v>295</v>
      </c>
      <c r="O821" t="s">
        <v>2629</v>
      </c>
      <c r="P821" t="s">
        <v>2630</v>
      </c>
      <c r="Q821" t="s">
        <v>87</v>
      </c>
      <c r="R821" t="s">
        <v>248</v>
      </c>
      <c r="S821">
        <v>20000000</v>
      </c>
      <c r="T821">
        <v>705022.46</v>
      </c>
      <c r="U821" t="s">
        <v>68</v>
      </c>
      <c r="V821" t="s">
        <v>2624</v>
      </c>
      <c r="W821" s="9">
        <v>60601929</v>
      </c>
      <c r="X821" t="s">
        <v>2760</v>
      </c>
      <c r="Y821" s="1">
        <v>46074</v>
      </c>
      <c r="Z821" s="1">
        <v>46134</v>
      </c>
      <c r="AA821" s="2">
        <v>49909.61</v>
      </c>
      <c r="AB821" s="2">
        <v>42296.28</v>
      </c>
      <c r="AC821" s="2">
        <v>7613.33</v>
      </c>
      <c r="AD821" s="2">
        <v>49909.61</v>
      </c>
      <c r="AE821" t="s">
        <v>2761</v>
      </c>
      <c r="AF821" t="s">
        <v>72</v>
      </c>
      <c r="AG821">
        <v>-56</v>
      </c>
      <c r="AH821" t="s">
        <v>117</v>
      </c>
      <c r="AI821" t="s">
        <v>74</v>
      </c>
      <c r="AJ821" t="s">
        <v>75</v>
      </c>
      <c r="AK821" t="s">
        <v>76</v>
      </c>
      <c r="AL821" t="s">
        <v>118</v>
      </c>
      <c r="AM821" t="s">
        <v>78</v>
      </c>
      <c r="AN821" t="s">
        <v>92</v>
      </c>
      <c r="AO821" t="s">
        <v>119</v>
      </c>
      <c r="AP821" t="s">
        <v>46</v>
      </c>
      <c r="AQ821" t="s">
        <v>81</v>
      </c>
      <c r="AR821" t="str">
        <f t="shared" si="24"/>
        <v>60601929.STATAM</v>
      </c>
      <c r="AS821">
        <f t="shared" si="25"/>
        <v>17698945.809999995</v>
      </c>
      <c r="AT821" t="s">
        <v>82</v>
      </c>
    </row>
    <row r="822" spans="1:46" x14ac:dyDescent="0.35">
      <c r="A822" t="s">
        <v>52</v>
      </c>
      <c r="B822" t="s">
        <v>53</v>
      </c>
      <c r="C822" t="s">
        <v>54</v>
      </c>
      <c r="D822" t="s">
        <v>55</v>
      </c>
      <c r="E822" t="s">
        <v>56</v>
      </c>
      <c r="F822" t="s">
        <v>2617</v>
      </c>
      <c r="G822" t="s">
        <v>2758</v>
      </c>
      <c r="H822" t="s">
        <v>56</v>
      </c>
      <c r="I822" t="s">
        <v>2759</v>
      </c>
      <c r="J822" t="s">
        <v>61</v>
      </c>
      <c r="K822" t="s">
        <v>640</v>
      </c>
      <c r="L822" t="s">
        <v>2671</v>
      </c>
      <c r="M822" t="s">
        <v>56</v>
      </c>
      <c r="N822" t="s">
        <v>252</v>
      </c>
      <c r="O822" t="s">
        <v>2629</v>
      </c>
      <c r="P822" t="s">
        <v>2630</v>
      </c>
      <c r="Q822" t="s">
        <v>87</v>
      </c>
      <c r="R822" t="s">
        <v>248</v>
      </c>
      <c r="S822">
        <v>20000000</v>
      </c>
      <c r="T822">
        <v>705022.46</v>
      </c>
      <c r="U822" t="s">
        <v>68</v>
      </c>
      <c r="V822" t="s">
        <v>2624</v>
      </c>
      <c r="W822" s="9">
        <v>60601929</v>
      </c>
      <c r="X822" t="s">
        <v>2760</v>
      </c>
      <c r="Y822" s="1">
        <v>46074</v>
      </c>
      <c r="Z822" s="1">
        <v>46134</v>
      </c>
      <c r="AA822" s="2">
        <v>345695.8</v>
      </c>
      <c r="AB822" s="2">
        <v>292962.53999999998</v>
      </c>
      <c r="AC822" s="2">
        <v>52733.26</v>
      </c>
      <c r="AD822" s="2">
        <v>345695.8</v>
      </c>
      <c r="AE822" t="s">
        <v>2762</v>
      </c>
      <c r="AF822" t="s">
        <v>72</v>
      </c>
      <c r="AG822">
        <v>-56</v>
      </c>
      <c r="AH822" t="s">
        <v>117</v>
      </c>
      <c r="AI822" t="s">
        <v>74</v>
      </c>
      <c r="AJ822" t="s">
        <v>75</v>
      </c>
      <c r="AK822" t="s">
        <v>76</v>
      </c>
      <c r="AL822" t="s">
        <v>118</v>
      </c>
      <c r="AM822" t="s">
        <v>78</v>
      </c>
      <c r="AN822" t="s">
        <v>92</v>
      </c>
      <c r="AO822" t="s">
        <v>119</v>
      </c>
      <c r="AP822" t="s">
        <v>46</v>
      </c>
      <c r="AQ822" t="s">
        <v>81</v>
      </c>
      <c r="AR822" t="str">
        <f t="shared" si="24"/>
        <v>60601929.STATAM</v>
      </c>
      <c r="AS822">
        <f t="shared" si="25"/>
        <v>17698945.809999995</v>
      </c>
      <c r="AT822" t="s">
        <v>82</v>
      </c>
    </row>
    <row r="823" spans="1:46" x14ac:dyDescent="0.35">
      <c r="A823" t="s">
        <v>52</v>
      </c>
      <c r="B823" t="s">
        <v>53</v>
      </c>
      <c r="C823" t="s">
        <v>54</v>
      </c>
      <c r="D823" t="s">
        <v>55</v>
      </c>
      <c r="E823" t="s">
        <v>56</v>
      </c>
      <c r="F823" t="s">
        <v>2617</v>
      </c>
      <c r="G823" t="s">
        <v>2758</v>
      </c>
      <c r="H823" t="s">
        <v>56</v>
      </c>
      <c r="I823" t="s">
        <v>2759</v>
      </c>
      <c r="J823" t="s">
        <v>61</v>
      </c>
      <c r="K823" t="s">
        <v>640</v>
      </c>
      <c r="L823" t="s">
        <v>2671</v>
      </c>
      <c r="M823" t="s">
        <v>56</v>
      </c>
      <c r="N823" t="s">
        <v>1384</v>
      </c>
      <c r="O823" t="s">
        <v>2629</v>
      </c>
      <c r="P823" t="s">
        <v>2630</v>
      </c>
      <c r="Q823" t="s">
        <v>87</v>
      </c>
      <c r="R823" t="s">
        <v>248</v>
      </c>
      <c r="S823">
        <v>20000000</v>
      </c>
      <c r="T823">
        <v>705022.46</v>
      </c>
      <c r="U823" t="s">
        <v>68</v>
      </c>
      <c r="V823" t="s">
        <v>2624</v>
      </c>
      <c r="W823" s="9">
        <v>60601929</v>
      </c>
      <c r="X823" t="s">
        <v>2760</v>
      </c>
      <c r="Y823" s="1">
        <v>46074</v>
      </c>
      <c r="Z823" s="1">
        <v>46134</v>
      </c>
      <c r="AA823" s="2">
        <v>90537.91</v>
      </c>
      <c r="AB823" s="2">
        <v>76727.039999999994</v>
      </c>
      <c r="AC823" s="2">
        <v>13810.87</v>
      </c>
      <c r="AD823" s="2">
        <v>90537.91</v>
      </c>
      <c r="AE823" t="s">
        <v>2763</v>
      </c>
      <c r="AF823" t="s">
        <v>72</v>
      </c>
      <c r="AG823">
        <v>-56</v>
      </c>
      <c r="AH823" t="s">
        <v>117</v>
      </c>
      <c r="AI823" t="s">
        <v>74</v>
      </c>
      <c r="AJ823" t="s">
        <v>75</v>
      </c>
      <c r="AK823" t="s">
        <v>76</v>
      </c>
      <c r="AL823" t="s">
        <v>118</v>
      </c>
      <c r="AM823" t="s">
        <v>78</v>
      </c>
      <c r="AN823" t="s">
        <v>92</v>
      </c>
      <c r="AO823" t="s">
        <v>119</v>
      </c>
      <c r="AP823" t="s">
        <v>46</v>
      </c>
      <c r="AQ823" t="s">
        <v>81</v>
      </c>
      <c r="AR823" t="str">
        <f t="shared" si="24"/>
        <v>60601929.STATAM</v>
      </c>
      <c r="AS823">
        <f t="shared" si="25"/>
        <v>17698945.809999995</v>
      </c>
      <c r="AT823" t="s">
        <v>82</v>
      </c>
    </row>
    <row r="824" spans="1:46" x14ac:dyDescent="0.35">
      <c r="A824" t="s">
        <v>52</v>
      </c>
      <c r="B824" t="s">
        <v>53</v>
      </c>
      <c r="C824" t="s">
        <v>54</v>
      </c>
      <c r="D824" t="s">
        <v>55</v>
      </c>
      <c r="E824" t="s">
        <v>56</v>
      </c>
      <c r="F824" t="s">
        <v>2617</v>
      </c>
      <c r="G824" t="s">
        <v>2758</v>
      </c>
      <c r="H824" t="s">
        <v>56</v>
      </c>
      <c r="I824" t="s">
        <v>2759</v>
      </c>
      <c r="J824" t="s">
        <v>61</v>
      </c>
      <c r="K824" t="s">
        <v>640</v>
      </c>
      <c r="L824" t="s">
        <v>2671</v>
      </c>
      <c r="M824" t="s">
        <v>56</v>
      </c>
      <c r="N824" t="s">
        <v>261</v>
      </c>
      <c r="O824" t="s">
        <v>2629</v>
      </c>
      <c r="P824" t="s">
        <v>2630</v>
      </c>
      <c r="Q824" t="s">
        <v>87</v>
      </c>
      <c r="R824" t="s">
        <v>248</v>
      </c>
      <c r="S824">
        <v>20000000</v>
      </c>
      <c r="T824">
        <v>705022.46</v>
      </c>
      <c r="U824" t="s">
        <v>68</v>
      </c>
      <c r="V824" t="s">
        <v>2624</v>
      </c>
      <c r="W824" s="9">
        <v>60601929</v>
      </c>
      <c r="X824" t="s">
        <v>2760</v>
      </c>
      <c r="Y824" s="1">
        <v>46074</v>
      </c>
      <c r="Z824" s="1">
        <v>46134</v>
      </c>
      <c r="AA824" s="2">
        <v>424246.41</v>
      </c>
      <c r="AB824" s="2">
        <v>359530.86</v>
      </c>
      <c r="AC824" s="2">
        <v>64715.55</v>
      </c>
      <c r="AD824" s="2">
        <v>424246.41</v>
      </c>
      <c r="AE824" t="s">
        <v>2764</v>
      </c>
      <c r="AF824" t="s">
        <v>72</v>
      </c>
      <c r="AG824">
        <v>-56</v>
      </c>
      <c r="AH824" t="s">
        <v>117</v>
      </c>
      <c r="AI824" t="s">
        <v>74</v>
      </c>
      <c r="AJ824" t="s">
        <v>75</v>
      </c>
      <c r="AK824" t="s">
        <v>76</v>
      </c>
      <c r="AL824" t="s">
        <v>118</v>
      </c>
      <c r="AM824" t="s">
        <v>78</v>
      </c>
      <c r="AN824" t="s">
        <v>92</v>
      </c>
      <c r="AO824" t="s">
        <v>119</v>
      </c>
      <c r="AP824" t="s">
        <v>46</v>
      </c>
      <c r="AQ824" t="s">
        <v>81</v>
      </c>
      <c r="AR824" t="str">
        <f t="shared" si="24"/>
        <v>60601929.STATAM</v>
      </c>
      <c r="AS824">
        <f t="shared" si="25"/>
        <v>17698945.809999995</v>
      </c>
      <c r="AT824" t="s">
        <v>82</v>
      </c>
    </row>
    <row r="825" spans="1:46" x14ac:dyDescent="0.35">
      <c r="A825" t="s">
        <v>52</v>
      </c>
      <c r="B825" t="s">
        <v>53</v>
      </c>
      <c r="C825" t="s">
        <v>54</v>
      </c>
      <c r="D825" t="s">
        <v>55</v>
      </c>
      <c r="E825" t="s">
        <v>56</v>
      </c>
      <c r="F825" t="s">
        <v>2617</v>
      </c>
      <c r="G825" t="s">
        <v>2758</v>
      </c>
      <c r="H825" t="s">
        <v>56</v>
      </c>
      <c r="I825" t="s">
        <v>2759</v>
      </c>
      <c r="J825" t="s">
        <v>61</v>
      </c>
      <c r="K825" t="s">
        <v>640</v>
      </c>
      <c r="L825" t="s">
        <v>2671</v>
      </c>
      <c r="M825" t="s">
        <v>56</v>
      </c>
      <c r="N825" t="s">
        <v>263</v>
      </c>
      <c r="O825" t="s">
        <v>2629</v>
      </c>
      <c r="P825" t="s">
        <v>2630</v>
      </c>
      <c r="Q825" t="s">
        <v>87</v>
      </c>
      <c r="R825" t="s">
        <v>248</v>
      </c>
      <c r="S825">
        <v>20000000</v>
      </c>
      <c r="T825">
        <v>705022.46</v>
      </c>
      <c r="U825" t="s">
        <v>68</v>
      </c>
      <c r="V825" t="s">
        <v>2624</v>
      </c>
      <c r="W825" s="9">
        <v>60601929</v>
      </c>
      <c r="X825" t="s">
        <v>2760</v>
      </c>
      <c r="Y825" s="1">
        <v>46074</v>
      </c>
      <c r="Z825" s="1">
        <v>46134</v>
      </c>
      <c r="AA825" s="2">
        <v>614729.63</v>
      </c>
      <c r="AB825" s="2">
        <v>520957.32</v>
      </c>
      <c r="AC825" s="2">
        <v>93772.31</v>
      </c>
      <c r="AD825" s="2">
        <v>614729.63</v>
      </c>
      <c r="AE825" t="s">
        <v>2765</v>
      </c>
      <c r="AF825" t="s">
        <v>72</v>
      </c>
      <c r="AG825">
        <v>-56</v>
      </c>
      <c r="AH825" t="s">
        <v>117</v>
      </c>
      <c r="AI825" t="s">
        <v>74</v>
      </c>
      <c r="AJ825" t="s">
        <v>75</v>
      </c>
      <c r="AK825" t="s">
        <v>76</v>
      </c>
      <c r="AL825" t="s">
        <v>118</v>
      </c>
      <c r="AM825" t="s">
        <v>78</v>
      </c>
      <c r="AN825" t="s">
        <v>92</v>
      </c>
      <c r="AO825" t="s">
        <v>119</v>
      </c>
      <c r="AP825" t="s">
        <v>46</v>
      </c>
      <c r="AQ825" t="s">
        <v>81</v>
      </c>
      <c r="AR825" t="str">
        <f t="shared" si="24"/>
        <v>60601929.STATAM</v>
      </c>
      <c r="AS825">
        <f t="shared" si="25"/>
        <v>17698945.809999995</v>
      </c>
      <c r="AT825" t="s">
        <v>82</v>
      </c>
    </row>
    <row r="826" spans="1:46" x14ac:dyDescent="0.35">
      <c r="A826" t="s">
        <v>52</v>
      </c>
      <c r="B826" t="s">
        <v>53</v>
      </c>
      <c r="C826" t="s">
        <v>54</v>
      </c>
      <c r="D826" t="s">
        <v>55</v>
      </c>
      <c r="E826" t="s">
        <v>56</v>
      </c>
      <c r="F826" t="s">
        <v>2617</v>
      </c>
      <c r="G826" t="s">
        <v>2704</v>
      </c>
      <c r="H826" t="s">
        <v>56</v>
      </c>
      <c r="I826" t="s">
        <v>2766</v>
      </c>
      <c r="J826" t="s">
        <v>61</v>
      </c>
      <c r="K826" t="s">
        <v>640</v>
      </c>
      <c r="L826" t="s">
        <v>2706</v>
      </c>
      <c r="M826" t="s">
        <v>56</v>
      </c>
      <c r="N826" t="s">
        <v>252</v>
      </c>
      <c r="O826" t="s">
        <v>2629</v>
      </c>
      <c r="P826" t="s">
        <v>2630</v>
      </c>
      <c r="Q826" t="s">
        <v>87</v>
      </c>
      <c r="R826" t="s">
        <v>248</v>
      </c>
      <c r="S826">
        <v>20000000</v>
      </c>
      <c r="T826">
        <v>705022.46</v>
      </c>
      <c r="U826" t="s">
        <v>68</v>
      </c>
      <c r="V826" t="s">
        <v>2624</v>
      </c>
      <c r="W826" s="9">
        <v>60601929</v>
      </c>
      <c r="X826" t="s">
        <v>2767</v>
      </c>
      <c r="Y826" s="1">
        <v>46074</v>
      </c>
      <c r="Z826" s="1">
        <v>46134</v>
      </c>
      <c r="AA826" s="2">
        <v>238934</v>
      </c>
      <c r="AB826" s="2">
        <v>202486.44</v>
      </c>
      <c r="AC826" s="2">
        <v>36447.56</v>
      </c>
      <c r="AD826" s="2">
        <v>238934</v>
      </c>
      <c r="AE826" t="s">
        <v>2768</v>
      </c>
      <c r="AF826" t="s">
        <v>72</v>
      </c>
      <c r="AG826">
        <v>-56</v>
      </c>
      <c r="AH826" t="s">
        <v>117</v>
      </c>
      <c r="AI826" t="s">
        <v>74</v>
      </c>
      <c r="AJ826" t="s">
        <v>75</v>
      </c>
      <c r="AK826" t="s">
        <v>76</v>
      </c>
      <c r="AL826" t="s">
        <v>118</v>
      </c>
      <c r="AM826" t="s">
        <v>78</v>
      </c>
      <c r="AN826" t="s">
        <v>92</v>
      </c>
      <c r="AO826" t="s">
        <v>119</v>
      </c>
      <c r="AP826" t="s">
        <v>46</v>
      </c>
      <c r="AQ826" t="s">
        <v>81</v>
      </c>
      <c r="AR826" t="str">
        <f t="shared" si="24"/>
        <v>60601929.STATAM</v>
      </c>
      <c r="AS826">
        <f t="shared" si="25"/>
        <v>17698945.809999995</v>
      </c>
      <c r="AT826" t="s">
        <v>82</v>
      </c>
    </row>
    <row r="827" spans="1:46" x14ac:dyDescent="0.35">
      <c r="A827" t="s">
        <v>52</v>
      </c>
      <c r="B827" t="s">
        <v>53</v>
      </c>
      <c r="C827" t="s">
        <v>54</v>
      </c>
      <c r="D827" t="s">
        <v>55</v>
      </c>
      <c r="E827" t="s">
        <v>56</v>
      </c>
      <c r="F827" t="s">
        <v>2617</v>
      </c>
      <c r="G827" t="s">
        <v>2769</v>
      </c>
      <c r="H827" t="s">
        <v>56</v>
      </c>
      <c r="I827" t="s">
        <v>2770</v>
      </c>
      <c r="J827" t="s">
        <v>56</v>
      </c>
      <c r="K827" t="s">
        <v>640</v>
      </c>
      <c r="L827" t="s">
        <v>2683</v>
      </c>
      <c r="M827" t="s">
        <v>56</v>
      </c>
      <c r="N827" t="s">
        <v>244</v>
      </c>
      <c r="O827" t="s">
        <v>2629</v>
      </c>
      <c r="P827" t="s">
        <v>2630</v>
      </c>
      <c r="Q827" t="s">
        <v>2660</v>
      </c>
      <c r="R827" t="s">
        <v>248</v>
      </c>
      <c r="S827">
        <v>20000000</v>
      </c>
      <c r="T827">
        <v>705022.46</v>
      </c>
      <c r="U827" t="s">
        <v>68</v>
      </c>
      <c r="V827" t="s">
        <v>2624</v>
      </c>
      <c r="W827" s="9">
        <v>60601929</v>
      </c>
      <c r="X827" t="s">
        <v>2771</v>
      </c>
      <c r="Y827" s="1">
        <v>46074</v>
      </c>
      <c r="Z827" s="1">
        <v>46134</v>
      </c>
      <c r="AA827" s="2">
        <v>662447.28</v>
      </c>
      <c r="AB827" s="2">
        <v>561396</v>
      </c>
      <c r="AC827" s="2">
        <v>101051.28</v>
      </c>
      <c r="AD827" s="2">
        <v>662447.28</v>
      </c>
      <c r="AE827" t="s">
        <v>2772</v>
      </c>
      <c r="AF827" t="s">
        <v>72</v>
      </c>
      <c r="AG827">
        <v>-56</v>
      </c>
      <c r="AH827" t="s">
        <v>117</v>
      </c>
      <c r="AI827" t="s">
        <v>74</v>
      </c>
      <c r="AJ827" t="s">
        <v>75</v>
      </c>
      <c r="AK827" t="s">
        <v>76</v>
      </c>
      <c r="AL827" t="s">
        <v>118</v>
      </c>
      <c r="AM827" t="s">
        <v>78</v>
      </c>
      <c r="AN827" t="s">
        <v>92</v>
      </c>
      <c r="AO827" t="s">
        <v>119</v>
      </c>
      <c r="AP827" t="s">
        <v>46</v>
      </c>
      <c r="AQ827" t="s">
        <v>81</v>
      </c>
      <c r="AR827" t="str">
        <f t="shared" si="24"/>
        <v>60601929.STATAM</v>
      </c>
      <c r="AS827">
        <f t="shared" si="25"/>
        <v>17698945.809999995</v>
      </c>
      <c r="AT827" t="s">
        <v>82</v>
      </c>
    </row>
    <row r="828" spans="1:46" x14ac:dyDescent="0.35">
      <c r="A828" t="s">
        <v>52</v>
      </c>
      <c r="B828" t="s">
        <v>53</v>
      </c>
      <c r="C828" t="s">
        <v>54</v>
      </c>
      <c r="D828" t="s">
        <v>55</v>
      </c>
      <c r="E828" t="s">
        <v>56</v>
      </c>
      <c r="F828" t="s">
        <v>2617</v>
      </c>
      <c r="G828" t="s">
        <v>2773</v>
      </c>
      <c r="H828" t="s">
        <v>56</v>
      </c>
      <c r="I828" t="s">
        <v>2774</v>
      </c>
      <c r="J828" t="s">
        <v>56</v>
      </c>
      <c r="K828" t="s">
        <v>640</v>
      </c>
      <c r="L828" t="s">
        <v>2775</v>
      </c>
      <c r="M828" t="s">
        <v>56</v>
      </c>
      <c r="N828" t="s">
        <v>252</v>
      </c>
      <c r="O828" t="s">
        <v>2629</v>
      </c>
      <c r="P828" t="s">
        <v>2630</v>
      </c>
      <c r="Q828" t="s">
        <v>2636</v>
      </c>
      <c r="R828" t="s">
        <v>248</v>
      </c>
      <c r="S828">
        <v>20000000</v>
      </c>
      <c r="T828">
        <v>705022.46</v>
      </c>
      <c r="U828" t="s">
        <v>68</v>
      </c>
      <c r="V828" t="s">
        <v>2624</v>
      </c>
      <c r="W828" s="9">
        <v>60601929</v>
      </c>
      <c r="X828" t="s">
        <v>2776</v>
      </c>
      <c r="Y828" s="1">
        <v>46074</v>
      </c>
      <c r="Z828" s="1">
        <v>46134</v>
      </c>
      <c r="AA828" s="2">
        <v>308952.51</v>
      </c>
      <c r="AB828" s="2">
        <v>261824.16</v>
      </c>
      <c r="AC828" s="2">
        <v>47128.35</v>
      </c>
      <c r="AD828" s="2">
        <v>308952.51</v>
      </c>
      <c r="AE828" t="s">
        <v>2777</v>
      </c>
      <c r="AF828" t="s">
        <v>72</v>
      </c>
      <c r="AG828">
        <v>-56</v>
      </c>
      <c r="AH828" t="s">
        <v>117</v>
      </c>
      <c r="AI828" t="s">
        <v>74</v>
      </c>
      <c r="AJ828" t="s">
        <v>75</v>
      </c>
      <c r="AK828" t="s">
        <v>76</v>
      </c>
      <c r="AL828" t="s">
        <v>118</v>
      </c>
      <c r="AM828" t="s">
        <v>78</v>
      </c>
      <c r="AN828" t="s">
        <v>92</v>
      </c>
      <c r="AO828" t="s">
        <v>119</v>
      </c>
      <c r="AP828" t="s">
        <v>46</v>
      </c>
      <c r="AQ828" t="s">
        <v>81</v>
      </c>
      <c r="AR828" t="str">
        <f t="shared" si="24"/>
        <v>60601929.STATAM</v>
      </c>
      <c r="AS828">
        <f t="shared" si="25"/>
        <v>17698945.809999995</v>
      </c>
      <c r="AT828" t="s">
        <v>82</v>
      </c>
    </row>
    <row r="829" spans="1:46" x14ac:dyDescent="0.35">
      <c r="A829" t="s">
        <v>52</v>
      </c>
      <c r="B829" t="s">
        <v>53</v>
      </c>
      <c r="C829" t="s">
        <v>54</v>
      </c>
      <c r="D829" t="s">
        <v>55</v>
      </c>
      <c r="E829" t="s">
        <v>56</v>
      </c>
      <c r="F829" t="s">
        <v>2617</v>
      </c>
      <c r="G829" t="s">
        <v>2773</v>
      </c>
      <c r="H829" t="s">
        <v>56</v>
      </c>
      <c r="I829" t="s">
        <v>2774</v>
      </c>
      <c r="J829" t="s">
        <v>56</v>
      </c>
      <c r="K829" t="s">
        <v>640</v>
      </c>
      <c r="L829" t="s">
        <v>2775</v>
      </c>
      <c r="M829" t="s">
        <v>56</v>
      </c>
      <c r="N829" t="s">
        <v>261</v>
      </c>
      <c r="O829" t="s">
        <v>2629</v>
      </c>
      <c r="P829" t="s">
        <v>2630</v>
      </c>
      <c r="Q829" t="s">
        <v>2636</v>
      </c>
      <c r="R829" t="s">
        <v>248</v>
      </c>
      <c r="S829">
        <v>20000000</v>
      </c>
      <c r="T829">
        <v>705022.46</v>
      </c>
      <c r="U829" t="s">
        <v>68</v>
      </c>
      <c r="V829" t="s">
        <v>2624</v>
      </c>
      <c r="W829" s="9">
        <v>60601929</v>
      </c>
      <c r="X829" t="s">
        <v>2776</v>
      </c>
      <c r="Y829" s="1">
        <v>46074</v>
      </c>
      <c r="Z829" s="1">
        <v>46134</v>
      </c>
      <c r="AA829" s="2">
        <v>230552.83</v>
      </c>
      <c r="AB829" s="2">
        <v>195383.76</v>
      </c>
      <c r="AC829" s="2">
        <v>35169.07</v>
      </c>
      <c r="AD829" s="2">
        <v>230552.83</v>
      </c>
      <c r="AE829" t="s">
        <v>2778</v>
      </c>
      <c r="AF829" t="s">
        <v>72</v>
      </c>
      <c r="AG829">
        <v>-56</v>
      </c>
      <c r="AH829" t="s">
        <v>117</v>
      </c>
      <c r="AI829" t="s">
        <v>74</v>
      </c>
      <c r="AJ829" t="s">
        <v>75</v>
      </c>
      <c r="AK829" t="s">
        <v>76</v>
      </c>
      <c r="AL829" t="s">
        <v>118</v>
      </c>
      <c r="AM829" t="s">
        <v>78</v>
      </c>
      <c r="AN829" t="s">
        <v>92</v>
      </c>
      <c r="AO829" t="s">
        <v>119</v>
      </c>
      <c r="AP829" t="s">
        <v>46</v>
      </c>
      <c r="AQ829" t="s">
        <v>81</v>
      </c>
      <c r="AR829" t="str">
        <f t="shared" si="24"/>
        <v>60601929.STATAM</v>
      </c>
      <c r="AS829">
        <f t="shared" si="25"/>
        <v>17698945.809999995</v>
      </c>
      <c r="AT829" t="s">
        <v>82</v>
      </c>
    </row>
    <row r="830" spans="1:46" x14ac:dyDescent="0.35">
      <c r="A830" t="s">
        <v>52</v>
      </c>
      <c r="B830" t="s">
        <v>53</v>
      </c>
      <c r="C830" t="s">
        <v>54</v>
      </c>
      <c r="D830" t="s">
        <v>55</v>
      </c>
      <c r="E830" t="s">
        <v>56</v>
      </c>
      <c r="F830" t="s">
        <v>2617</v>
      </c>
      <c r="G830" t="s">
        <v>2698</v>
      </c>
      <c r="H830" t="s">
        <v>56</v>
      </c>
      <c r="I830" t="s">
        <v>2779</v>
      </c>
      <c r="J830" t="s">
        <v>56</v>
      </c>
      <c r="K830" t="s">
        <v>640</v>
      </c>
      <c r="L830" t="s">
        <v>2700</v>
      </c>
      <c r="M830" t="s">
        <v>56</v>
      </c>
      <c r="N830" t="s">
        <v>1189</v>
      </c>
      <c r="O830" t="s">
        <v>2629</v>
      </c>
      <c r="P830" t="s">
        <v>2630</v>
      </c>
      <c r="Q830" t="s">
        <v>965</v>
      </c>
      <c r="R830" t="s">
        <v>248</v>
      </c>
      <c r="S830">
        <v>20000000</v>
      </c>
      <c r="T830">
        <v>705022.46</v>
      </c>
      <c r="U830" t="s">
        <v>68</v>
      </c>
      <c r="V830" t="s">
        <v>2624</v>
      </c>
      <c r="W830" s="9">
        <v>60601929</v>
      </c>
      <c r="X830" t="s">
        <v>2780</v>
      </c>
      <c r="Y830" s="1">
        <v>46076</v>
      </c>
      <c r="Z830" s="1">
        <v>46136</v>
      </c>
      <c r="AA830" s="2">
        <v>51407.1</v>
      </c>
      <c r="AB830" s="2">
        <v>43565.34</v>
      </c>
      <c r="AC830" s="2">
        <v>7841.76</v>
      </c>
      <c r="AD830" s="2">
        <v>51407.1</v>
      </c>
      <c r="AE830" t="s">
        <v>2781</v>
      </c>
      <c r="AF830" t="s">
        <v>72</v>
      </c>
      <c r="AG830">
        <v>-58</v>
      </c>
      <c r="AH830" t="s">
        <v>117</v>
      </c>
      <c r="AI830" t="s">
        <v>74</v>
      </c>
      <c r="AJ830" t="s">
        <v>75</v>
      </c>
      <c r="AK830" t="s">
        <v>76</v>
      </c>
      <c r="AL830" t="s">
        <v>118</v>
      </c>
      <c r="AM830" t="s">
        <v>78</v>
      </c>
      <c r="AN830" t="s">
        <v>92</v>
      </c>
      <c r="AO830" t="s">
        <v>119</v>
      </c>
      <c r="AP830" t="s">
        <v>46</v>
      </c>
      <c r="AQ830" t="s">
        <v>81</v>
      </c>
      <c r="AR830" t="str">
        <f t="shared" si="24"/>
        <v>60601929.STATAM</v>
      </c>
      <c r="AS830">
        <f t="shared" si="25"/>
        <v>17698945.809999995</v>
      </c>
      <c r="AT830" t="s">
        <v>82</v>
      </c>
    </row>
    <row r="831" spans="1:46" x14ac:dyDescent="0.35">
      <c r="A831" t="s">
        <v>52</v>
      </c>
      <c r="B831" t="s">
        <v>53</v>
      </c>
      <c r="C831" t="s">
        <v>54</v>
      </c>
      <c r="D831" t="s">
        <v>55</v>
      </c>
      <c r="E831" t="s">
        <v>56</v>
      </c>
      <c r="F831" t="s">
        <v>2617</v>
      </c>
      <c r="G831" t="s">
        <v>2698</v>
      </c>
      <c r="H831" t="s">
        <v>56</v>
      </c>
      <c r="I831" t="s">
        <v>2779</v>
      </c>
      <c r="J831" t="s">
        <v>56</v>
      </c>
      <c r="K831" t="s">
        <v>640</v>
      </c>
      <c r="L831" t="s">
        <v>2700</v>
      </c>
      <c r="M831" t="s">
        <v>56</v>
      </c>
      <c r="N831" t="s">
        <v>1183</v>
      </c>
      <c r="O831" t="s">
        <v>2629</v>
      </c>
      <c r="P831" t="s">
        <v>2630</v>
      </c>
      <c r="Q831" t="s">
        <v>965</v>
      </c>
      <c r="R831" t="s">
        <v>248</v>
      </c>
      <c r="S831">
        <v>20000000</v>
      </c>
      <c r="T831">
        <v>705022.46</v>
      </c>
      <c r="U831" t="s">
        <v>68</v>
      </c>
      <c r="V831" t="s">
        <v>2624</v>
      </c>
      <c r="W831" s="9">
        <v>60601929</v>
      </c>
      <c r="X831" t="s">
        <v>2780</v>
      </c>
      <c r="Y831" s="1">
        <v>46076</v>
      </c>
      <c r="Z831" s="1">
        <v>46136</v>
      </c>
      <c r="AA831" s="2">
        <v>533894.57999999996</v>
      </c>
      <c r="AB831" s="2">
        <v>452453.04</v>
      </c>
      <c r="AC831" s="2">
        <v>81441.539999999994</v>
      </c>
      <c r="AD831" s="2">
        <v>533894.57999999996</v>
      </c>
      <c r="AE831" t="s">
        <v>2782</v>
      </c>
      <c r="AF831" t="s">
        <v>72</v>
      </c>
      <c r="AG831">
        <v>-58</v>
      </c>
      <c r="AH831" t="s">
        <v>117</v>
      </c>
      <c r="AI831" t="s">
        <v>74</v>
      </c>
      <c r="AJ831" t="s">
        <v>75</v>
      </c>
      <c r="AK831" t="s">
        <v>76</v>
      </c>
      <c r="AL831" t="s">
        <v>118</v>
      </c>
      <c r="AM831" t="s">
        <v>78</v>
      </c>
      <c r="AN831" t="s">
        <v>92</v>
      </c>
      <c r="AO831" t="s">
        <v>119</v>
      </c>
      <c r="AP831" t="s">
        <v>46</v>
      </c>
      <c r="AQ831" t="s">
        <v>81</v>
      </c>
      <c r="AR831" t="str">
        <f t="shared" si="24"/>
        <v>60601929.STATAM</v>
      </c>
      <c r="AS831">
        <f t="shared" si="25"/>
        <v>17698945.809999995</v>
      </c>
      <c r="AT831" t="s">
        <v>82</v>
      </c>
    </row>
    <row r="832" spans="1:46" x14ac:dyDescent="0.35">
      <c r="A832" t="s">
        <v>52</v>
      </c>
      <c r="B832" t="s">
        <v>53</v>
      </c>
      <c r="C832" t="s">
        <v>54</v>
      </c>
      <c r="D832" t="s">
        <v>55</v>
      </c>
      <c r="E832" t="s">
        <v>56</v>
      </c>
      <c r="F832" t="s">
        <v>2783</v>
      </c>
      <c r="G832" t="s">
        <v>2784</v>
      </c>
      <c r="H832" t="s">
        <v>153</v>
      </c>
      <c r="I832" t="s">
        <v>2785</v>
      </c>
      <c r="J832" t="s">
        <v>56</v>
      </c>
      <c r="K832" t="s">
        <v>640</v>
      </c>
      <c r="L832" t="s">
        <v>56</v>
      </c>
      <c r="M832" t="s">
        <v>56</v>
      </c>
      <c r="N832" t="s">
        <v>155</v>
      </c>
      <c r="O832" t="s">
        <v>2571</v>
      </c>
      <c r="P832" t="s">
        <v>2572</v>
      </c>
      <c r="Q832" t="s">
        <v>2786</v>
      </c>
      <c r="R832" t="s">
        <v>67</v>
      </c>
      <c r="S832">
        <v>134859161</v>
      </c>
      <c r="T832">
        <v>96777534.349999994</v>
      </c>
      <c r="U832" t="s">
        <v>68</v>
      </c>
      <c r="V832" t="s">
        <v>2624</v>
      </c>
      <c r="W832" s="9">
        <v>60602712</v>
      </c>
      <c r="X832" t="s">
        <v>2787</v>
      </c>
      <c r="Y832" s="1">
        <v>46057</v>
      </c>
      <c r="Z832" s="1">
        <v>46087</v>
      </c>
      <c r="AA832" s="2">
        <v>1499999.97</v>
      </c>
      <c r="AB832" s="2">
        <v>1271186.42</v>
      </c>
      <c r="AC832" s="2">
        <v>228813.55</v>
      </c>
      <c r="AD832" s="2">
        <v>825999.97</v>
      </c>
      <c r="AE832" t="s">
        <v>2788</v>
      </c>
      <c r="AF832" t="s">
        <v>72</v>
      </c>
      <c r="AG832">
        <v>-9</v>
      </c>
      <c r="AH832" t="s">
        <v>117</v>
      </c>
      <c r="AI832" t="s">
        <v>74</v>
      </c>
      <c r="AJ832" t="s">
        <v>75</v>
      </c>
      <c r="AK832" t="s">
        <v>102</v>
      </c>
      <c r="AL832" t="s">
        <v>118</v>
      </c>
      <c r="AM832" t="s">
        <v>103</v>
      </c>
      <c r="AN832" t="s">
        <v>2346</v>
      </c>
      <c r="AO832" t="s">
        <v>119</v>
      </c>
      <c r="AP832" t="e">
        <v>#N/A</v>
      </c>
      <c r="AQ832" t="s">
        <v>105</v>
      </c>
      <c r="AR832" t="str">
        <f t="shared" si="24"/>
        <v>60602712.STATEQ</v>
      </c>
      <c r="AS832">
        <f t="shared" si="25"/>
        <v>825999.97</v>
      </c>
      <c r="AT832" t="s">
        <v>82</v>
      </c>
    </row>
    <row r="833" spans="1:46" x14ac:dyDescent="0.35">
      <c r="A833" t="s">
        <v>52</v>
      </c>
      <c r="B833" t="s">
        <v>53</v>
      </c>
      <c r="C833" t="s">
        <v>54</v>
      </c>
      <c r="D833" t="s">
        <v>55</v>
      </c>
      <c r="E833" t="s">
        <v>56</v>
      </c>
      <c r="F833" t="s">
        <v>2789</v>
      </c>
      <c r="G833" t="s">
        <v>2790</v>
      </c>
      <c r="H833" t="s">
        <v>56</v>
      </c>
      <c r="I833" t="s">
        <v>2791</v>
      </c>
      <c r="J833" t="s">
        <v>56</v>
      </c>
      <c r="K833" t="s">
        <v>640</v>
      </c>
      <c r="L833" t="s">
        <v>56</v>
      </c>
      <c r="M833" t="s">
        <v>56</v>
      </c>
      <c r="N833" t="s">
        <v>254</v>
      </c>
      <c r="O833" t="s">
        <v>245</v>
      </c>
      <c r="P833" t="s">
        <v>246</v>
      </c>
      <c r="Q833" t="s">
        <v>114</v>
      </c>
      <c r="R833" t="s">
        <v>67</v>
      </c>
      <c r="S833">
        <v>500000</v>
      </c>
      <c r="T833">
        <v>172357.66</v>
      </c>
      <c r="U833" t="s">
        <v>68</v>
      </c>
      <c r="V833" t="s">
        <v>2792</v>
      </c>
      <c r="W833" s="9">
        <v>60602548</v>
      </c>
      <c r="X833" t="s">
        <v>2793</v>
      </c>
      <c r="Y833" s="1">
        <v>46072</v>
      </c>
      <c r="Z833" s="1">
        <v>46102</v>
      </c>
      <c r="AA833" s="2">
        <v>308561.74</v>
      </c>
      <c r="AB833" s="2">
        <v>261493</v>
      </c>
      <c r="AC833" s="2">
        <v>47068.74</v>
      </c>
      <c r="AD833" s="2">
        <v>308561.74</v>
      </c>
      <c r="AE833" t="s">
        <v>2794</v>
      </c>
      <c r="AF833" t="s">
        <v>72</v>
      </c>
      <c r="AG833">
        <v>-24</v>
      </c>
      <c r="AH833" t="s">
        <v>117</v>
      </c>
      <c r="AI833" t="s">
        <v>74</v>
      </c>
      <c r="AJ833" t="s">
        <v>75</v>
      </c>
      <c r="AK833" t="s">
        <v>76</v>
      </c>
      <c r="AL833" t="s">
        <v>118</v>
      </c>
      <c r="AM833" t="s">
        <v>78</v>
      </c>
      <c r="AN833" t="s">
        <v>239</v>
      </c>
      <c r="AO833" t="s">
        <v>119</v>
      </c>
      <c r="AP833" t="e">
        <v>#N/A</v>
      </c>
      <c r="AQ833" t="s">
        <v>81</v>
      </c>
      <c r="AR833" t="str">
        <f t="shared" si="24"/>
        <v>60602548.STATAM</v>
      </c>
      <c r="AS833">
        <f t="shared" si="25"/>
        <v>308561.74</v>
      </c>
      <c r="AT833" t="s">
        <v>82</v>
      </c>
    </row>
    <row r="834" spans="1:46" x14ac:dyDescent="0.35">
      <c r="A834" t="s">
        <v>52</v>
      </c>
      <c r="B834" t="s">
        <v>2795</v>
      </c>
      <c r="C834" t="s">
        <v>54</v>
      </c>
      <c r="D834" t="s">
        <v>55</v>
      </c>
      <c r="E834" t="s">
        <v>56</v>
      </c>
      <c r="F834" t="s">
        <v>2796</v>
      </c>
      <c r="G834" t="s">
        <v>2797</v>
      </c>
      <c r="H834" t="s">
        <v>153</v>
      </c>
      <c r="I834" t="s">
        <v>2798</v>
      </c>
      <c r="J834" t="s">
        <v>56</v>
      </c>
      <c r="K834" t="s">
        <v>62</v>
      </c>
      <c r="L834" t="s">
        <v>56</v>
      </c>
      <c r="M834" t="s">
        <v>56</v>
      </c>
      <c r="N834" t="s">
        <v>155</v>
      </c>
      <c r="O834" t="s">
        <v>2571</v>
      </c>
      <c r="P834" t="s">
        <v>2572</v>
      </c>
      <c r="Q834" t="s">
        <v>393</v>
      </c>
      <c r="R834" t="s">
        <v>67</v>
      </c>
      <c r="S834">
        <v>40000000</v>
      </c>
      <c r="T834">
        <v>27321371.93</v>
      </c>
      <c r="U834" t="s">
        <v>68</v>
      </c>
      <c r="V834" t="s">
        <v>2799</v>
      </c>
      <c r="W834" s="9" t="s">
        <v>2796</v>
      </c>
      <c r="X834" t="s">
        <v>2800</v>
      </c>
      <c r="Y834" s="1">
        <v>46015</v>
      </c>
      <c r="Z834" s="1">
        <v>46096</v>
      </c>
      <c r="AA834" s="2">
        <v>3730576.32</v>
      </c>
      <c r="AB834" s="2">
        <v>3730576.32</v>
      </c>
      <c r="AC834" s="2">
        <v>0</v>
      </c>
      <c r="AD834" s="2">
        <v>3730576.32</v>
      </c>
      <c r="AE834" t="s">
        <v>2801</v>
      </c>
      <c r="AF834" t="s">
        <v>2802</v>
      </c>
      <c r="AG834">
        <v>-18</v>
      </c>
      <c r="AH834" t="s">
        <v>117</v>
      </c>
      <c r="AI834" t="s">
        <v>74</v>
      </c>
      <c r="AJ834" t="s">
        <v>75</v>
      </c>
      <c r="AK834" t="s">
        <v>102</v>
      </c>
      <c r="AL834" t="s">
        <v>118</v>
      </c>
      <c r="AM834" t="s">
        <v>103</v>
      </c>
      <c r="AN834" t="s">
        <v>2346</v>
      </c>
      <c r="AO834" t="s">
        <v>119</v>
      </c>
      <c r="AP834" t="e">
        <v>#N/A</v>
      </c>
      <c r="AQ834" t="s">
        <v>105</v>
      </c>
      <c r="AR834" t="str">
        <f t="shared" si="24"/>
        <v>EX000013.STATEQ</v>
      </c>
      <c r="AS834">
        <f t="shared" si="25"/>
        <v>12678628.069999998</v>
      </c>
      <c r="AT834" t="s">
        <v>82</v>
      </c>
    </row>
    <row r="835" spans="1:46" x14ac:dyDescent="0.35">
      <c r="A835" t="s">
        <v>52</v>
      </c>
      <c r="B835" t="s">
        <v>2795</v>
      </c>
      <c r="C835" t="s">
        <v>54</v>
      </c>
      <c r="D835" t="s">
        <v>55</v>
      </c>
      <c r="E835" t="s">
        <v>56</v>
      </c>
      <c r="F835" t="s">
        <v>2796</v>
      </c>
      <c r="G835" t="s">
        <v>2797</v>
      </c>
      <c r="H835" t="s">
        <v>153</v>
      </c>
      <c r="I835" t="s">
        <v>2798</v>
      </c>
      <c r="J835" t="s">
        <v>56</v>
      </c>
      <c r="K835" t="s">
        <v>62</v>
      </c>
      <c r="L835" t="s">
        <v>56</v>
      </c>
      <c r="M835" t="s">
        <v>56</v>
      </c>
      <c r="N835" t="s">
        <v>155</v>
      </c>
      <c r="O835" t="s">
        <v>2571</v>
      </c>
      <c r="P835" t="s">
        <v>2572</v>
      </c>
      <c r="Q835" t="s">
        <v>393</v>
      </c>
      <c r="R835" t="s">
        <v>67</v>
      </c>
      <c r="S835">
        <v>40000000</v>
      </c>
      <c r="T835">
        <v>27321371.93</v>
      </c>
      <c r="U835" t="s">
        <v>68</v>
      </c>
      <c r="V835" t="s">
        <v>2799</v>
      </c>
      <c r="W835" s="9" t="s">
        <v>2796</v>
      </c>
      <c r="X835" t="s">
        <v>2803</v>
      </c>
      <c r="Y835" s="1">
        <v>46017</v>
      </c>
      <c r="Z835" s="1">
        <v>46096</v>
      </c>
      <c r="AA835" s="2">
        <v>4974035.4400000004</v>
      </c>
      <c r="AB835" s="2">
        <v>4974035.4400000004</v>
      </c>
      <c r="AC835" s="2">
        <v>0</v>
      </c>
      <c r="AD835" s="2">
        <v>4974035.4400000004</v>
      </c>
      <c r="AE835" t="s">
        <v>2804</v>
      </c>
      <c r="AF835" t="s">
        <v>2802</v>
      </c>
      <c r="AG835">
        <v>-18</v>
      </c>
      <c r="AH835" t="s">
        <v>117</v>
      </c>
      <c r="AI835" t="s">
        <v>74</v>
      </c>
      <c r="AJ835" t="s">
        <v>75</v>
      </c>
      <c r="AK835" t="s">
        <v>102</v>
      </c>
      <c r="AL835" t="s">
        <v>118</v>
      </c>
      <c r="AM835" t="s">
        <v>103</v>
      </c>
      <c r="AN835" t="s">
        <v>2346</v>
      </c>
      <c r="AO835" t="s">
        <v>119</v>
      </c>
      <c r="AP835" t="e">
        <v>#N/A</v>
      </c>
      <c r="AQ835" t="s">
        <v>105</v>
      </c>
      <c r="AR835" t="str">
        <f t="shared" si="24"/>
        <v>EX000013.STATEQ</v>
      </c>
      <c r="AS835">
        <f t="shared" si="25"/>
        <v>12678628.069999998</v>
      </c>
      <c r="AT835" t="s">
        <v>82</v>
      </c>
    </row>
    <row r="836" spans="1:46" x14ac:dyDescent="0.35">
      <c r="A836" t="s">
        <v>52</v>
      </c>
      <c r="B836" t="s">
        <v>2795</v>
      </c>
      <c r="C836" t="s">
        <v>54</v>
      </c>
      <c r="D836" t="s">
        <v>55</v>
      </c>
      <c r="E836" t="s">
        <v>56</v>
      </c>
      <c r="F836" t="s">
        <v>2796</v>
      </c>
      <c r="G836" t="s">
        <v>2797</v>
      </c>
      <c r="H836" t="s">
        <v>153</v>
      </c>
      <c r="I836" t="s">
        <v>2798</v>
      </c>
      <c r="J836" t="s">
        <v>56</v>
      </c>
      <c r="K836" t="s">
        <v>62</v>
      </c>
      <c r="L836" t="s">
        <v>56</v>
      </c>
      <c r="M836" t="s">
        <v>56</v>
      </c>
      <c r="N836" t="s">
        <v>155</v>
      </c>
      <c r="O836" t="s">
        <v>2571</v>
      </c>
      <c r="P836" t="s">
        <v>2572</v>
      </c>
      <c r="Q836" t="s">
        <v>393</v>
      </c>
      <c r="R836" t="s">
        <v>67</v>
      </c>
      <c r="S836">
        <v>40000000</v>
      </c>
      <c r="T836">
        <v>27321371.93</v>
      </c>
      <c r="U836" t="s">
        <v>68</v>
      </c>
      <c r="V836" t="s">
        <v>2799</v>
      </c>
      <c r="W836" s="9" t="s">
        <v>2796</v>
      </c>
      <c r="X836" t="s">
        <v>2805</v>
      </c>
      <c r="Y836" s="1">
        <v>46017</v>
      </c>
      <c r="Z836" s="1">
        <v>46096</v>
      </c>
      <c r="AA836" s="2">
        <v>3076191.21</v>
      </c>
      <c r="AB836" s="2">
        <v>3076191.21</v>
      </c>
      <c r="AC836" s="2">
        <v>0</v>
      </c>
      <c r="AD836" s="2">
        <v>3076191.21</v>
      </c>
      <c r="AE836" t="s">
        <v>2806</v>
      </c>
      <c r="AF836" t="s">
        <v>2802</v>
      </c>
      <c r="AG836">
        <v>-18</v>
      </c>
      <c r="AH836" t="s">
        <v>117</v>
      </c>
      <c r="AI836" t="s">
        <v>74</v>
      </c>
      <c r="AJ836" t="s">
        <v>75</v>
      </c>
      <c r="AK836" t="s">
        <v>102</v>
      </c>
      <c r="AL836" t="s">
        <v>118</v>
      </c>
      <c r="AM836" t="s">
        <v>103</v>
      </c>
      <c r="AN836" t="s">
        <v>2346</v>
      </c>
      <c r="AO836" t="s">
        <v>119</v>
      </c>
      <c r="AP836" t="e">
        <v>#N/A</v>
      </c>
      <c r="AQ836" t="s">
        <v>105</v>
      </c>
      <c r="AR836" t="str">
        <f t="shared" si="24"/>
        <v>EX000013.STATEQ</v>
      </c>
      <c r="AS836">
        <f t="shared" si="25"/>
        <v>12678628.069999998</v>
      </c>
      <c r="AT836" t="s">
        <v>82</v>
      </c>
    </row>
    <row r="837" spans="1:46" x14ac:dyDescent="0.35">
      <c r="A837" t="s">
        <v>52</v>
      </c>
      <c r="B837" t="s">
        <v>2795</v>
      </c>
      <c r="C837" t="s">
        <v>54</v>
      </c>
      <c r="D837" t="s">
        <v>55</v>
      </c>
      <c r="E837" t="s">
        <v>56</v>
      </c>
      <c r="F837" t="s">
        <v>2796</v>
      </c>
      <c r="G837" t="s">
        <v>2797</v>
      </c>
      <c r="H837" t="s">
        <v>153</v>
      </c>
      <c r="I837" t="s">
        <v>2798</v>
      </c>
      <c r="J837" t="s">
        <v>56</v>
      </c>
      <c r="K837" t="s">
        <v>62</v>
      </c>
      <c r="L837" t="s">
        <v>56</v>
      </c>
      <c r="M837" t="s">
        <v>56</v>
      </c>
      <c r="N837" t="s">
        <v>593</v>
      </c>
      <c r="O837" t="s">
        <v>2571</v>
      </c>
      <c r="P837" t="s">
        <v>2572</v>
      </c>
      <c r="Q837" t="s">
        <v>393</v>
      </c>
      <c r="R837" t="s">
        <v>67</v>
      </c>
      <c r="S837">
        <v>40000000</v>
      </c>
      <c r="T837">
        <v>27321371.93</v>
      </c>
      <c r="U837" t="s">
        <v>68</v>
      </c>
      <c r="V837" t="s">
        <v>2799</v>
      </c>
      <c r="W837" s="9" t="s">
        <v>2796</v>
      </c>
      <c r="X837" t="s">
        <v>2807</v>
      </c>
      <c r="Y837" s="1">
        <v>46017</v>
      </c>
      <c r="Z837" s="1">
        <v>46096</v>
      </c>
      <c r="AA837" s="2">
        <v>299016.24</v>
      </c>
      <c r="AB837" s="2">
        <v>299016.24</v>
      </c>
      <c r="AC837" s="2">
        <v>0</v>
      </c>
      <c r="AD837" s="2">
        <v>299016.24</v>
      </c>
      <c r="AE837" t="s">
        <v>2808</v>
      </c>
      <c r="AF837" t="s">
        <v>2802</v>
      </c>
      <c r="AG837">
        <v>-18</v>
      </c>
      <c r="AH837" t="s">
        <v>117</v>
      </c>
      <c r="AI837" t="s">
        <v>74</v>
      </c>
      <c r="AJ837" t="s">
        <v>75</v>
      </c>
      <c r="AK837" t="s">
        <v>102</v>
      </c>
      <c r="AL837" t="s">
        <v>118</v>
      </c>
      <c r="AM837" t="s">
        <v>103</v>
      </c>
      <c r="AN837" t="s">
        <v>2346</v>
      </c>
      <c r="AO837" t="s">
        <v>119</v>
      </c>
      <c r="AP837" t="e">
        <v>#N/A</v>
      </c>
      <c r="AQ837" t="s">
        <v>105</v>
      </c>
      <c r="AR837" t="str">
        <f t="shared" si="24"/>
        <v>EX000013.STATEQ</v>
      </c>
      <c r="AS837">
        <f t="shared" si="25"/>
        <v>12678628.069999998</v>
      </c>
      <c r="AT837" t="s">
        <v>82</v>
      </c>
    </row>
    <row r="838" spans="1:46" x14ac:dyDescent="0.35">
      <c r="A838" t="s">
        <v>52</v>
      </c>
      <c r="B838" t="s">
        <v>2795</v>
      </c>
      <c r="C838" t="s">
        <v>54</v>
      </c>
      <c r="D838" t="s">
        <v>55</v>
      </c>
      <c r="E838" t="s">
        <v>56</v>
      </c>
      <c r="F838" t="s">
        <v>2796</v>
      </c>
      <c r="G838" t="s">
        <v>2797</v>
      </c>
      <c r="H838" t="s">
        <v>153</v>
      </c>
      <c r="I838" t="s">
        <v>2798</v>
      </c>
      <c r="J838" t="s">
        <v>56</v>
      </c>
      <c r="K838" t="s">
        <v>62</v>
      </c>
      <c r="L838" t="s">
        <v>56</v>
      </c>
      <c r="M838" t="s">
        <v>56</v>
      </c>
      <c r="N838" t="s">
        <v>155</v>
      </c>
      <c r="O838" t="s">
        <v>2571</v>
      </c>
      <c r="P838" t="s">
        <v>2572</v>
      </c>
      <c r="Q838" t="s">
        <v>393</v>
      </c>
      <c r="R838" t="s">
        <v>67</v>
      </c>
      <c r="S838">
        <v>40000000</v>
      </c>
      <c r="T838">
        <v>27321371.93</v>
      </c>
      <c r="U838" t="s">
        <v>68</v>
      </c>
      <c r="V838" t="s">
        <v>2799</v>
      </c>
      <c r="W838" s="9" t="s">
        <v>2796</v>
      </c>
      <c r="X838" t="s">
        <v>2807</v>
      </c>
      <c r="Y838" s="1">
        <v>46017</v>
      </c>
      <c r="Z838" s="1">
        <v>46096</v>
      </c>
      <c r="AA838" s="2">
        <v>598808.86</v>
      </c>
      <c r="AB838" s="2">
        <v>598808.86</v>
      </c>
      <c r="AC838" s="2">
        <v>0</v>
      </c>
      <c r="AD838" s="2">
        <v>598808.86</v>
      </c>
      <c r="AE838" t="s">
        <v>2809</v>
      </c>
      <c r="AF838" t="s">
        <v>2802</v>
      </c>
      <c r="AG838">
        <v>-18</v>
      </c>
      <c r="AH838" t="s">
        <v>117</v>
      </c>
      <c r="AI838" t="s">
        <v>74</v>
      </c>
      <c r="AJ838" t="s">
        <v>75</v>
      </c>
      <c r="AK838" t="s">
        <v>102</v>
      </c>
      <c r="AL838" t="s">
        <v>118</v>
      </c>
      <c r="AM838" t="s">
        <v>103</v>
      </c>
      <c r="AN838" t="s">
        <v>2346</v>
      </c>
      <c r="AO838" t="s">
        <v>119</v>
      </c>
      <c r="AP838" t="e">
        <v>#N/A</v>
      </c>
      <c r="AQ838" t="s">
        <v>105</v>
      </c>
      <c r="AR838" t="str">
        <f t="shared" si="24"/>
        <v>EX000013.STATEQ</v>
      </c>
      <c r="AS838">
        <f t="shared" si="25"/>
        <v>12678628.069999998</v>
      </c>
      <c r="AT838" t="s">
        <v>82</v>
      </c>
    </row>
    <row r="839" spans="1:46" x14ac:dyDescent="0.35">
      <c r="A839" t="s">
        <v>52</v>
      </c>
      <c r="B839" t="s">
        <v>53</v>
      </c>
      <c r="C839" t="s">
        <v>54</v>
      </c>
      <c r="D839" t="s">
        <v>55</v>
      </c>
      <c r="E839" t="s">
        <v>56</v>
      </c>
      <c r="F839" t="s">
        <v>2810</v>
      </c>
      <c r="G839" t="s">
        <v>56</v>
      </c>
      <c r="H839" t="s">
        <v>56</v>
      </c>
      <c r="I839" t="s">
        <v>2811</v>
      </c>
      <c r="J839" t="s">
        <v>61</v>
      </c>
      <c r="K839" t="s">
        <v>62</v>
      </c>
      <c r="L839" t="s">
        <v>56</v>
      </c>
      <c r="M839" t="s">
        <v>56</v>
      </c>
      <c r="N839" t="s">
        <v>56</v>
      </c>
      <c r="O839" t="s">
        <v>391</v>
      </c>
      <c r="P839" t="s">
        <v>392</v>
      </c>
      <c r="Q839" t="s">
        <v>87</v>
      </c>
      <c r="R839" t="s">
        <v>67</v>
      </c>
      <c r="S839">
        <v>500000</v>
      </c>
      <c r="T839">
        <v>501990.57</v>
      </c>
      <c r="U839" t="s">
        <v>68</v>
      </c>
      <c r="V839" t="s">
        <v>2812</v>
      </c>
      <c r="W839" s="9">
        <v>60601332</v>
      </c>
      <c r="X839" t="s">
        <v>2813</v>
      </c>
      <c r="Y839" s="1">
        <v>45917</v>
      </c>
      <c r="Z839" s="1">
        <v>45917</v>
      </c>
      <c r="AA839" s="2">
        <v>-305860</v>
      </c>
      <c r="AB839" s="2">
        <v>-305860</v>
      </c>
      <c r="AC839" s="2">
        <v>0</v>
      </c>
      <c r="AD839" s="2">
        <v>-1990.57</v>
      </c>
      <c r="AE839" t="s">
        <v>2813</v>
      </c>
      <c r="AF839" t="s">
        <v>72</v>
      </c>
      <c r="AG839">
        <v>161</v>
      </c>
      <c r="AH839" t="s">
        <v>91</v>
      </c>
      <c r="AI839" t="s">
        <v>74</v>
      </c>
      <c r="AJ839" t="s">
        <v>75</v>
      </c>
      <c r="AK839" t="s">
        <v>76</v>
      </c>
      <c r="AL839" t="s">
        <v>77</v>
      </c>
      <c r="AM839" t="s">
        <v>78</v>
      </c>
      <c r="AN839" t="s">
        <v>104</v>
      </c>
      <c r="AO839" t="s">
        <v>80</v>
      </c>
      <c r="AP839" t="e">
        <v>#N/A</v>
      </c>
      <c r="AQ839" t="s">
        <v>81</v>
      </c>
      <c r="AR839" t="str">
        <f t="shared" si="24"/>
        <v>60601332.STATAM</v>
      </c>
      <c r="AS839">
        <f t="shared" si="25"/>
        <v>-1990.57</v>
      </c>
      <c r="AT839" t="s">
        <v>93</v>
      </c>
    </row>
    <row r="840" spans="1:46" x14ac:dyDescent="0.35">
      <c r="A840" t="s">
        <v>52</v>
      </c>
      <c r="B840" t="s">
        <v>53</v>
      </c>
      <c r="C840" t="s">
        <v>54</v>
      </c>
      <c r="D840" t="s">
        <v>55</v>
      </c>
      <c r="E840" t="s">
        <v>56</v>
      </c>
      <c r="F840" t="s">
        <v>2814</v>
      </c>
      <c r="G840" t="s">
        <v>2815</v>
      </c>
      <c r="H840" t="s">
        <v>59</v>
      </c>
      <c r="I840" t="s">
        <v>2816</v>
      </c>
      <c r="J840" t="s">
        <v>61</v>
      </c>
      <c r="K840" t="s">
        <v>62</v>
      </c>
      <c r="L840" t="s">
        <v>56</v>
      </c>
      <c r="M840" t="s">
        <v>56</v>
      </c>
      <c r="N840" t="s">
        <v>63</v>
      </c>
      <c r="O840" t="s">
        <v>391</v>
      </c>
      <c r="P840" t="s">
        <v>392</v>
      </c>
      <c r="Q840" t="s">
        <v>2817</v>
      </c>
      <c r="R840" t="s">
        <v>248</v>
      </c>
      <c r="S840">
        <v>1000000</v>
      </c>
      <c r="T840">
        <v>-1436765.54</v>
      </c>
      <c r="U840" t="s">
        <v>68</v>
      </c>
      <c r="V840" t="s">
        <v>2818</v>
      </c>
      <c r="W840" s="9">
        <v>60603904</v>
      </c>
      <c r="X840" t="s">
        <v>2819</v>
      </c>
      <c r="Y840" s="1">
        <v>46012</v>
      </c>
      <c r="Z840" s="1">
        <v>46072</v>
      </c>
      <c r="AA840" s="2">
        <v>929724.44</v>
      </c>
      <c r="AB840" s="2">
        <v>787902.06</v>
      </c>
      <c r="AC840" s="2">
        <v>141822.38</v>
      </c>
      <c r="AD840" s="2">
        <v>92421.8</v>
      </c>
      <c r="AE840" t="s">
        <v>2820</v>
      </c>
      <c r="AF840" t="s">
        <v>72</v>
      </c>
      <c r="AG840">
        <v>6</v>
      </c>
      <c r="AH840" t="s">
        <v>73</v>
      </c>
      <c r="AI840" t="s">
        <v>74</v>
      </c>
      <c r="AJ840" t="s">
        <v>75</v>
      </c>
      <c r="AK840" t="s">
        <v>76</v>
      </c>
      <c r="AL840" t="s">
        <v>77</v>
      </c>
      <c r="AM840" t="s">
        <v>78</v>
      </c>
      <c r="AN840" t="s">
        <v>104</v>
      </c>
      <c r="AO840" t="s">
        <v>80</v>
      </c>
      <c r="AP840" t="e">
        <v>#N/A</v>
      </c>
      <c r="AQ840" t="s">
        <v>81</v>
      </c>
      <c r="AR840" t="str">
        <f t="shared" ref="AR840:AR903" si="26">W840&amp;"."&amp;AQ840</f>
        <v>60603904.STATAM</v>
      </c>
      <c r="AS840">
        <f t="shared" ref="AS840:AS903" si="27">SUMIFS(AD:AD,AQ:AQ,AQ840,W:W,W840)</f>
        <v>2339401.38</v>
      </c>
      <c r="AT840" t="s">
        <v>82</v>
      </c>
    </row>
    <row r="841" spans="1:46" x14ac:dyDescent="0.35">
      <c r="A841" t="s">
        <v>52</v>
      </c>
      <c r="B841" t="s">
        <v>53</v>
      </c>
      <c r="C841" t="s">
        <v>54</v>
      </c>
      <c r="D841" t="s">
        <v>55</v>
      </c>
      <c r="E841" t="s">
        <v>56</v>
      </c>
      <c r="F841" t="s">
        <v>2814</v>
      </c>
      <c r="G841" t="s">
        <v>2815</v>
      </c>
      <c r="H841" t="s">
        <v>59</v>
      </c>
      <c r="I841" t="s">
        <v>2816</v>
      </c>
      <c r="J841" t="s">
        <v>61</v>
      </c>
      <c r="K841" t="s">
        <v>62</v>
      </c>
      <c r="L841" t="s">
        <v>56</v>
      </c>
      <c r="M841" t="s">
        <v>56</v>
      </c>
      <c r="N841" t="s">
        <v>63</v>
      </c>
      <c r="O841" t="s">
        <v>391</v>
      </c>
      <c r="P841" t="s">
        <v>392</v>
      </c>
      <c r="Q841" t="s">
        <v>2817</v>
      </c>
      <c r="R841" t="s">
        <v>248</v>
      </c>
      <c r="S841">
        <v>1000000</v>
      </c>
      <c r="T841">
        <v>-1436765.54</v>
      </c>
      <c r="U841" t="s">
        <v>68</v>
      </c>
      <c r="V841" t="s">
        <v>2818</v>
      </c>
      <c r="W841" s="9">
        <v>60603904</v>
      </c>
      <c r="X841" t="s">
        <v>2821</v>
      </c>
      <c r="Y841" s="1">
        <v>46041</v>
      </c>
      <c r="Z841" s="1">
        <v>46101</v>
      </c>
      <c r="AA841" s="2">
        <v>978879.86</v>
      </c>
      <c r="AB841" s="2">
        <v>829559.2</v>
      </c>
      <c r="AC841" s="2">
        <v>149320.66</v>
      </c>
      <c r="AD841" s="2">
        <v>978879.86</v>
      </c>
      <c r="AE841" t="s">
        <v>2822</v>
      </c>
      <c r="AF841" t="s">
        <v>72</v>
      </c>
      <c r="AG841">
        <v>-23</v>
      </c>
      <c r="AH841" t="s">
        <v>117</v>
      </c>
      <c r="AI841" t="s">
        <v>74</v>
      </c>
      <c r="AJ841" t="s">
        <v>75</v>
      </c>
      <c r="AK841" t="s">
        <v>76</v>
      </c>
      <c r="AL841" t="s">
        <v>118</v>
      </c>
      <c r="AM841" t="s">
        <v>78</v>
      </c>
      <c r="AN841" t="s">
        <v>104</v>
      </c>
      <c r="AO841" t="s">
        <v>119</v>
      </c>
      <c r="AP841" t="e">
        <v>#N/A</v>
      </c>
      <c r="AQ841" t="s">
        <v>81</v>
      </c>
      <c r="AR841" t="str">
        <f t="shared" si="26"/>
        <v>60603904.STATAM</v>
      </c>
      <c r="AS841">
        <f t="shared" si="27"/>
        <v>2339401.38</v>
      </c>
      <c r="AT841" t="s">
        <v>82</v>
      </c>
    </row>
    <row r="842" spans="1:46" x14ac:dyDescent="0.35">
      <c r="A842" t="s">
        <v>52</v>
      </c>
      <c r="B842" t="s">
        <v>53</v>
      </c>
      <c r="C842" t="s">
        <v>54</v>
      </c>
      <c r="D842" t="s">
        <v>55</v>
      </c>
      <c r="E842" t="s">
        <v>56</v>
      </c>
      <c r="F842" t="s">
        <v>2814</v>
      </c>
      <c r="G842" t="s">
        <v>2815</v>
      </c>
      <c r="H842" t="s">
        <v>59</v>
      </c>
      <c r="I842" t="s">
        <v>2816</v>
      </c>
      <c r="J842" t="s">
        <v>61</v>
      </c>
      <c r="K842" t="s">
        <v>62</v>
      </c>
      <c r="L842" t="s">
        <v>56</v>
      </c>
      <c r="M842" t="s">
        <v>56</v>
      </c>
      <c r="N842" t="s">
        <v>63</v>
      </c>
      <c r="O842" t="s">
        <v>391</v>
      </c>
      <c r="P842" t="s">
        <v>392</v>
      </c>
      <c r="Q842" t="s">
        <v>2817</v>
      </c>
      <c r="R842" t="s">
        <v>248</v>
      </c>
      <c r="S842">
        <v>1000000</v>
      </c>
      <c r="T842">
        <v>-1436765.54</v>
      </c>
      <c r="U842" t="s">
        <v>68</v>
      </c>
      <c r="V842" t="s">
        <v>2818</v>
      </c>
      <c r="W842" s="9">
        <v>60603904</v>
      </c>
      <c r="X842" t="s">
        <v>2823</v>
      </c>
      <c r="Y842" s="1">
        <v>46067</v>
      </c>
      <c r="Z842" s="1">
        <v>46127</v>
      </c>
      <c r="AA842" s="2">
        <v>1268099.72</v>
      </c>
      <c r="AB842" s="2">
        <v>1074660.78</v>
      </c>
      <c r="AC842" s="2">
        <v>193438.94</v>
      </c>
      <c r="AD842" s="2">
        <v>1268099.72</v>
      </c>
      <c r="AE842" t="s">
        <v>2824</v>
      </c>
      <c r="AF842" t="s">
        <v>72</v>
      </c>
      <c r="AG842">
        <v>-49</v>
      </c>
      <c r="AH842" t="s">
        <v>117</v>
      </c>
      <c r="AI842" t="s">
        <v>74</v>
      </c>
      <c r="AJ842" t="s">
        <v>75</v>
      </c>
      <c r="AK842" t="s">
        <v>76</v>
      </c>
      <c r="AL842" t="s">
        <v>118</v>
      </c>
      <c r="AM842" t="s">
        <v>78</v>
      </c>
      <c r="AN842" t="s">
        <v>104</v>
      </c>
      <c r="AO842" t="s">
        <v>119</v>
      </c>
      <c r="AP842" t="e">
        <v>#N/A</v>
      </c>
      <c r="AQ842" t="s">
        <v>81</v>
      </c>
      <c r="AR842" t="str">
        <f t="shared" si="26"/>
        <v>60603904.STATAM</v>
      </c>
      <c r="AS842">
        <f t="shared" si="27"/>
        <v>2339401.38</v>
      </c>
      <c r="AT842" t="s">
        <v>82</v>
      </c>
    </row>
    <row r="843" spans="1:46" x14ac:dyDescent="0.35">
      <c r="A843" t="s">
        <v>52</v>
      </c>
      <c r="B843" t="s">
        <v>53</v>
      </c>
      <c r="C843" t="s">
        <v>54</v>
      </c>
      <c r="D843" t="s">
        <v>55</v>
      </c>
      <c r="E843" t="s">
        <v>56</v>
      </c>
      <c r="F843" t="s">
        <v>2825</v>
      </c>
      <c r="G843" t="s">
        <v>56</v>
      </c>
      <c r="H843" t="s">
        <v>56</v>
      </c>
      <c r="I843" t="s">
        <v>2826</v>
      </c>
      <c r="J843" t="s">
        <v>61</v>
      </c>
      <c r="K843" t="s">
        <v>62</v>
      </c>
      <c r="L843" t="s">
        <v>56</v>
      </c>
      <c r="M843" t="s">
        <v>56</v>
      </c>
      <c r="N843" t="s">
        <v>56</v>
      </c>
      <c r="O843" t="s">
        <v>245</v>
      </c>
      <c r="P843" t="s">
        <v>246</v>
      </c>
      <c r="Q843" t="s">
        <v>87</v>
      </c>
      <c r="R843" t="s">
        <v>88</v>
      </c>
      <c r="S843">
        <v>1000000</v>
      </c>
      <c r="T843">
        <v>1000039.16</v>
      </c>
      <c r="U843" t="s">
        <v>68</v>
      </c>
      <c r="V843" t="s">
        <v>2827</v>
      </c>
      <c r="W843" s="9">
        <v>60603831</v>
      </c>
      <c r="X843" t="s">
        <v>2828</v>
      </c>
      <c r="Y843" s="1">
        <v>45972</v>
      </c>
      <c r="Z843" s="1">
        <v>45972</v>
      </c>
      <c r="AA843" s="2">
        <v>-326000</v>
      </c>
      <c r="AB843" s="2">
        <v>-326000</v>
      </c>
      <c r="AC843" s="2">
        <v>0</v>
      </c>
      <c r="AD843" s="2">
        <v>-7081.4</v>
      </c>
      <c r="AE843" t="s">
        <v>2828</v>
      </c>
      <c r="AF843" t="s">
        <v>72</v>
      </c>
      <c r="AG843">
        <v>106</v>
      </c>
      <c r="AH843" t="s">
        <v>91</v>
      </c>
      <c r="AI843" t="s">
        <v>74</v>
      </c>
      <c r="AJ843" t="s">
        <v>75</v>
      </c>
      <c r="AK843" t="s">
        <v>76</v>
      </c>
      <c r="AL843" t="s">
        <v>77</v>
      </c>
      <c r="AM843" t="s">
        <v>78</v>
      </c>
      <c r="AN843" t="s">
        <v>239</v>
      </c>
      <c r="AO843" t="s">
        <v>80</v>
      </c>
      <c r="AP843" t="e">
        <v>#N/A</v>
      </c>
      <c r="AQ843" t="s">
        <v>81</v>
      </c>
      <c r="AR843" t="str">
        <f t="shared" si="26"/>
        <v>60603831.STATAM</v>
      </c>
      <c r="AS843">
        <f t="shared" si="27"/>
        <v>-7081.4</v>
      </c>
      <c r="AT843" t="s">
        <v>93</v>
      </c>
    </row>
    <row r="844" spans="1:46" x14ac:dyDescent="0.35">
      <c r="A844" t="s">
        <v>52</v>
      </c>
      <c r="B844" t="s">
        <v>53</v>
      </c>
      <c r="C844" t="s">
        <v>54</v>
      </c>
      <c r="D844" t="s">
        <v>55</v>
      </c>
      <c r="E844" t="s">
        <v>56</v>
      </c>
      <c r="F844" t="s">
        <v>2829</v>
      </c>
      <c r="G844" t="s">
        <v>2830</v>
      </c>
      <c r="H844" t="s">
        <v>56</v>
      </c>
      <c r="I844" t="s">
        <v>2831</v>
      </c>
      <c r="J844" t="s">
        <v>61</v>
      </c>
      <c r="K844" t="s">
        <v>62</v>
      </c>
      <c r="L844" t="s">
        <v>56</v>
      </c>
      <c r="M844" t="s">
        <v>56</v>
      </c>
      <c r="N844" t="s">
        <v>252</v>
      </c>
      <c r="O844" t="s">
        <v>391</v>
      </c>
      <c r="P844" t="s">
        <v>392</v>
      </c>
      <c r="Q844" t="s">
        <v>114</v>
      </c>
      <c r="R844" t="s">
        <v>379</v>
      </c>
      <c r="S844">
        <v>1500000</v>
      </c>
      <c r="T844">
        <v>857196.86</v>
      </c>
      <c r="U844" t="s">
        <v>68</v>
      </c>
      <c r="V844" t="s">
        <v>2832</v>
      </c>
      <c r="W844" s="9">
        <v>60601768</v>
      </c>
      <c r="X844" t="s">
        <v>2833</v>
      </c>
      <c r="Y844" s="1">
        <v>45875</v>
      </c>
      <c r="Z844" s="1">
        <v>45920</v>
      </c>
      <c r="AA844" s="2">
        <v>1393827.49</v>
      </c>
      <c r="AB844" s="2">
        <v>1181209.75</v>
      </c>
      <c r="AC844" s="2">
        <v>212617.74</v>
      </c>
      <c r="AD844" s="2">
        <v>478942.69</v>
      </c>
      <c r="AE844" t="s">
        <v>2834</v>
      </c>
      <c r="AF844" t="s">
        <v>72</v>
      </c>
      <c r="AG844">
        <v>158</v>
      </c>
      <c r="AH844" t="s">
        <v>91</v>
      </c>
      <c r="AI844" t="s">
        <v>74</v>
      </c>
      <c r="AJ844" t="s">
        <v>75</v>
      </c>
      <c r="AK844" t="s">
        <v>76</v>
      </c>
      <c r="AL844" t="s">
        <v>77</v>
      </c>
      <c r="AM844" t="s">
        <v>78</v>
      </c>
      <c r="AN844" t="s">
        <v>104</v>
      </c>
      <c r="AO844" t="s">
        <v>80</v>
      </c>
      <c r="AP844" t="e">
        <v>#N/A</v>
      </c>
      <c r="AQ844" t="s">
        <v>81</v>
      </c>
      <c r="AR844" t="str">
        <f t="shared" si="26"/>
        <v>60601768.STATAM</v>
      </c>
      <c r="AS844">
        <f t="shared" si="27"/>
        <v>642803.14</v>
      </c>
      <c r="AT844" t="s">
        <v>82</v>
      </c>
    </row>
    <row r="845" spans="1:46" x14ac:dyDescent="0.35">
      <c r="A845" t="s">
        <v>52</v>
      </c>
      <c r="B845" t="s">
        <v>53</v>
      </c>
      <c r="C845" t="s">
        <v>54</v>
      </c>
      <c r="D845" t="s">
        <v>55</v>
      </c>
      <c r="E845" t="s">
        <v>56</v>
      </c>
      <c r="F845" t="s">
        <v>2829</v>
      </c>
      <c r="G845" t="s">
        <v>2835</v>
      </c>
      <c r="H845" t="s">
        <v>56</v>
      </c>
      <c r="I845" t="s">
        <v>2836</v>
      </c>
      <c r="J845" t="s">
        <v>61</v>
      </c>
      <c r="K845" t="s">
        <v>62</v>
      </c>
      <c r="L845" t="s">
        <v>56</v>
      </c>
      <c r="M845" t="s">
        <v>56</v>
      </c>
      <c r="N845" t="s">
        <v>261</v>
      </c>
      <c r="O845" t="s">
        <v>391</v>
      </c>
      <c r="P845" t="s">
        <v>392</v>
      </c>
      <c r="Q845" t="s">
        <v>114</v>
      </c>
      <c r="R845" t="s">
        <v>379</v>
      </c>
      <c r="S845">
        <v>1500000</v>
      </c>
      <c r="T845">
        <v>857196.86</v>
      </c>
      <c r="U845" t="s">
        <v>68</v>
      </c>
      <c r="V845" t="s">
        <v>2832</v>
      </c>
      <c r="W845" s="9">
        <v>60601768</v>
      </c>
      <c r="X845" t="s">
        <v>2837</v>
      </c>
      <c r="Y845" s="1">
        <v>45881</v>
      </c>
      <c r="Z845" s="1">
        <v>45926</v>
      </c>
      <c r="AA845" s="2">
        <v>163860.45000000001</v>
      </c>
      <c r="AB845" s="2">
        <v>138864.79</v>
      </c>
      <c r="AC845" s="2">
        <v>24995.66</v>
      </c>
      <c r="AD845" s="2">
        <v>163860.45000000001</v>
      </c>
      <c r="AE845" t="s">
        <v>2838</v>
      </c>
      <c r="AF845" t="s">
        <v>72</v>
      </c>
      <c r="AG845">
        <v>152</v>
      </c>
      <c r="AH845" t="s">
        <v>91</v>
      </c>
      <c r="AI845" t="s">
        <v>74</v>
      </c>
      <c r="AJ845" t="s">
        <v>75</v>
      </c>
      <c r="AK845" t="s">
        <v>76</v>
      </c>
      <c r="AL845" t="s">
        <v>77</v>
      </c>
      <c r="AM845" t="s">
        <v>78</v>
      </c>
      <c r="AN845" t="s">
        <v>104</v>
      </c>
      <c r="AO845" t="s">
        <v>80</v>
      </c>
      <c r="AP845" t="e">
        <v>#N/A</v>
      </c>
      <c r="AQ845" t="s">
        <v>81</v>
      </c>
      <c r="AR845" t="str">
        <f t="shared" si="26"/>
        <v>60601768.STATAM</v>
      </c>
      <c r="AS845">
        <f t="shared" si="27"/>
        <v>642803.14</v>
      </c>
      <c r="AT845" t="s">
        <v>82</v>
      </c>
    </row>
    <row r="846" spans="1:46" x14ac:dyDescent="0.35">
      <c r="A846" t="s">
        <v>52</v>
      </c>
      <c r="B846" t="s">
        <v>53</v>
      </c>
      <c r="C846" t="s">
        <v>54</v>
      </c>
      <c r="D846" t="s">
        <v>55</v>
      </c>
      <c r="E846" t="s">
        <v>56</v>
      </c>
      <c r="F846" t="s">
        <v>2839</v>
      </c>
      <c r="G846" t="s">
        <v>56</v>
      </c>
      <c r="H846" t="s">
        <v>56</v>
      </c>
      <c r="I846" t="s">
        <v>2840</v>
      </c>
      <c r="J846" t="s">
        <v>61</v>
      </c>
      <c r="K846" t="s">
        <v>2841</v>
      </c>
      <c r="L846" t="s">
        <v>56</v>
      </c>
      <c r="M846" t="s">
        <v>56</v>
      </c>
      <c r="N846" t="s">
        <v>56</v>
      </c>
      <c r="O846" t="s">
        <v>1122</v>
      </c>
      <c r="P846" t="s">
        <v>1123</v>
      </c>
      <c r="Q846" t="s">
        <v>87</v>
      </c>
      <c r="R846" t="s">
        <v>88</v>
      </c>
      <c r="T846">
        <v>-4482204.75</v>
      </c>
      <c r="U846" t="s">
        <v>68</v>
      </c>
      <c r="V846" t="s">
        <v>2842</v>
      </c>
      <c r="W846" s="9">
        <v>20000002</v>
      </c>
      <c r="X846" t="s">
        <v>2843</v>
      </c>
      <c r="Y846" s="1">
        <v>45954</v>
      </c>
      <c r="Z846" s="1">
        <v>45954</v>
      </c>
      <c r="AA846" s="2">
        <v>-1136000</v>
      </c>
      <c r="AB846" s="2">
        <v>-1136000</v>
      </c>
      <c r="AC846" s="2">
        <v>0</v>
      </c>
      <c r="AD846" s="2">
        <v>-860000</v>
      </c>
      <c r="AE846" t="s">
        <v>2843</v>
      </c>
      <c r="AF846" t="s">
        <v>72</v>
      </c>
      <c r="AG846">
        <v>124</v>
      </c>
      <c r="AH846" t="s">
        <v>91</v>
      </c>
      <c r="AI846" t="s">
        <v>74</v>
      </c>
      <c r="AJ846" t="s">
        <v>75</v>
      </c>
      <c r="AK846" t="s">
        <v>76</v>
      </c>
      <c r="AL846" t="s">
        <v>77</v>
      </c>
      <c r="AM846" t="s">
        <v>78</v>
      </c>
      <c r="AN846" t="s">
        <v>795</v>
      </c>
      <c r="AO846" t="s">
        <v>80</v>
      </c>
      <c r="AP846" t="s">
        <v>46</v>
      </c>
      <c r="AQ846" t="s">
        <v>81</v>
      </c>
      <c r="AR846" t="str">
        <f t="shared" si="26"/>
        <v>20000002.STATAM</v>
      </c>
      <c r="AS846">
        <f t="shared" si="27"/>
        <v>-1441702.05</v>
      </c>
      <c r="AT846" t="s">
        <v>93</v>
      </c>
    </row>
    <row r="847" spans="1:46" x14ac:dyDescent="0.35">
      <c r="A847" t="s">
        <v>52</v>
      </c>
      <c r="B847" t="s">
        <v>53</v>
      </c>
      <c r="C847" t="s">
        <v>54</v>
      </c>
      <c r="D847" t="s">
        <v>55</v>
      </c>
      <c r="E847" t="s">
        <v>56</v>
      </c>
      <c r="F847" t="s">
        <v>2839</v>
      </c>
      <c r="G847" t="s">
        <v>56</v>
      </c>
      <c r="H847" t="s">
        <v>56</v>
      </c>
      <c r="I847" t="s">
        <v>2844</v>
      </c>
      <c r="J847" t="s">
        <v>61</v>
      </c>
      <c r="K847" t="s">
        <v>2841</v>
      </c>
      <c r="L847" t="s">
        <v>56</v>
      </c>
      <c r="M847" t="s">
        <v>56</v>
      </c>
      <c r="N847" t="s">
        <v>56</v>
      </c>
      <c r="O847" t="s">
        <v>1122</v>
      </c>
      <c r="P847" t="s">
        <v>1123</v>
      </c>
      <c r="Q847" t="s">
        <v>87</v>
      </c>
      <c r="R847" t="s">
        <v>88</v>
      </c>
      <c r="T847">
        <v>-4482204.75</v>
      </c>
      <c r="U847" t="s">
        <v>68</v>
      </c>
      <c r="V847" t="s">
        <v>2842</v>
      </c>
      <c r="W847" s="9">
        <v>20000002</v>
      </c>
      <c r="X847" t="s">
        <v>2845</v>
      </c>
      <c r="Y847" s="1">
        <v>46010</v>
      </c>
      <c r="Z847" s="1">
        <v>46010</v>
      </c>
      <c r="AA847" s="2">
        <v>-1500000</v>
      </c>
      <c r="AB847" s="2">
        <v>-1500000</v>
      </c>
      <c r="AC847" s="2">
        <v>0</v>
      </c>
      <c r="AD847" s="2">
        <v>-437650.05</v>
      </c>
      <c r="AE847" t="s">
        <v>2845</v>
      </c>
      <c r="AF847" t="s">
        <v>72</v>
      </c>
      <c r="AG847">
        <v>68</v>
      </c>
      <c r="AH847" t="s">
        <v>260</v>
      </c>
      <c r="AI847" t="s">
        <v>74</v>
      </c>
      <c r="AJ847" t="s">
        <v>75</v>
      </c>
      <c r="AK847" t="s">
        <v>76</v>
      </c>
      <c r="AL847" t="s">
        <v>77</v>
      </c>
      <c r="AM847" t="s">
        <v>78</v>
      </c>
      <c r="AN847" t="s">
        <v>795</v>
      </c>
      <c r="AO847" t="s">
        <v>80</v>
      </c>
      <c r="AP847" t="s">
        <v>46</v>
      </c>
      <c r="AQ847" t="s">
        <v>81</v>
      </c>
      <c r="AR847" t="str">
        <f t="shared" si="26"/>
        <v>20000002.STATAM</v>
      </c>
      <c r="AS847">
        <f t="shared" si="27"/>
        <v>-1441702.05</v>
      </c>
      <c r="AT847" t="s">
        <v>93</v>
      </c>
    </row>
    <row r="848" spans="1:46" x14ac:dyDescent="0.35">
      <c r="A848" t="s">
        <v>52</v>
      </c>
      <c r="B848" t="s">
        <v>53</v>
      </c>
      <c r="C848" t="s">
        <v>54</v>
      </c>
      <c r="D848" t="s">
        <v>55</v>
      </c>
      <c r="E848" t="s">
        <v>56</v>
      </c>
      <c r="F848" t="s">
        <v>2839</v>
      </c>
      <c r="G848" t="s">
        <v>56</v>
      </c>
      <c r="H848" t="s">
        <v>56</v>
      </c>
      <c r="I848" t="s">
        <v>2846</v>
      </c>
      <c r="J848" t="s">
        <v>61</v>
      </c>
      <c r="K848" t="s">
        <v>2841</v>
      </c>
      <c r="L848" t="s">
        <v>56</v>
      </c>
      <c r="M848" t="s">
        <v>56</v>
      </c>
      <c r="N848" t="s">
        <v>56</v>
      </c>
      <c r="O848" t="s">
        <v>1122</v>
      </c>
      <c r="P848" t="s">
        <v>1123</v>
      </c>
      <c r="Q848" t="s">
        <v>87</v>
      </c>
      <c r="R848" t="s">
        <v>88</v>
      </c>
      <c r="T848">
        <v>-4482204.75</v>
      </c>
      <c r="U848" t="s">
        <v>68</v>
      </c>
      <c r="V848" t="s">
        <v>2842</v>
      </c>
      <c r="W848" s="9">
        <v>20000002</v>
      </c>
      <c r="X848" t="s">
        <v>2847</v>
      </c>
      <c r="Y848" s="1">
        <v>46030</v>
      </c>
      <c r="Z848" s="1">
        <v>46030</v>
      </c>
      <c r="AA848" s="2">
        <v>-144052</v>
      </c>
      <c r="AB848" s="2">
        <v>-144052</v>
      </c>
      <c r="AC848" s="2">
        <v>0</v>
      </c>
      <c r="AD848" s="2">
        <v>-144052</v>
      </c>
      <c r="AE848" t="s">
        <v>2847</v>
      </c>
      <c r="AF848" t="s">
        <v>72</v>
      </c>
      <c r="AG848">
        <v>48</v>
      </c>
      <c r="AH848" t="s">
        <v>236</v>
      </c>
      <c r="AI848" t="s">
        <v>74</v>
      </c>
      <c r="AJ848" t="s">
        <v>75</v>
      </c>
      <c r="AK848" t="s">
        <v>76</v>
      </c>
      <c r="AL848" t="s">
        <v>77</v>
      </c>
      <c r="AM848" t="s">
        <v>78</v>
      </c>
      <c r="AN848" t="s">
        <v>795</v>
      </c>
      <c r="AO848" t="s">
        <v>80</v>
      </c>
      <c r="AP848" t="s">
        <v>46</v>
      </c>
      <c r="AQ848" t="s">
        <v>81</v>
      </c>
      <c r="AR848" t="str">
        <f t="shared" si="26"/>
        <v>20000002.STATAM</v>
      </c>
      <c r="AS848">
        <f t="shared" si="27"/>
        <v>-1441702.05</v>
      </c>
      <c r="AT848" t="s">
        <v>93</v>
      </c>
    </row>
    <row r="849" spans="1:46" x14ac:dyDescent="0.35">
      <c r="A849" t="s">
        <v>52</v>
      </c>
      <c r="B849" t="s">
        <v>53</v>
      </c>
      <c r="C849" t="s">
        <v>54</v>
      </c>
      <c r="D849" t="s">
        <v>55</v>
      </c>
      <c r="E849" t="s">
        <v>56</v>
      </c>
      <c r="F849" t="s">
        <v>2848</v>
      </c>
      <c r="G849" t="s">
        <v>56</v>
      </c>
      <c r="H849" t="s">
        <v>56</v>
      </c>
      <c r="I849" t="s">
        <v>2849</v>
      </c>
      <c r="J849" t="s">
        <v>61</v>
      </c>
      <c r="K849" t="s">
        <v>62</v>
      </c>
      <c r="L849" t="s">
        <v>56</v>
      </c>
      <c r="M849" t="s">
        <v>56</v>
      </c>
      <c r="N849" t="s">
        <v>56</v>
      </c>
      <c r="O849" t="s">
        <v>974</v>
      </c>
      <c r="P849" t="s">
        <v>975</v>
      </c>
      <c r="Q849" t="s">
        <v>87</v>
      </c>
      <c r="R849" t="s">
        <v>232</v>
      </c>
      <c r="S849">
        <v>13500000</v>
      </c>
      <c r="T849">
        <v>-5434857.7699999996</v>
      </c>
      <c r="U849" t="s">
        <v>68</v>
      </c>
      <c r="V849" t="s">
        <v>2850</v>
      </c>
      <c r="W849" s="9">
        <v>60603772</v>
      </c>
      <c r="X849" t="s">
        <v>2851</v>
      </c>
      <c r="Y849" s="1">
        <v>45863</v>
      </c>
      <c r="Z849" s="1">
        <v>45863</v>
      </c>
      <c r="AA849" s="2">
        <v>-1960000</v>
      </c>
      <c r="AB849" s="2">
        <v>-1960000</v>
      </c>
      <c r="AC849" s="2">
        <v>0</v>
      </c>
      <c r="AD849" s="2">
        <v>-609763.4</v>
      </c>
      <c r="AE849" t="s">
        <v>2851</v>
      </c>
      <c r="AF849" t="s">
        <v>72</v>
      </c>
      <c r="AG849">
        <v>215</v>
      </c>
      <c r="AH849" t="s">
        <v>101</v>
      </c>
      <c r="AI849" t="s">
        <v>74</v>
      </c>
      <c r="AJ849" t="s">
        <v>75</v>
      </c>
      <c r="AK849" t="s">
        <v>76</v>
      </c>
      <c r="AL849" t="s">
        <v>77</v>
      </c>
      <c r="AM849" t="s">
        <v>78</v>
      </c>
      <c r="AN849" t="s">
        <v>979</v>
      </c>
      <c r="AO849" t="s">
        <v>80</v>
      </c>
      <c r="AP849" t="e">
        <v>#N/A</v>
      </c>
      <c r="AQ849" t="s">
        <v>81</v>
      </c>
      <c r="AR849" t="str">
        <f t="shared" si="26"/>
        <v>60603772.STATAM</v>
      </c>
      <c r="AS849">
        <f t="shared" si="27"/>
        <v>17491810.990000002</v>
      </c>
      <c r="AT849" t="s">
        <v>82</v>
      </c>
    </row>
    <row r="850" spans="1:46" x14ac:dyDescent="0.35">
      <c r="A850" t="s">
        <v>52</v>
      </c>
      <c r="B850" t="s">
        <v>53</v>
      </c>
      <c r="C850" t="s">
        <v>54</v>
      </c>
      <c r="D850" t="s">
        <v>55</v>
      </c>
      <c r="E850" t="s">
        <v>56</v>
      </c>
      <c r="F850" t="s">
        <v>2848</v>
      </c>
      <c r="G850" t="s">
        <v>2852</v>
      </c>
      <c r="H850" t="s">
        <v>59</v>
      </c>
      <c r="I850" t="s">
        <v>2853</v>
      </c>
      <c r="J850" t="s">
        <v>61</v>
      </c>
      <c r="K850" t="s">
        <v>62</v>
      </c>
      <c r="L850" t="s">
        <v>56</v>
      </c>
      <c r="M850" t="s">
        <v>56</v>
      </c>
      <c r="N850" t="s">
        <v>63</v>
      </c>
      <c r="O850" t="s">
        <v>974</v>
      </c>
      <c r="P850" t="s">
        <v>975</v>
      </c>
      <c r="Q850" t="s">
        <v>2854</v>
      </c>
      <c r="R850" t="s">
        <v>232</v>
      </c>
      <c r="S850">
        <v>13500000</v>
      </c>
      <c r="T850">
        <v>-5434857.7699999996</v>
      </c>
      <c r="U850" t="s">
        <v>68</v>
      </c>
      <c r="V850" t="s">
        <v>2850</v>
      </c>
      <c r="W850" s="9">
        <v>60603772</v>
      </c>
      <c r="X850" t="s">
        <v>2855</v>
      </c>
      <c r="Y850" s="1">
        <v>45891</v>
      </c>
      <c r="Z850" s="1">
        <v>45981</v>
      </c>
      <c r="AA850" s="2">
        <v>2088169.58</v>
      </c>
      <c r="AB850" s="2">
        <v>1769635.24</v>
      </c>
      <c r="AC850" s="2">
        <v>318534.34000000003</v>
      </c>
      <c r="AD850" s="2">
        <v>1432578.14</v>
      </c>
      <c r="AE850" t="s">
        <v>2856</v>
      </c>
      <c r="AF850" t="s">
        <v>72</v>
      </c>
      <c r="AG850">
        <v>97</v>
      </c>
      <c r="AH850" t="s">
        <v>91</v>
      </c>
      <c r="AI850" t="s">
        <v>74</v>
      </c>
      <c r="AJ850" t="s">
        <v>75</v>
      </c>
      <c r="AK850" t="s">
        <v>76</v>
      </c>
      <c r="AL850" t="s">
        <v>77</v>
      </c>
      <c r="AM850" t="s">
        <v>78</v>
      </c>
      <c r="AN850" t="s">
        <v>979</v>
      </c>
      <c r="AO850" t="s">
        <v>80</v>
      </c>
      <c r="AP850" t="e">
        <v>#N/A</v>
      </c>
      <c r="AQ850" t="s">
        <v>81</v>
      </c>
      <c r="AR850" t="str">
        <f t="shared" si="26"/>
        <v>60603772.STATAM</v>
      </c>
      <c r="AS850">
        <f t="shared" si="27"/>
        <v>17491810.990000002</v>
      </c>
      <c r="AT850" t="s">
        <v>82</v>
      </c>
    </row>
    <row r="851" spans="1:46" x14ac:dyDescent="0.35">
      <c r="A851" t="s">
        <v>52</v>
      </c>
      <c r="B851" t="s">
        <v>53</v>
      </c>
      <c r="C851" t="s">
        <v>54</v>
      </c>
      <c r="D851" t="s">
        <v>55</v>
      </c>
      <c r="E851" t="s">
        <v>56</v>
      </c>
      <c r="F851" t="s">
        <v>2848</v>
      </c>
      <c r="G851" t="s">
        <v>2852</v>
      </c>
      <c r="H851" t="s">
        <v>59</v>
      </c>
      <c r="I851" t="s">
        <v>2853</v>
      </c>
      <c r="J851" t="s">
        <v>61</v>
      </c>
      <c r="K851" t="s">
        <v>62</v>
      </c>
      <c r="L851" t="s">
        <v>56</v>
      </c>
      <c r="M851" t="s">
        <v>56</v>
      </c>
      <c r="N851" t="s">
        <v>63</v>
      </c>
      <c r="O851" t="s">
        <v>974</v>
      </c>
      <c r="P851" t="s">
        <v>975</v>
      </c>
      <c r="Q851" t="s">
        <v>2854</v>
      </c>
      <c r="R851" t="s">
        <v>232</v>
      </c>
      <c r="S851">
        <v>13500000</v>
      </c>
      <c r="T851">
        <v>-5434857.7699999996</v>
      </c>
      <c r="U851" t="s">
        <v>68</v>
      </c>
      <c r="V851" t="s">
        <v>2850</v>
      </c>
      <c r="W851" s="9">
        <v>60603772</v>
      </c>
      <c r="X851" t="s">
        <v>2857</v>
      </c>
      <c r="Y851" s="1">
        <v>45918</v>
      </c>
      <c r="Z851" s="1">
        <v>46008</v>
      </c>
      <c r="AA851" s="2">
        <v>1838769.12</v>
      </c>
      <c r="AB851" s="2">
        <v>1558278.92</v>
      </c>
      <c r="AC851" s="2">
        <v>280490.2</v>
      </c>
      <c r="AD851" s="2">
        <v>1838769.12</v>
      </c>
      <c r="AE851" t="s">
        <v>2858</v>
      </c>
      <c r="AF851" t="s">
        <v>72</v>
      </c>
      <c r="AG851">
        <v>70</v>
      </c>
      <c r="AH851" t="s">
        <v>260</v>
      </c>
      <c r="AI851" t="s">
        <v>74</v>
      </c>
      <c r="AJ851" t="s">
        <v>75</v>
      </c>
      <c r="AK851" t="s">
        <v>76</v>
      </c>
      <c r="AL851" t="s">
        <v>77</v>
      </c>
      <c r="AM851" t="s">
        <v>78</v>
      </c>
      <c r="AN851" t="s">
        <v>979</v>
      </c>
      <c r="AO851" t="s">
        <v>80</v>
      </c>
      <c r="AP851" t="e">
        <v>#N/A</v>
      </c>
      <c r="AQ851" t="s">
        <v>81</v>
      </c>
      <c r="AR851" t="str">
        <f t="shared" si="26"/>
        <v>60603772.STATAM</v>
      </c>
      <c r="AS851">
        <f t="shared" si="27"/>
        <v>17491810.990000002</v>
      </c>
      <c r="AT851" t="s">
        <v>82</v>
      </c>
    </row>
    <row r="852" spans="1:46" x14ac:dyDescent="0.35">
      <c r="A852" t="s">
        <v>52</v>
      </c>
      <c r="B852" t="s">
        <v>53</v>
      </c>
      <c r="C852" t="s">
        <v>54</v>
      </c>
      <c r="D852" t="s">
        <v>55</v>
      </c>
      <c r="E852" t="s">
        <v>56</v>
      </c>
      <c r="F852" t="s">
        <v>2848</v>
      </c>
      <c r="G852" t="s">
        <v>2852</v>
      </c>
      <c r="H852" t="s">
        <v>59</v>
      </c>
      <c r="I852" t="s">
        <v>2853</v>
      </c>
      <c r="J852" t="s">
        <v>61</v>
      </c>
      <c r="K852" t="s">
        <v>62</v>
      </c>
      <c r="L852" t="s">
        <v>56</v>
      </c>
      <c r="M852" t="s">
        <v>56</v>
      </c>
      <c r="N852" t="s">
        <v>63</v>
      </c>
      <c r="O852" t="s">
        <v>974</v>
      </c>
      <c r="P852" t="s">
        <v>975</v>
      </c>
      <c r="Q852" t="s">
        <v>2854</v>
      </c>
      <c r="R852" t="s">
        <v>232</v>
      </c>
      <c r="S852">
        <v>13500000</v>
      </c>
      <c r="T852">
        <v>-5434857.7699999996</v>
      </c>
      <c r="U852" t="s">
        <v>68</v>
      </c>
      <c r="V852" t="s">
        <v>2850</v>
      </c>
      <c r="W852" s="9">
        <v>60603772</v>
      </c>
      <c r="X852" t="s">
        <v>2859</v>
      </c>
      <c r="Y852" s="1">
        <v>45946</v>
      </c>
      <c r="Z852" s="1">
        <v>46036</v>
      </c>
      <c r="AA852" s="2">
        <v>1817605.82</v>
      </c>
      <c r="AB852" s="2">
        <v>1540343.92</v>
      </c>
      <c r="AC852" s="2">
        <v>277261.90000000002</v>
      </c>
      <c r="AD852" s="2">
        <v>1817605.82</v>
      </c>
      <c r="AE852" t="s">
        <v>2860</v>
      </c>
      <c r="AF852" t="s">
        <v>72</v>
      </c>
      <c r="AG852">
        <v>42</v>
      </c>
      <c r="AH852" t="s">
        <v>236</v>
      </c>
      <c r="AI852" t="s">
        <v>74</v>
      </c>
      <c r="AJ852" t="s">
        <v>75</v>
      </c>
      <c r="AK852" t="s">
        <v>76</v>
      </c>
      <c r="AL852" t="s">
        <v>77</v>
      </c>
      <c r="AM852" t="s">
        <v>78</v>
      </c>
      <c r="AN852" t="s">
        <v>979</v>
      </c>
      <c r="AO852" t="s">
        <v>80</v>
      </c>
      <c r="AP852" t="e">
        <v>#N/A</v>
      </c>
      <c r="AQ852" t="s">
        <v>81</v>
      </c>
      <c r="AR852" t="str">
        <f t="shared" si="26"/>
        <v>60603772.STATAM</v>
      </c>
      <c r="AS852">
        <f t="shared" si="27"/>
        <v>17491810.990000002</v>
      </c>
      <c r="AT852" t="s">
        <v>82</v>
      </c>
    </row>
    <row r="853" spans="1:46" x14ac:dyDescent="0.35">
      <c r="A853" t="s">
        <v>52</v>
      </c>
      <c r="B853" t="s">
        <v>53</v>
      </c>
      <c r="C853" t="s">
        <v>54</v>
      </c>
      <c r="D853" t="s">
        <v>55</v>
      </c>
      <c r="E853" t="s">
        <v>56</v>
      </c>
      <c r="F853" t="s">
        <v>2848</v>
      </c>
      <c r="G853" t="s">
        <v>2861</v>
      </c>
      <c r="H853" t="s">
        <v>59</v>
      </c>
      <c r="I853" t="s">
        <v>2862</v>
      </c>
      <c r="J853" t="s">
        <v>61</v>
      </c>
      <c r="K853" t="s">
        <v>62</v>
      </c>
      <c r="L853" t="s">
        <v>56</v>
      </c>
      <c r="M853" t="s">
        <v>56</v>
      </c>
      <c r="N853" t="s">
        <v>63</v>
      </c>
      <c r="O853" t="s">
        <v>974</v>
      </c>
      <c r="P853" t="s">
        <v>975</v>
      </c>
      <c r="Q853" t="s">
        <v>2863</v>
      </c>
      <c r="R853" t="s">
        <v>232</v>
      </c>
      <c r="S853">
        <v>13500000</v>
      </c>
      <c r="T853">
        <v>-5434857.7699999996</v>
      </c>
      <c r="U853" t="s">
        <v>68</v>
      </c>
      <c r="V853" t="s">
        <v>2850</v>
      </c>
      <c r="W853" s="9">
        <v>60603772</v>
      </c>
      <c r="X853" t="s">
        <v>2864</v>
      </c>
      <c r="Y853" s="1">
        <v>45975</v>
      </c>
      <c r="Z853" s="1">
        <v>46065</v>
      </c>
      <c r="AA853" s="2">
        <v>1348691.9</v>
      </c>
      <c r="AB853" s="2">
        <v>1142959.24</v>
      </c>
      <c r="AC853" s="2">
        <v>205732.66</v>
      </c>
      <c r="AD853" s="2">
        <v>639155.4</v>
      </c>
      <c r="AE853" t="s">
        <v>2865</v>
      </c>
      <c r="AF853" t="s">
        <v>72</v>
      </c>
      <c r="AG853">
        <v>13</v>
      </c>
      <c r="AH853" t="s">
        <v>73</v>
      </c>
      <c r="AI853" t="s">
        <v>74</v>
      </c>
      <c r="AJ853" t="s">
        <v>75</v>
      </c>
      <c r="AK853" t="s">
        <v>76</v>
      </c>
      <c r="AL853" t="s">
        <v>77</v>
      </c>
      <c r="AM853" t="s">
        <v>78</v>
      </c>
      <c r="AN853" t="s">
        <v>979</v>
      </c>
      <c r="AO853" t="s">
        <v>80</v>
      </c>
      <c r="AP853" t="e">
        <v>#N/A</v>
      </c>
      <c r="AQ853" t="s">
        <v>81</v>
      </c>
      <c r="AR853" t="str">
        <f t="shared" si="26"/>
        <v>60603772.STATAM</v>
      </c>
      <c r="AS853">
        <f t="shared" si="27"/>
        <v>17491810.990000002</v>
      </c>
      <c r="AT853" t="s">
        <v>82</v>
      </c>
    </row>
    <row r="854" spans="1:46" x14ac:dyDescent="0.35">
      <c r="A854" t="s">
        <v>52</v>
      </c>
      <c r="B854" t="s">
        <v>53</v>
      </c>
      <c r="C854" t="s">
        <v>54</v>
      </c>
      <c r="D854" t="s">
        <v>55</v>
      </c>
      <c r="E854" t="s">
        <v>56</v>
      </c>
      <c r="F854" t="s">
        <v>2848</v>
      </c>
      <c r="G854" t="s">
        <v>2866</v>
      </c>
      <c r="H854" t="s">
        <v>59</v>
      </c>
      <c r="I854" t="s">
        <v>2867</v>
      </c>
      <c r="J854" t="s">
        <v>61</v>
      </c>
      <c r="K854" t="s">
        <v>62</v>
      </c>
      <c r="L854" t="s">
        <v>56</v>
      </c>
      <c r="M854" t="s">
        <v>56</v>
      </c>
      <c r="N854" t="s">
        <v>63</v>
      </c>
      <c r="O854" t="s">
        <v>974</v>
      </c>
      <c r="P854" t="s">
        <v>975</v>
      </c>
      <c r="Q854" t="s">
        <v>2868</v>
      </c>
      <c r="R854" t="s">
        <v>232</v>
      </c>
      <c r="S854">
        <v>13500000</v>
      </c>
      <c r="T854">
        <v>-5434857.7699999996</v>
      </c>
      <c r="U854" t="s">
        <v>68</v>
      </c>
      <c r="V854" t="s">
        <v>2850</v>
      </c>
      <c r="W854" s="9">
        <v>60603772</v>
      </c>
      <c r="X854" t="s">
        <v>2869</v>
      </c>
      <c r="Y854" s="1">
        <v>45976</v>
      </c>
      <c r="Z854" s="1">
        <v>46066</v>
      </c>
      <c r="AA854" s="2">
        <v>2754040.3</v>
      </c>
      <c r="AB854" s="2">
        <v>2333932.46</v>
      </c>
      <c r="AC854" s="2">
        <v>420107.84</v>
      </c>
      <c r="AD854" s="2">
        <v>1357824.33</v>
      </c>
      <c r="AE854" t="s">
        <v>2870</v>
      </c>
      <c r="AF854" t="s">
        <v>72</v>
      </c>
      <c r="AG854">
        <v>12</v>
      </c>
      <c r="AH854" t="s">
        <v>73</v>
      </c>
      <c r="AI854" t="s">
        <v>74</v>
      </c>
      <c r="AJ854" t="s">
        <v>75</v>
      </c>
      <c r="AK854" t="s">
        <v>76</v>
      </c>
      <c r="AL854" t="s">
        <v>77</v>
      </c>
      <c r="AM854" t="s">
        <v>78</v>
      </c>
      <c r="AN854" t="s">
        <v>979</v>
      </c>
      <c r="AO854" t="s">
        <v>80</v>
      </c>
      <c r="AP854" t="e">
        <v>#N/A</v>
      </c>
      <c r="AQ854" t="s">
        <v>81</v>
      </c>
      <c r="AR854" t="str">
        <f t="shared" si="26"/>
        <v>60603772.STATAM</v>
      </c>
      <c r="AS854">
        <f t="shared" si="27"/>
        <v>17491810.990000002</v>
      </c>
      <c r="AT854" t="s">
        <v>82</v>
      </c>
    </row>
    <row r="855" spans="1:46" x14ac:dyDescent="0.35">
      <c r="A855" t="s">
        <v>52</v>
      </c>
      <c r="B855" t="s">
        <v>53</v>
      </c>
      <c r="C855" t="s">
        <v>54</v>
      </c>
      <c r="D855" t="s">
        <v>55</v>
      </c>
      <c r="E855" t="s">
        <v>56</v>
      </c>
      <c r="F855" t="s">
        <v>2848</v>
      </c>
      <c r="G855" t="s">
        <v>2852</v>
      </c>
      <c r="H855" t="s">
        <v>59</v>
      </c>
      <c r="I855" t="s">
        <v>2853</v>
      </c>
      <c r="J855" t="s">
        <v>61</v>
      </c>
      <c r="K855" t="s">
        <v>62</v>
      </c>
      <c r="L855" t="s">
        <v>56</v>
      </c>
      <c r="M855" t="s">
        <v>56</v>
      </c>
      <c r="N855" t="s">
        <v>63</v>
      </c>
      <c r="O855" t="s">
        <v>974</v>
      </c>
      <c r="P855" t="s">
        <v>975</v>
      </c>
      <c r="Q855" t="s">
        <v>2854</v>
      </c>
      <c r="R855" t="s">
        <v>232</v>
      </c>
      <c r="S855">
        <v>13500000</v>
      </c>
      <c r="T855">
        <v>-5434857.7699999996</v>
      </c>
      <c r="U855" t="s">
        <v>68</v>
      </c>
      <c r="V855" t="s">
        <v>2850</v>
      </c>
      <c r="W855" s="9">
        <v>60603772</v>
      </c>
      <c r="X855" t="s">
        <v>2871</v>
      </c>
      <c r="Y855" s="1">
        <v>45982</v>
      </c>
      <c r="Z855" s="1">
        <v>46072</v>
      </c>
      <c r="AA855" s="2">
        <v>1260231.6399999999</v>
      </c>
      <c r="AB855" s="2">
        <v>1067992.92</v>
      </c>
      <c r="AC855" s="2">
        <v>192238.72</v>
      </c>
      <c r="AD855" s="2">
        <v>1260231.6399999999</v>
      </c>
      <c r="AE855" t="s">
        <v>2872</v>
      </c>
      <c r="AF855" t="s">
        <v>72</v>
      </c>
      <c r="AG855">
        <v>6</v>
      </c>
      <c r="AH855" t="s">
        <v>73</v>
      </c>
      <c r="AI855" t="s">
        <v>74</v>
      </c>
      <c r="AJ855" t="s">
        <v>75</v>
      </c>
      <c r="AK855" t="s">
        <v>76</v>
      </c>
      <c r="AL855" t="s">
        <v>77</v>
      </c>
      <c r="AM855" t="s">
        <v>78</v>
      </c>
      <c r="AN855" t="s">
        <v>979</v>
      </c>
      <c r="AO855" t="s">
        <v>80</v>
      </c>
      <c r="AP855" t="e">
        <v>#N/A</v>
      </c>
      <c r="AQ855" t="s">
        <v>81</v>
      </c>
      <c r="AR855" t="str">
        <f t="shared" si="26"/>
        <v>60603772.STATAM</v>
      </c>
      <c r="AS855">
        <f t="shared" si="27"/>
        <v>17491810.990000002</v>
      </c>
      <c r="AT855" t="s">
        <v>82</v>
      </c>
    </row>
    <row r="856" spans="1:46" x14ac:dyDescent="0.35">
      <c r="A856" t="s">
        <v>52</v>
      </c>
      <c r="B856" t="s">
        <v>53</v>
      </c>
      <c r="C856" t="s">
        <v>54</v>
      </c>
      <c r="D856" t="s">
        <v>55</v>
      </c>
      <c r="E856" t="s">
        <v>56</v>
      </c>
      <c r="F856" t="s">
        <v>2848</v>
      </c>
      <c r="G856" t="s">
        <v>2852</v>
      </c>
      <c r="H856" t="s">
        <v>59</v>
      </c>
      <c r="I856" t="s">
        <v>2853</v>
      </c>
      <c r="J856" t="s">
        <v>61</v>
      </c>
      <c r="K856" t="s">
        <v>62</v>
      </c>
      <c r="L856" t="s">
        <v>56</v>
      </c>
      <c r="M856" t="s">
        <v>56</v>
      </c>
      <c r="N856" t="s">
        <v>63</v>
      </c>
      <c r="O856" t="s">
        <v>974</v>
      </c>
      <c r="P856" t="s">
        <v>975</v>
      </c>
      <c r="Q856" t="s">
        <v>2854</v>
      </c>
      <c r="R856" t="s">
        <v>232</v>
      </c>
      <c r="S856">
        <v>13500000</v>
      </c>
      <c r="T856">
        <v>-5434857.7699999996</v>
      </c>
      <c r="U856" t="s">
        <v>68</v>
      </c>
      <c r="V856" t="s">
        <v>2850</v>
      </c>
      <c r="W856" s="9">
        <v>60603772</v>
      </c>
      <c r="X856" t="s">
        <v>2873</v>
      </c>
      <c r="Y856" s="1">
        <v>46007</v>
      </c>
      <c r="Z856" s="1">
        <v>46097</v>
      </c>
      <c r="AA856" s="2">
        <v>1019111.58</v>
      </c>
      <c r="AB856" s="2">
        <v>863653.88</v>
      </c>
      <c r="AC856" s="2">
        <v>155457.70000000001</v>
      </c>
      <c r="AD856" s="2">
        <v>1019111.58</v>
      </c>
      <c r="AE856" t="s">
        <v>2874</v>
      </c>
      <c r="AF856" t="s">
        <v>72</v>
      </c>
      <c r="AG856">
        <v>-19</v>
      </c>
      <c r="AH856" t="s">
        <v>117</v>
      </c>
      <c r="AI856" t="s">
        <v>74</v>
      </c>
      <c r="AJ856" t="s">
        <v>75</v>
      </c>
      <c r="AK856" t="s">
        <v>76</v>
      </c>
      <c r="AL856" t="s">
        <v>118</v>
      </c>
      <c r="AM856" t="s">
        <v>78</v>
      </c>
      <c r="AN856" t="s">
        <v>979</v>
      </c>
      <c r="AO856" t="s">
        <v>119</v>
      </c>
      <c r="AP856" t="e">
        <v>#N/A</v>
      </c>
      <c r="AQ856" t="s">
        <v>81</v>
      </c>
      <c r="AR856" t="str">
        <f t="shared" si="26"/>
        <v>60603772.STATAM</v>
      </c>
      <c r="AS856">
        <f t="shared" si="27"/>
        <v>17491810.990000002</v>
      </c>
      <c r="AT856" t="s">
        <v>82</v>
      </c>
    </row>
    <row r="857" spans="1:46" x14ac:dyDescent="0.35">
      <c r="A857" t="s">
        <v>52</v>
      </c>
      <c r="B857" t="s">
        <v>53</v>
      </c>
      <c r="C857" t="s">
        <v>54</v>
      </c>
      <c r="D857" t="s">
        <v>55</v>
      </c>
      <c r="E857" t="s">
        <v>56</v>
      </c>
      <c r="F857" t="s">
        <v>2848</v>
      </c>
      <c r="G857" t="s">
        <v>2866</v>
      </c>
      <c r="H857" t="s">
        <v>59</v>
      </c>
      <c r="I857" t="s">
        <v>2867</v>
      </c>
      <c r="J857" t="s">
        <v>61</v>
      </c>
      <c r="K857" t="s">
        <v>62</v>
      </c>
      <c r="L857" t="s">
        <v>56</v>
      </c>
      <c r="M857" t="s">
        <v>56</v>
      </c>
      <c r="N857" t="s">
        <v>63</v>
      </c>
      <c r="O857" t="s">
        <v>974</v>
      </c>
      <c r="P857" t="s">
        <v>975</v>
      </c>
      <c r="Q857" t="s">
        <v>2868</v>
      </c>
      <c r="R857" t="s">
        <v>232</v>
      </c>
      <c r="S857">
        <v>13500000</v>
      </c>
      <c r="T857">
        <v>-5434857.7699999996</v>
      </c>
      <c r="U857" t="s">
        <v>68</v>
      </c>
      <c r="V857" t="s">
        <v>2850</v>
      </c>
      <c r="W857" s="9">
        <v>60603772</v>
      </c>
      <c r="X857" t="s">
        <v>2875</v>
      </c>
      <c r="Y857" s="1">
        <v>46008</v>
      </c>
      <c r="Z857" s="1">
        <v>46098</v>
      </c>
      <c r="AA857" s="2">
        <v>2258622.7799999998</v>
      </c>
      <c r="AB857" s="2">
        <v>1914087.1</v>
      </c>
      <c r="AC857" s="2">
        <v>344535.68</v>
      </c>
      <c r="AD857" s="2">
        <v>2258622.7799999998</v>
      </c>
      <c r="AE857" t="s">
        <v>2876</v>
      </c>
      <c r="AF857" t="s">
        <v>72</v>
      </c>
      <c r="AG857">
        <v>-20</v>
      </c>
      <c r="AH857" t="s">
        <v>117</v>
      </c>
      <c r="AI857" t="s">
        <v>74</v>
      </c>
      <c r="AJ857" t="s">
        <v>75</v>
      </c>
      <c r="AK857" t="s">
        <v>76</v>
      </c>
      <c r="AL857" t="s">
        <v>118</v>
      </c>
      <c r="AM857" t="s">
        <v>78</v>
      </c>
      <c r="AN857" t="s">
        <v>979</v>
      </c>
      <c r="AO857" t="s">
        <v>119</v>
      </c>
      <c r="AP857" t="e">
        <v>#N/A</v>
      </c>
      <c r="AQ857" t="s">
        <v>81</v>
      </c>
      <c r="AR857" t="str">
        <f t="shared" si="26"/>
        <v>60603772.STATAM</v>
      </c>
      <c r="AS857">
        <f t="shared" si="27"/>
        <v>17491810.990000002</v>
      </c>
      <c r="AT857" t="s">
        <v>82</v>
      </c>
    </row>
    <row r="858" spans="1:46" x14ac:dyDescent="0.35">
      <c r="A858" t="s">
        <v>52</v>
      </c>
      <c r="B858" t="s">
        <v>53</v>
      </c>
      <c r="C858" t="s">
        <v>54</v>
      </c>
      <c r="D858" t="s">
        <v>55</v>
      </c>
      <c r="E858" t="s">
        <v>56</v>
      </c>
      <c r="F858" t="s">
        <v>2848</v>
      </c>
      <c r="G858" t="s">
        <v>2861</v>
      </c>
      <c r="H858" t="s">
        <v>59</v>
      </c>
      <c r="I858" t="s">
        <v>2862</v>
      </c>
      <c r="J858" t="s">
        <v>61</v>
      </c>
      <c r="K858" t="s">
        <v>62</v>
      </c>
      <c r="L858" t="s">
        <v>56</v>
      </c>
      <c r="M858" t="s">
        <v>56</v>
      </c>
      <c r="N858" t="s">
        <v>63</v>
      </c>
      <c r="O858" t="s">
        <v>974</v>
      </c>
      <c r="P858" t="s">
        <v>975</v>
      </c>
      <c r="Q858" t="s">
        <v>2863</v>
      </c>
      <c r="R858" t="s">
        <v>232</v>
      </c>
      <c r="S858">
        <v>13500000</v>
      </c>
      <c r="T858">
        <v>-5434857.7699999996</v>
      </c>
      <c r="U858" t="s">
        <v>68</v>
      </c>
      <c r="V858" t="s">
        <v>2850</v>
      </c>
      <c r="W858" s="9">
        <v>60603772</v>
      </c>
      <c r="X858" t="s">
        <v>2877</v>
      </c>
      <c r="Y858" s="1">
        <v>46014</v>
      </c>
      <c r="Z858" s="1">
        <v>46104</v>
      </c>
      <c r="AA858" s="2">
        <v>671613.9</v>
      </c>
      <c r="AB858" s="2">
        <v>569164.31999999995</v>
      </c>
      <c r="AC858" s="2">
        <v>102449.58</v>
      </c>
      <c r="AD858" s="2">
        <v>671613.9</v>
      </c>
      <c r="AE858" t="s">
        <v>2878</v>
      </c>
      <c r="AF858" t="s">
        <v>72</v>
      </c>
      <c r="AG858">
        <v>-26</v>
      </c>
      <c r="AH858" t="s">
        <v>117</v>
      </c>
      <c r="AI858" t="s">
        <v>74</v>
      </c>
      <c r="AJ858" t="s">
        <v>75</v>
      </c>
      <c r="AK858" t="s">
        <v>76</v>
      </c>
      <c r="AL858" t="s">
        <v>118</v>
      </c>
      <c r="AM858" t="s">
        <v>78</v>
      </c>
      <c r="AN858" t="s">
        <v>979</v>
      </c>
      <c r="AO858" t="s">
        <v>119</v>
      </c>
      <c r="AP858" t="e">
        <v>#N/A</v>
      </c>
      <c r="AQ858" t="s">
        <v>81</v>
      </c>
      <c r="AR858" t="str">
        <f t="shared" si="26"/>
        <v>60603772.STATAM</v>
      </c>
      <c r="AS858">
        <f t="shared" si="27"/>
        <v>17491810.990000002</v>
      </c>
      <c r="AT858" t="s">
        <v>82</v>
      </c>
    </row>
    <row r="859" spans="1:46" x14ac:dyDescent="0.35">
      <c r="A859" t="s">
        <v>52</v>
      </c>
      <c r="B859" t="s">
        <v>53</v>
      </c>
      <c r="C859" t="s">
        <v>54</v>
      </c>
      <c r="D859" t="s">
        <v>55</v>
      </c>
      <c r="E859" t="s">
        <v>56</v>
      </c>
      <c r="F859" t="s">
        <v>2848</v>
      </c>
      <c r="G859" t="s">
        <v>2852</v>
      </c>
      <c r="H859" t="s">
        <v>59</v>
      </c>
      <c r="I859" t="s">
        <v>2853</v>
      </c>
      <c r="J859" t="s">
        <v>61</v>
      </c>
      <c r="K859" t="s">
        <v>62</v>
      </c>
      <c r="L859" t="s">
        <v>56</v>
      </c>
      <c r="M859" t="s">
        <v>56</v>
      </c>
      <c r="N859" t="s">
        <v>63</v>
      </c>
      <c r="O859" t="s">
        <v>974</v>
      </c>
      <c r="P859" t="s">
        <v>975</v>
      </c>
      <c r="Q859" t="s">
        <v>2854</v>
      </c>
      <c r="R859" t="s">
        <v>232</v>
      </c>
      <c r="S859">
        <v>13500000</v>
      </c>
      <c r="T859">
        <v>-5434857.7699999996</v>
      </c>
      <c r="U859" t="s">
        <v>68</v>
      </c>
      <c r="V859" t="s">
        <v>2850</v>
      </c>
      <c r="W859" s="9">
        <v>60603772</v>
      </c>
      <c r="X859" t="s">
        <v>2879</v>
      </c>
      <c r="Y859" s="1">
        <v>46037</v>
      </c>
      <c r="Z859" s="1">
        <v>46127</v>
      </c>
      <c r="AA859" s="2">
        <v>868739.42</v>
      </c>
      <c r="AB859" s="2">
        <v>736219.84</v>
      </c>
      <c r="AC859" s="2">
        <v>132519.57999999999</v>
      </c>
      <c r="AD859" s="2">
        <v>868739.42</v>
      </c>
      <c r="AE859" t="s">
        <v>2880</v>
      </c>
      <c r="AF859" t="s">
        <v>72</v>
      </c>
      <c r="AG859">
        <v>-49</v>
      </c>
      <c r="AH859" t="s">
        <v>117</v>
      </c>
      <c r="AI859" t="s">
        <v>74</v>
      </c>
      <c r="AJ859" t="s">
        <v>75</v>
      </c>
      <c r="AK859" t="s">
        <v>76</v>
      </c>
      <c r="AL859" t="s">
        <v>118</v>
      </c>
      <c r="AM859" t="s">
        <v>78</v>
      </c>
      <c r="AN859" t="s">
        <v>979</v>
      </c>
      <c r="AO859" t="s">
        <v>119</v>
      </c>
      <c r="AP859" t="e">
        <v>#N/A</v>
      </c>
      <c r="AQ859" t="s">
        <v>81</v>
      </c>
      <c r="AR859" t="str">
        <f t="shared" si="26"/>
        <v>60603772.STATAM</v>
      </c>
      <c r="AS859">
        <f t="shared" si="27"/>
        <v>17491810.990000002</v>
      </c>
      <c r="AT859" t="s">
        <v>82</v>
      </c>
    </row>
    <row r="860" spans="1:46" x14ac:dyDescent="0.35">
      <c r="A860" t="s">
        <v>52</v>
      </c>
      <c r="B860" t="s">
        <v>53</v>
      </c>
      <c r="C860" t="s">
        <v>54</v>
      </c>
      <c r="D860" t="s">
        <v>55</v>
      </c>
      <c r="E860" t="s">
        <v>56</v>
      </c>
      <c r="F860" t="s">
        <v>2848</v>
      </c>
      <c r="G860" t="s">
        <v>2861</v>
      </c>
      <c r="H860" t="s">
        <v>59</v>
      </c>
      <c r="I860" t="s">
        <v>2862</v>
      </c>
      <c r="J860" t="s">
        <v>61</v>
      </c>
      <c r="K860" t="s">
        <v>62</v>
      </c>
      <c r="L860" t="s">
        <v>56</v>
      </c>
      <c r="M860" t="s">
        <v>56</v>
      </c>
      <c r="N860" t="s">
        <v>63</v>
      </c>
      <c r="O860" t="s">
        <v>974</v>
      </c>
      <c r="P860" t="s">
        <v>975</v>
      </c>
      <c r="Q860" t="s">
        <v>2863</v>
      </c>
      <c r="R860" t="s">
        <v>232</v>
      </c>
      <c r="S860">
        <v>13500000</v>
      </c>
      <c r="T860">
        <v>-5434857.7699999996</v>
      </c>
      <c r="U860" t="s">
        <v>68</v>
      </c>
      <c r="V860" t="s">
        <v>2850</v>
      </c>
      <c r="W860" s="9">
        <v>60603772</v>
      </c>
      <c r="X860" t="s">
        <v>2881</v>
      </c>
      <c r="Y860" s="1">
        <v>46041</v>
      </c>
      <c r="Z860" s="1">
        <v>46131</v>
      </c>
      <c r="AA860" s="2">
        <v>277334.98</v>
      </c>
      <c r="AB860" s="2">
        <v>235029.64</v>
      </c>
      <c r="AC860" s="2">
        <v>42305.34</v>
      </c>
      <c r="AD860" s="2">
        <v>277334.98</v>
      </c>
      <c r="AE860" t="s">
        <v>2882</v>
      </c>
      <c r="AF860" t="s">
        <v>72</v>
      </c>
      <c r="AG860">
        <v>-53</v>
      </c>
      <c r="AH860" t="s">
        <v>117</v>
      </c>
      <c r="AI860" t="s">
        <v>74</v>
      </c>
      <c r="AJ860" t="s">
        <v>75</v>
      </c>
      <c r="AK860" t="s">
        <v>76</v>
      </c>
      <c r="AL860" t="s">
        <v>118</v>
      </c>
      <c r="AM860" t="s">
        <v>78</v>
      </c>
      <c r="AN860" t="s">
        <v>979</v>
      </c>
      <c r="AO860" t="s">
        <v>119</v>
      </c>
      <c r="AP860" t="e">
        <v>#N/A</v>
      </c>
      <c r="AQ860" t="s">
        <v>81</v>
      </c>
      <c r="AR860" t="str">
        <f t="shared" si="26"/>
        <v>60603772.STATAM</v>
      </c>
      <c r="AS860">
        <f t="shared" si="27"/>
        <v>17491810.990000002</v>
      </c>
      <c r="AT860" t="s">
        <v>82</v>
      </c>
    </row>
    <row r="861" spans="1:46" x14ac:dyDescent="0.35">
      <c r="A861" t="s">
        <v>52</v>
      </c>
      <c r="B861" t="s">
        <v>53</v>
      </c>
      <c r="C861" t="s">
        <v>54</v>
      </c>
      <c r="D861" t="s">
        <v>55</v>
      </c>
      <c r="E861" t="s">
        <v>56</v>
      </c>
      <c r="F861" t="s">
        <v>2848</v>
      </c>
      <c r="G861" t="s">
        <v>2866</v>
      </c>
      <c r="H861" t="s">
        <v>59</v>
      </c>
      <c r="I861" t="s">
        <v>2867</v>
      </c>
      <c r="J861" t="s">
        <v>61</v>
      </c>
      <c r="K861" t="s">
        <v>62</v>
      </c>
      <c r="L861" t="s">
        <v>56</v>
      </c>
      <c r="M861" t="s">
        <v>56</v>
      </c>
      <c r="N861" t="s">
        <v>63</v>
      </c>
      <c r="O861" t="s">
        <v>974</v>
      </c>
      <c r="P861" t="s">
        <v>975</v>
      </c>
      <c r="Q861" t="s">
        <v>2868</v>
      </c>
      <c r="R861" t="s">
        <v>232</v>
      </c>
      <c r="S861">
        <v>13500000</v>
      </c>
      <c r="T861">
        <v>-5434857.7699999996</v>
      </c>
      <c r="U861" t="s">
        <v>68</v>
      </c>
      <c r="V861" t="s">
        <v>2850</v>
      </c>
      <c r="W861" s="9">
        <v>60603772</v>
      </c>
      <c r="X861" t="s">
        <v>2883</v>
      </c>
      <c r="Y861" s="1">
        <v>46050</v>
      </c>
      <c r="Z861" s="1">
        <v>46140</v>
      </c>
      <c r="AA861" s="2">
        <v>891540.92</v>
      </c>
      <c r="AB861" s="2">
        <v>755543.16</v>
      </c>
      <c r="AC861" s="2">
        <v>135997.76000000001</v>
      </c>
      <c r="AD861" s="2">
        <v>891540.92</v>
      </c>
      <c r="AE861" t="s">
        <v>2884</v>
      </c>
      <c r="AF861" t="s">
        <v>72</v>
      </c>
      <c r="AG861">
        <v>-62</v>
      </c>
      <c r="AH861" t="s">
        <v>117</v>
      </c>
      <c r="AI861" t="s">
        <v>74</v>
      </c>
      <c r="AJ861" t="s">
        <v>75</v>
      </c>
      <c r="AK861" t="s">
        <v>76</v>
      </c>
      <c r="AL861" t="s">
        <v>118</v>
      </c>
      <c r="AM861" t="s">
        <v>78</v>
      </c>
      <c r="AN861" t="s">
        <v>979</v>
      </c>
      <c r="AO861" t="s">
        <v>119</v>
      </c>
      <c r="AP861" t="e">
        <v>#N/A</v>
      </c>
      <c r="AQ861" t="s">
        <v>81</v>
      </c>
      <c r="AR861" t="str">
        <f t="shared" si="26"/>
        <v>60603772.STATAM</v>
      </c>
      <c r="AS861">
        <f t="shared" si="27"/>
        <v>17491810.990000002</v>
      </c>
      <c r="AT861" t="s">
        <v>82</v>
      </c>
    </row>
    <row r="862" spans="1:46" x14ac:dyDescent="0.35">
      <c r="A862" t="s">
        <v>52</v>
      </c>
      <c r="B862" t="s">
        <v>53</v>
      </c>
      <c r="C862" t="s">
        <v>54</v>
      </c>
      <c r="D862" t="s">
        <v>55</v>
      </c>
      <c r="E862" t="s">
        <v>56</v>
      </c>
      <c r="F862" t="s">
        <v>2848</v>
      </c>
      <c r="G862" t="s">
        <v>2852</v>
      </c>
      <c r="H862" t="s">
        <v>59</v>
      </c>
      <c r="I862" t="s">
        <v>2853</v>
      </c>
      <c r="J862" t="s">
        <v>61</v>
      </c>
      <c r="K862" t="s">
        <v>62</v>
      </c>
      <c r="L862" t="s">
        <v>56</v>
      </c>
      <c r="M862" t="s">
        <v>56</v>
      </c>
      <c r="N862" t="s">
        <v>63</v>
      </c>
      <c r="O862" t="s">
        <v>974</v>
      </c>
      <c r="P862" t="s">
        <v>975</v>
      </c>
      <c r="Q862" t="s">
        <v>2854</v>
      </c>
      <c r="R862" t="s">
        <v>232</v>
      </c>
      <c r="S862">
        <v>13500000</v>
      </c>
      <c r="T862">
        <v>-5434857.7699999996</v>
      </c>
      <c r="U862" t="s">
        <v>68</v>
      </c>
      <c r="V862" t="s">
        <v>2850</v>
      </c>
      <c r="W862" s="9">
        <v>60603772</v>
      </c>
      <c r="X862" t="s">
        <v>2885</v>
      </c>
      <c r="Y862" s="1">
        <v>46070</v>
      </c>
      <c r="Z862" s="1">
        <v>46160</v>
      </c>
      <c r="AA862" s="2">
        <v>1772468.56</v>
      </c>
      <c r="AB862" s="2">
        <v>1502092</v>
      </c>
      <c r="AC862" s="2">
        <v>270376.56</v>
      </c>
      <c r="AD862" s="2">
        <v>1772468.56</v>
      </c>
      <c r="AE862" t="s">
        <v>2886</v>
      </c>
      <c r="AF862" t="s">
        <v>72</v>
      </c>
      <c r="AG862">
        <v>-82</v>
      </c>
      <c r="AH862" t="s">
        <v>117</v>
      </c>
      <c r="AI862" t="s">
        <v>74</v>
      </c>
      <c r="AJ862" t="s">
        <v>75</v>
      </c>
      <c r="AK862" t="s">
        <v>76</v>
      </c>
      <c r="AL862" t="s">
        <v>118</v>
      </c>
      <c r="AM862" t="s">
        <v>78</v>
      </c>
      <c r="AN862" t="s">
        <v>979</v>
      </c>
      <c r="AO862" t="s">
        <v>119</v>
      </c>
      <c r="AP862" t="e">
        <v>#N/A</v>
      </c>
      <c r="AQ862" t="s">
        <v>81</v>
      </c>
      <c r="AR862" t="str">
        <f t="shared" si="26"/>
        <v>60603772.STATAM</v>
      </c>
      <c r="AS862">
        <f t="shared" si="27"/>
        <v>17491810.990000002</v>
      </c>
      <c r="AT862" t="s">
        <v>82</v>
      </c>
    </row>
    <row r="863" spans="1:46" x14ac:dyDescent="0.35">
      <c r="A863" t="s">
        <v>52</v>
      </c>
      <c r="B863" t="s">
        <v>53</v>
      </c>
      <c r="C863" t="s">
        <v>54</v>
      </c>
      <c r="D863" t="s">
        <v>55</v>
      </c>
      <c r="E863" t="s">
        <v>56</v>
      </c>
      <c r="F863" t="s">
        <v>2848</v>
      </c>
      <c r="G863" t="s">
        <v>2861</v>
      </c>
      <c r="H863" t="s">
        <v>59</v>
      </c>
      <c r="I863" t="s">
        <v>2862</v>
      </c>
      <c r="J863" t="s">
        <v>61</v>
      </c>
      <c r="K863" t="s">
        <v>62</v>
      </c>
      <c r="L863" t="s">
        <v>56</v>
      </c>
      <c r="M863" t="s">
        <v>56</v>
      </c>
      <c r="N863" t="s">
        <v>63</v>
      </c>
      <c r="O863" t="s">
        <v>974</v>
      </c>
      <c r="P863" t="s">
        <v>975</v>
      </c>
      <c r="Q863" t="s">
        <v>2863</v>
      </c>
      <c r="R863" t="s">
        <v>232</v>
      </c>
      <c r="S863">
        <v>13500000</v>
      </c>
      <c r="T863">
        <v>-5434857.7699999996</v>
      </c>
      <c r="U863" t="s">
        <v>68</v>
      </c>
      <c r="V863" t="s">
        <v>2850</v>
      </c>
      <c r="W863" s="9">
        <v>60603772</v>
      </c>
      <c r="X863" t="s">
        <v>2887</v>
      </c>
      <c r="Y863" s="1">
        <v>46070</v>
      </c>
      <c r="Z863" s="1">
        <v>46160</v>
      </c>
      <c r="AA863" s="2">
        <v>821376.38</v>
      </c>
      <c r="AB863" s="2">
        <v>696081.68</v>
      </c>
      <c r="AC863" s="2">
        <v>125294.7</v>
      </c>
      <c r="AD863" s="2">
        <v>821376.38</v>
      </c>
      <c r="AE863" t="s">
        <v>2888</v>
      </c>
      <c r="AF863" t="s">
        <v>72</v>
      </c>
      <c r="AG863">
        <v>-82</v>
      </c>
      <c r="AH863" t="s">
        <v>117</v>
      </c>
      <c r="AI863" t="s">
        <v>74</v>
      </c>
      <c r="AJ863" t="s">
        <v>75</v>
      </c>
      <c r="AK863" t="s">
        <v>76</v>
      </c>
      <c r="AL863" t="s">
        <v>118</v>
      </c>
      <c r="AM863" t="s">
        <v>78</v>
      </c>
      <c r="AN863" t="s">
        <v>979</v>
      </c>
      <c r="AO863" t="s">
        <v>119</v>
      </c>
      <c r="AP863" t="e">
        <v>#N/A</v>
      </c>
      <c r="AQ863" t="s">
        <v>81</v>
      </c>
      <c r="AR863" t="str">
        <f t="shared" si="26"/>
        <v>60603772.STATAM</v>
      </c>
      <c r="AS863">
        <f t="shared" si="27"/>
        <v>17491810.990000002</v>
      </c>
      <c r="AT863" t="s">
        <v>82</v>
      </c>
    </row>
    <row r="864" spans="1:46" x14ac:dyDescent="0.35">
      <c r="A864" t="s">
        <v>52</v>
      </c>
      <c r="B864" t="s">
        <v>53</v>
      </c>
      <c r="C864" t="s">
        <v>54</v>
      </c>
      <c r="D864" t="s">
        <v>55</v>
      </c>
      <c r="E864" t="s">
        <v>56</v>
      </c>
      <c r="F864" t="s">
        <v>2848</v>
      </c>
      <c r="G864" t="s">
        <v>2866</v>
      </c>
      <c r="H864" t="s">
        <v>59</v>
      </c>
      <c r="I864" t="s">
        <v>2867</v>
      </c>
      <c r="J864" t="s">
        <v>61</v>
      </c>
      <c r="K864" t="s">
        <v>62</v>
      </c>
      <c r="L864" t="s">
        <v>56</v>
      </c>
      <c r="M864" t="s">
        <v>56</v>
      </c>
      <c r="N864" t="s">
        <v>63</v>
      </c>
      <c r="O864" t="s">
        <v>974</v>
      </c>
      <c r="P864" t="s">
        <v>975</v>
      </c>
      <c r="Q864" t="s">
        <v>2868</v>
      </c>
      <c r="R864" t="s">
        <v>232</v>
      </c>
      <c r="S864">
        <v>13500000</v>
      </c>
      <c r="T864">
        <v>-5434857.7699999996</v>
      </c>
      <c r="U864" t="s">
        <v>68</v>
      </c>
      <c r="V864" t="s">
        <v>2850</v>
      </c>
      <c r="W864" s="9">
        <v>60603772</v>
      </c>
      <c r="X864" t="s">
        <v>2889</v>
      </c>
      <c r="Y864" s="1">
        <v>46073</v>
      </c>
      <c r="Z864" s="1">
        <v>46163</v>
      </c>
      <c r="AA864" s="2">
        <v>1174601.42</v>
      </c>
      <c r="AB864" s="2">
        <v>995424.94</v>
      </c>
      <c r="AC864" s="2">
        <v>179176.48</v>
      </c>
      <c r="AD864" s="2">
        <v>1174601.42</v>
      </c>
      <c r="AE864" t="s">
        <v>2890</v>
      </c>
      <c r="AF864" t="s">
        <v>72</v>
      </c>
      <c r="AG864">
        <v>-85</v>
      </c>
      <c r="AH864" t="s">
        <v>117</v>
      </c>
      <c r="AI864" t="s">
        <v>74</v>
      </c>
      <c r="AJ864" t="s">
        <v>75</v>
      </c>
      <c r="AK864" t="s">
        <v>76</v>
      </c>
      <c r="AL864" t="s">
        <v>118</v>
      </c>
      <c r="AM864" t="s">
        <v>78</v>
      </c>
      <c r="AN864" t="s">
        <v>979</v>
      </c>
      <c r="AO864" t="s">
        <v>119</v>
      </c>
      <c r="AP864" t="e">
        <v>#N/A</v>
      </c>
      <c r="AQ864" t="s">
        <v>81</v>
      </c>
      <c r="AR864" t="str">
        <f t="shared" si="26"/>
        <v>60603772.STATAM</v>
      </c>
      <c r="AS864">
        <f t="shared" si="27"/>
        <v>17491810.990000002</v>
      </c>
      <c r="AT864" t="s">
        <v>82</v>
      </c>
    </row>
    <row r="865" spans="1:46" x14ac:dyDescent="0.35">
      <c r="A865" t="s">
        <v>52</v>
      </c>
      <c r="B865" t="s">
        <v>53</v>
      </c>
      <c r="C865" t="s">
        <v>621</v>
      </c>
      <c r="D865" t="s">
        <v>55</v>
      </c>
      <c r="E865" t="s">
        <v>56</v>
      </c>
      <c r="F865" t="s">
        <v>2891</v>
      </c>
      <c r="G865" t="s">
        <v>2892</v>
      </c>
      <c r="H865" t="s">
        <v>56</v>
      </c>
      <c r="I865" t="s">
        <v>2893</v>
      </c>
      <c r="J865" t="s">
        <v>56</v>
      </c>
      <c r="K865" t="s">
        <v>62</v>
      </c>
      <c r="L865" t="s">
        <v>56</v>
      </c>
      <c r="M865" t="s">
        <v>56</v>
      </c>
      <c r="N865" t="s">
        <v>261</v>
      </c>
      <c r="O865" t="s">
        <v>974</v>
      </c>
      <c r="P865" t="s">
        <v>975</v>
      </c>
      <c r="Q865" t="s">
        <v>393</v>
      </c>
      <c r="R865" t="s">
        <v>232</v>
      </c>
      <c r="S865">
        <v>3000000</v>
      </c>
      <c r="T865">
        <v>-47978107.450000003</v>
      </c>
      <c r="U865" t="s">
        <v>68</v>
      </c>
      <c r="V865" t="s">
        <v>2850</v>
      </c>
      <c r="W865" s="9">
        <v>60603857</v>
      </c>
      <c r="X865" t="s">
        <v>2894</v>
      </c>
      <c r="Y865" s="1">
        <v>45652</v>
      </c>
      <c r="Z865" s="1">
        <v>45652</v>
      </c>
      <c r="AA865" s="2">
        <v>10068.780000000001</v>
      </c>
      <c r="AB865" s="2">
        <v>8128.56</v>
      </c>
      <c r="AC865" s="2">
        <v>1940.22</v>
      </c>
      <c r="AD865" s="2">
        <v>44.93</v>
      </c>
      <c r="AE865" t="s">
        <v>2895</v>
      </c>
      <c r="AF865" t="s">
        <v>72</v>
      </c>
      <c r="AG865">
        <v>426</v>
      </c>
      <c r="AH865" t="s">
        <v>473</v>
      </c>
      <c r="AI865" t="s">
        <v>74</v>
      </c>
      <c r="AJ865" t="s">
        <v>75</v>
      </c>
      <c r="AK865" t="s">
        <v>76</v>
      </c>
      <c r="AL865" t="s">
        <v>77</v>
      </c>
      <c r="AM865" t="s">
        <v>78</v>
      </c>
      <c r="AN865" t="s">
        <v>979</v>
      </c>
      <c r="AO865" t="s">
        <v>80</v>
      </c>
      <c r="AP865" t="e">
        <v>#N/A</v>
      </c>
      <c r="AQ865" t="s">
        <v>81</v>
      </c>
      <c r="AR865" t="str">
        <f t="shared" si="26"/>
        <v>60603857.STATAM</v>
      </c>
      <c r="AS865">
        <f t="shared" si="27"/>
        <v>7479694.5699999994</v>
      </c>
      <c r="AT865" t="s">
        <v>82</v>
      </c>
    </row>
    <row r="866" spans="1:46" x14ac:dyDescent="0.35">
      <c r="A866" t="s">
        <v>52</v>
      </c>
      <c r="B866" t="s">
        <v>53</v>
      </c>
      <c r="C866" t="s">
        <v>621</v>
      </c>
      <c r="D866" t="s">
        <v>55</v>
      </c>
      <c r="E866" t="s">
        <v>56</v>
      </c>
      <c r="F866" t="s">
        <v>2891</v>
      </c>
      <c r="G866" t="s">
        <v>2892</v>
      </c>
      <c r="H866" t="s">
        <v>56</v>
      </c>
      <c r="I866" t="s">
        <v>2893</v>
      </c>
      <c r="J866" t="s">
        <v>56</v>
      </c>
      <c r="K866" t="s">
        <v>62</v>
      </c>
      <c r="L866" t="s">
        <v>56</v>
      </c>
      <c r="M866" t="s">
        <v>56</v>
      </c>
      <c r="N866" t="s">
        <v>252</v>
      </c>
      <c r="O866" t="s">
        <v>974</v>
      </c>
      <c r="P866" t="s">
        <v>975</v>
      </c>
      <c r="Q866" t="s">
        <v>393</v>
      </c>
      <c r="R866" t="s">
        <v>232</v>
      </c>
      <c r="S866">
        <v>3000000</v>
      </c>
      <c r="T866">
        <v>-47978107.450000003</v>
      </c>
      <c r="U866" t="s">
        <v>68</v>
      </c>
      <c r="V866" t="s">
        <v>2850</v>
      </c>
      <c r="W866" s="9">
        <v>60603857</v>
      </c>
      <c r="X866" t="s">
        <v>2894</v>
      </c>
      <c r="Y866" s="1">
        <v>45652</v>
      </c>
      <c r="Z866" s="1">
        <v>45652</v>
      </c>
      <c r="AA866" s="2">
        <v>490209.72</v>
      </c>
      <c r="AB866" s="2">
        <v>395747.96</v>
      </c>
      <c r="AC866" s="2">
        <v>94461.759999999995</v>
      </c>
      <c r="AD866" s="2">
        <v>2187.48</v>
      </c>
      <c r="AE866" t="s">
        <v>2896</v>
      </c>
      <c r="AF866" t="s">
        <v>72</v>
      </c>
      <c r="AG866">
        <v>426</v>
      </c>
      <c r="AH866" t="s">
        <v>473</v>
      </c>
      <c r="AI866" t="s">
        <v>74</v>
      </c>
      <c r="AJ866" t="s">
        <v>75</v>
      </c>
      <c r="AK866" t="s">
        <v>76</v>
      </c>
      <c r="AL866" t="s">
        <v>77</v>
      </c>
      <c r="AM866" t="s">
        <v>78</v>
      </c>
      <c r="AN866" t="s">
        <v>979</v>
      </c>
      <c r="AO866" t="s">
        <v>80</v>
      </c>
      <c r="AP866" t="e">
        <v>#N/A</v>
      </c>
      <c r="AQ866" t="s">
        <v>81</v>
      </c>
      <c r="AR866" t="str">
        <f t="shared" si="26"/>
        <v>60603857.STATAM</v>
      </c>
      <c r="AS866">
        <f t="shared" si="27"/>
        <v>7479694.5699999994</v>
      </c>
      <c r="AT866" t="s">
        <v>82</v>
      </c>
    </row>
    <row r="867" spans="1:46" x14ac:dyDescent="0.35">
      <c r="A867" t="s">
        <v>52</v>
      </c>
      <c r="B867" t="s">
        <v>53</v>
      </c>
      <c r="C867" t="s">
        <v>621</v>
      </c>
      <c r="D867" t="s">
        <v>55</v>
      </c>
      <c r="E867" t="s">
        <v>56</v>
      </c>
      <c r="F867" t="s">
        <v>2891</v>
      </c>
      <c r="G867" t="s">
        <v>2897</v>
      </c>
      <c r="H867" t="s">
        <v>56</v>
      </c>
      <c r="I867" t="s">
        <v>2898</v>
      </c>
      <c r="J867" t="s">
        <v>56</v>
      </c>
      <c r="K867" t="s">
        <v>62</v>
      </c>
      <c r="L867" t="s">
        <v>56</v>
      </c>
      <c r="M867" t="s">
        <v>56</v>
      </c>
      <c r="N867" t="s">
        <v>477</v>
      </c>
      <c r="O867" t="s">
        <v>974</v>
      </c>
      <c r="P867" t="s">
        <v>975</v>
      </c>
      <c r="Q867" t="s">
        <v>2899</v>
      </c>
      <c r="R867" t="s">
        <v>232</v>
      </c>
      <c r="S867">
        <v>3000000</v>
      </c>
      <c r="T867">
        <v>-47978107.450000003</v>
      </c>
      <c r="U867" t="s">
        <v>68</v>
      </c>
      <c r="V867" t="s">
        <v>2850</v>
      </c>
      <c r="W867" s="9">
        <v>60603857</v>
      </c>
      <c r="X867" t="s">
        <v>2900</v>
      </c>
      <c r="Y867" s="1">
        <v>45686</v>
      </c>
      <c r="Z867" s="1">
        <v>45686</v>
      </c>
      <c r="AA867" s="2">
        <v>76718.880000000005</v>
      </c>
      <c r="AB867" s="2">
        <v>65016</v>
      </c>
      <c r="AC867" s="2">
        <v>11702.88</v>
      </c>
      <c r="AD867" s="2">
        <v>76718.880000000005</v>
      </c>
      <c r="AE867" t="s">
        <v>2901</v>
      </c>
      <c r="AF867" t="s">
        <v>72</v>
      </c>
      <c r="AG867">
        <v>392</v>
      </c>
      <c r="AH867" t="s">
        <v>473</v>
      </c>
      <c r="AI867" t="s">
        <v>74</v>
      </c>
      <c r="AJ867" t="s">
        <v>237</v>
      </c>
      <c r="AK867" t="s">
        <v>383</v>
      </c>
      <c r="AL867" t="s">
        <v>77</v>
      </c>
      <c r="AM867" t="s">
        <v>78</v>
      </c>
      <c r="AN867" t="s">
        <v>979</v>
      </c>
      <c r="AO867" t="s">
        <v>80</v>
      </c>
      <c r="AP867" t="e">
        <v>#N/A</v>
      </c>
      <c r="AQ867" t="s">
        <v>383</v>
      </c>
      <c r="AR867" t="str">
        <f t="shared" si="26"/>
        <v>60603857.MOBILAM</v>
      </c>
      <c r="AS867">
        <f t="shared" si="27"/>
        <v>76718.880000000005</v>
      </c>
      <c r="AT867" t="s">
        <v>82</v>
      </c>
    </row>
    <row r="868" spans="1:46" x14ac:dyDescent="0.35">
      <c r="A868" t="s">
        <v>52</v>
      </c>
      <c r="B868" t="s">
        <v>53</v>
      </c>
      <c r="C868" t="s">
        <v>621</v>
      </c>
      <c r="D868" t="s">
        <v>55</v>
      </c>
      <c r="E868" t="s">
        <v>56</v>
      </c>
      <c r="F868" t="s">
        <v>2891</v>
      </c>
      <c r="G868" t="s">
        <v>2902</v>
      </c>
      <c r="H868" t="s">
        <v>59</v>
      </c>
      <c r="I868" t="s">
        <v>2903</v>
      </c>
      <c r="J868" t="s">
        <v>61</v>
      </c>
      <c r="K868" t="s">
        <v>62</v>
      </c>
      <c r="L868" t="s">
        <v>56</v>
      </c>
      <c r="M868" t="s">
        <v>56</v>
      </c>
      <c r="N868" t="s">
        <v>63</v>
      </c>
      <c r="O868" t="s">
        <v>974</v>
      </c>
      <c r="P868" t="s">
        <v>975</v>
      </c>
      <c r="Q868" t="s">
        <v>2904</v>
      </c>
      <c r="R868" t="s">
        <v>232</v>
      </c>
      <c r="S868">
        <v>3000000</v>
      </c>
      <c r="T868">
        <v>-47978107.450000003</v>
      </c>
      <c r="U868" t="s">
        <v>68</v>
      </c>
      <c r="V868" t="s">
        <v>2850</v>
      </c>
      <c r="W868" s="9">
        <v>60603857</v>
      </c>
      <c r="X868" t="s">
        <v>2905</v>
      </c>
      <c r="Y868" s="1">
        <v>45920</v>
      </c>
      <c r="Z868" s="1">
        <v>46010</v>
      </c>
      <c r="AA868" s="2">
        <v>1077707.3600000001</v>
      </c>
      <c r="AB868" s="2">
        <v>913311.32</v>
      </c>
      <c r="AC868" s="2">
        <v>164396.04</v>
      </c>
      <c r="AD868" s="2">
        <v>188764.76</v>
      </c>
      <c r="AE868" t="s">
        <v>2906</v>
      </c>
      <c r="AF868" t="s">
        <v>72</v>
      </c>
      <c r="AG868">
        <v>68</v>
      </c>
      <c r="AH868" t="s">
        <v>260</v>
      </c>
      <c r="AI868" t="s">
        <v>74</v>
      </c>
      <c r="AJ868" t="s">
        <v>75</v>
      </c>
      <c r="AK868" t="s">
        <v>76</v>
      </c>
      <c r="AL868" t="s">
        <v>77</v>
      </c>
      <c r="AM868" t="s">
        <v>78</v>
      </c>
      <c r="AN868" t="s">
        <v>979</v>
      </c>
      <c r="AO868" t="s">
        <v>80</v>
      </c>
      <c r="AP868" t="e">
        <v>#N/A</v>
      </c>
      <c r="AQ868" t="s">
        <v>81</v>
      </c>
      <c r="AR868" t="str">
        <f t="shared" si="26"/>
        <v>60603857.STATAM</v>
      </c>
      <c r="AS868">
        <f t="shared" si="27"/>
        <v>7479694.5699999994</v>
      </c>
      <c r="AT868" t="s">
        <v>82</v>
      </c>
    </row>
    <row r="869" spans="1:46" x14ac:dyDescent="0.35">
      <c r="A869" t="s">
        <v>52</v>
      </c>
      <c r="B869" t="s">
        <v>53</v>
      </c>
      <c r="C869" t="s">
        <v>621</v>
      </c>
      <c r="D869" t="s">
        <v>55</v>
      </c>
      <c r="E869" t="s">
        <v>56</v>
      </c>
      <c r="F869" t="s">
        <v>2891</v>
      </c>
      <c r="G869" t="s">
        <v>2902</v>
      </c>
      <c r="H869" t="s">
        <v>59</v>
      </c>
      <c r="I869" t="s">
        <v>2903</v>
      </c>
      <c r="J869" t="s">
        <v>61</v>
      </c>
      <c r="K869" t="s">
        <v>62</v>
      </c>
      <c r="L869" t="s">
        <v>56</v>
      </c>
      <c r="M869" t="s">
        <v>56</v>
      </c>
      <c r="N869" t="s">
        <v>63</v>
      </c>
      <c r="O869" t="s">
        <v>974</v>
      </c>
      <c r="P869" t="s">
        <v>975</v>
      </c>
      <c r="Q869" t="s">
        <v>2904</v>
      </c>
      <c r="R869" t="s">
        <v>232</v>
      </c>
      <c r="S869">
        <v>3000000</v>
      </c>
      <c r="T869">
        <v>-47978107.450000003</v>
      </c>
      <c r="U869" t="s">
        <v>68</v>
      </c>
      <c r="V869" t="s">
        <v>2850</v>
      </c>
      <c r="W869" s="9">
        <v>60603857</v>
      </c>
      <c r="X869" t="s">
        <v>2907</v>
      </c>
      <c r="Y869" s="1">
        <v>45954</v>
      </c>
      <c r="Z869" s="1">
        <v>46044</v>
      </c>
      <c r="AA869" s="2">
        <v>1908430.7</v>
      </c>
      <c r="AB869" s="2">
        <v>1617314.16</v>
      </c>
      <c r="AC869" s="2">
        <v>291116.53999999998</v>
      </c>
      <c r="AD869" s="2">
        <v>1908430.7</v>
      </c>
      <c r="AE869" t="s">
        <v>2908</v>
      </c>
      <c r="AF869" t="s">
        <v>72</v>
      </c>
      <c r="AG869">
        <v>34</v>
      </c>
      <c r="AH869" t="s">
        <v>236</v>
      </c>
      <c r="AI869" t="s">
        <v>74</v>
      </c>
      <c r="AJ869" t="s">
        <v>75</v>
      </c>
      <c r="AK869" t="s">
        <v>76</v>
      </c>
      <c r="AL869" t="s">
        <v>77</v>
      </c>
      <c r="AM869" t="s">
        <v>78</v>
      </c>
      <c r="AN869" t="s">
        <v>979</v>
      </c>
      <c r="AO869" t="s">
        <v>80</v>
      </c>
      <c r="AP869" t="e">
        <v>#N/A</v>
      </c>
      <c r="AQ869" t="s">
        <v>81</v>
      </c>
      <c r="AR869" t="str">
        <f t="shared" si="26"/>
        <v>60603857.STATAM</v>
      </c>
      <c r="AS869">
        <f t="shared" si="27"/>
        <v>7479694.5699999994</v>
      </c>
      <c r="AT869" t="s">
        <v>82</v>
      </c>
    </row>
    <row r="870" spans="1:46" x14ac:dyDescent="0.35">
      <c r="A870" t="s">
        <v>52</v>
      </c>
      <c r="B870" t="s">
        <v>53</v>
      </c>
      <c r="C870" t="s">
        <v>621</v>
      </c>
      <c r="D870" t="s">
        <v>55</v>
      </c>
      <c r="E870" t="s">
        <v>56</v>
      </c>
      <c r="F870" t="s">
        <v>2891</v>
      </c>
      <c r="G870" t="s">
        <v>2902</v>
      </c>
      <c r="H870" t="s">
        <v>59</v>
      </c>
      <c r="I870" t="s">
        <v>2903</v>
      </c>
      <c r="J870" t="s">
        <v>61</v>
      </c>
      <c r="K870" t="s">
        <v>62</v>
      </c>
      <c r="L870" t="s">
        <v>56</v>
      </c>
      <c r="M870" t="s">
        <v>56</v>
      </c>
      <c r="N870" t="s">
        <v>63</v>
      </c>
      <c r="O870" t="s">
        <v>974</v>
      </c>
      <c r="P870" t="s">
        <v>975</v>
      </c>
      <c r="Q870" t="s">
        <v>2904</v>
      </c>
      <c r="R870" t="s">
        <v>232</v>
      </c>
      <c r="S870">
        <v>3000000</v>
      </c>
      <c r="T870">
        <v>-47978107.450000003</v>
      </c>
      <c r="U870" t="s">
        <v>68</v>
      </c>
      <c r="V870" t="s">
        <v>2850</v>
      </c>
      <c r="W870" s="9">
        <v>60603857</v>
      </c>
      <c r="X870" t="s">
        <v>2909</v>
      </c>
      <c r="Y870" s="1">
        <v>45977</v>
      </c>
      <c r="Z870" s="1">
        <v>46067</v>
      </c>
      <c r="AA870" s="2">
        <v>1292223.48</v>
      </c>
      <c r="AB870" s="2">
        <v>1095104.6399999999</v>
      </c>
      <c r="AC870" s="2">
        <v>197118.84</v>
      </c>
      <c r="AD870" s="2">
        <v>1292223.48</v>
      </c>
      <c r="AE870" t="s">
        <v>2910</v>
      </c>
      <c r="AF870" t="s">
        <v>72</v>
      </c>
      <c r="AG870">
        <v>11</v>
      </c>
      <c r="AH870" t="s">
        <v>73</v>
      </c>
      <c r="AI870" t="s">
        <v>74</v>
      </c>
      <c r="AJ870" t="s">
        <v>75</v>
      </c>
      <c r="AK870" t="s">
        <v>76</v>
      </c>
      <c r="AL870" t="s">
        <v>77</v>
      </c>
      <c r="AM870" t="s">
        <v>78</v>
      </c>
      <c r="AN870" t="s">
        <v>979</v>
      </c>
      <c r="AO870" t="s">
        <v>80</v>
      </c>
      <c r="AP870" t="e">
        <v>#N/A</v>
      </c>
      <c r="AQ870" t="s">
        <v>81</v>
      </c>
      <c r="AR870" t="str">
        <f t="shared" si="26"/>
        <v>60603857.STATAM</v>
      </c>
      <c r="AS870">
        <f t="shared" si="27"/>
        <v>7479694.5699999994</v>
      </c>
      <c r="AT870" t="s">
        <v>82</v>
      </c>
    </row>
    <row r="871" spans="1:46" x14ac:dyDescent="0.35">
      <c r="A871" t="s">
        <v>52</v>
      </c>
      <c r="B871" t="s">
        <v>53</v>
      </c>
      <c r="C871" t="s">
        <v>621</v>
      </c>
      <c r="D871" t="s">
        <v>55</v>
      </c>
      <c r="E871" t="s">
        <v>56</v>
      </c>
      <c r="F871" t="s">
        <v>2891</v>
      </c>
      <c r="G871" t="s">
        <v>2902</v>
      </c>
      <c r="H871" t="s">
        <v>59</v>
      </c>
      <c r="I871" t="s">
        <v>2903</v>
      </c>
      <c r="J871" t="s">
        <v>61</v>
      </c>
      <c r="K871" t="s">
        <v>62</v>
      </c>
      <c r="L871" t="s">
        <v>56</v>
      </c>
      <c r="M871" t="s">
        <v>56</v>
      </c>
      <c r="N871" t="s">
        <v>63</v>
      </c>
      <c r="O871" t="s">
        <v>974</v>
      </c>
      <c r="P871" t="s">
        <v>975</v>
      </c>
      <c r="Q871" t="s">
        <v>2904</v>
      </c>
      <c r="R871" t="s">
        <v>232</v>
      </c>
      <c r="S871">
        <v>3000000</v>
      </c>
      <c r="T871">
        <v>-47978107.450000003</v>
      </c>
      <c r="U871" t="s">
        <v>68</v>
      </c>
      <c r="V871" t="s">
        <v>2850</v>
      </c>
      <c r="W871" s="9">
        <v>60603857</v>
      </c>
      <c r="X871" t="s">
        <v>2911</v>
      </c>
      <c r="Y871" s="1">
        <v>46008</v>
      </c>
      <c r="Z871" s="1">
        <v>46098</v>
      </c>
      <c r="AA871" s="2">
        <v>1642151.16</v>
      </c>
      <c r="AB871" s="2">
        <v>1391653.52</v>
      </c>
      <c r="AC871" s="2">
        <v>250497.64</v>
      </c>
      <c r="AD871" s="2">
        <v>1642151.16</v>
      </c>
      <c r="AE871" t="s">
        <v>2912</v>
      </c>
      <c r="AF871" t="s">
        <v>72</v>
      </c>
      <c r="AG871">
        <v>-20</v>
      </c>
      <c r="AH871" t="s">
        <v>117</v>
      </c>
      <c r="AI871" t="s">
        <v>74</v>
      </c>
      <c r="AJ871" t="s">
        <v>75</v>
      </c>
      <c r="AK871" t="s">
        <v>76</v>
      </c>
      <c r="AL871" t="s">
        <v>118</v>
      </c>
      <c r="AM871" t="s">
        <v>78</v>
      </c>
      <c r="AN871" t="s">
        <v>979</v>
      </c>
      <c r="AO871" t="s">
        <v>119</v>
      </c>
      <c r="AP871" t="e">
        <v>#N/A</v>
      </c>
      <c r="AQ871" t="s">
        <v>81</v>
      </c>
      <c r="AR871" t="str">
        <f t="shared" si="26"/>
        <v>60603857.STATAM</v>
      </c>
      <c r="AS871">
        <f t="shared" si="27"/>
        <v>7479694.5699999994</v>
      </c>
      <c r="AT871" t="s">
        <v>82</v>
      </c>
    </row>
    <row r="872" spans="1:46" x14ac:dyDescent="0.35">
      <c r="A872" t="s">
        <v>52</v>
      </c>
      <c r="B872" t="s">
        <v>53</v>
      </c>
      <c r="C872" t="s">
        <v>621</v>
      </c>
      <c r="D872" t="s">
        <v>55</v>
      </c>
      <c r="E872" t="s">
        <v>56</v>
      </c>
      <c r="F872" t="s">
        <v>2891</v>
      </c>
      <c r="G872" t="s">
        <v>2902</v>
      </c>
      <c r="H872" t="s">
        <v>59</v>
      </c>
      <c r="I872" t="s">
        <v>2903</v>
      </c>
      <c r="J872" t="s">
        <v>61</v>
      </c>
      <c r="K872" t="s">
        <v>62</v>
      </c>
      <c r="L872" t="s">
        <v>56</v>
      </c>
      <c r="M872" t="s">
        <v>56</v>
      </c>
      <c r="N872" t="s">
        <v>63</v>
      </c>
      <c r="O872" t="s">
        <v>974</v>
      </c>
      <c r="P872" t="s">
        <v>975</v>
      </c>
      <c r="Q872" t="s">
        <v>2904</v>
      </c>
      <c r="R872" t="s">
        <v>232</v>
      </c>
      <c r="S872">
        <v>3000000</v>
      </c>
      <c r="T872">
        <v>-47978107.450000003</v>
      </c>
      <c r="U872" t="s">
        <v>68</v>
      </c>
      <c r="V872" t="s">
        <v>2850</v>
      </c>
      <c r="W872" s="9">
        <v>60603857</v>
      </c>
      <c r="X872" t="s">
        <v>2913</v>
      </c>
      <c r="Y872" s="1">
        <v>46048</v>
      </c>
      <c r="Z872" s="1">
        <v>46138</v>
      </c>
      <c r="AA872" s="2">
        <v>1579208.44</v>
      </c>
      <c r="AB872" s="2">
        <v>1338312.24</v>
      </c>
      <c r="AC872" s="2">
        <v>240896.2</v>
      </c>
      <c r="AD872" s="2">
        <v>1579208.44</v>
      </c>
      <c r="AE872" t="s">
        <v>2914</v>
      </c>
      <c r="AF872" t="s">
        <v>72</v>
      </c>
      <c r="AG872">
        <v>-60</v>
      </c>
      <c r="AH872" t="s">
        <v>117</v>
      </c>
      <c r="AI872" t="s">
        <v>74</v>
      </c>
      <c r="AJ872" t="s">
        <v>75</v>
      </c>
      <c r="AK872" t="s">
        <v>76</v>
      </c>
      <c r="AL872" t="s">
        <v>118</v>
      </c>
      <c r="AM872" t="s">
        <v>78</v>
      </c>
      <c r="AN872" t="s">
        <v>979</v>
      </c>
      <c r="AO872" t="s">
        <v>119</v>
      </c>
      <c r="AP872" t="e">
        <v>#N/A</v>
      </c>
      <c r="AQ872" t="s">
        <v>81</v>
      </c>
      <c r="AR872" t="str">
        <f t="shared" si="26"/>
        <v>60603857.STATAM</v>
      </c>
      <c r="AS872">
        <f t="shared" si="27"/>
        <v>7479694.5699999994</v>
      </c>
      <c r="AT872" t="s">
        <v>82</v>
      </c>
    </row>
    <row r="873" spans="1:46" x14ac:dyDescent="0.35">
      <c r="A873" t="s">
        <v>52</v>
      </c>
      <c r="B873" t="s">
        <v>53</v>
      </c>
      <c r="C873" t="s">
        <v>621</v>
      </c>
      <c r="D873" t="s">
        <v>55</v>
      </c>
      <c r="E873" t="s">
        <v>56</v>
      </c>
      <c r="F873" t="s">
        <v>2891</v>
      </c>
      <c r="G873" t="s">
        <v>2902</v>
      </c>
      <c r="H873" t="s">
        <v>59</v>
      </c>
      <c r="I873" t="s">
        <v>2903</v>
      </c>
      <c r="J873" t="s">
        <v>61</v>
      </c>
      <c r="K873" t="s">
        <v>62</v>
      </c>
      <c r="L873" t="s">
        <v>56</v>
      </c>
      <c r="M873" t="s">
        <v>56</v>
      </c>
      <c r="N873" t="s">
        <v>63</v>
      </c>
      <c r="O873" t="s">
        <v>974</v>
      </c>
      <c r="P873" t="s">
        <v>975</v>
      </c>
      <c r="Q873" t="s">
        <v>2904</v>
      </c>
      <c r="R873" t="s">
        <v>232</v>
      </c>
      <c r="S873">
        <v>3000000</v>
      </c>
      <c r="T873">
        <v>-47978107.450000003</v>
      </c>
      <c r="U873" t="s">
        <v>68</v>
      </c>
      <c r="V873" t="s">
        <v>2850</v>
      </c>
      <c r="W873" s="9">
        <v>60603857</v>
      </c>
      <c r="X873" t="s">
        <v>2915</v>
      </c>
      <c r="Y873" s="1">
        <v>46072</v>
      </c>
      <c r="Z873" s="1">
        <v>46162</v>
      </c>
      <c r="AA873" s="2">
        <v>866683.62</v>
      </c>
      <c r="AB873" s="2">
        <v>734477.64</v>
      </c>
      <c r="AC873" s="2">
        <v>132205.98000000001</v>
      </c>
      <c r="AD873" s="2">
        <v>866683.62</v>
      </c>
      <c r="AE873" t="s">
        <v>2916</v>
      </c>
      <c r="AF873" t="s">
        <v>72</v>
      </c>
      <c r="AG873">
        <v>-84</v>
      </c>
      <c r="AH873" t="s">
        <v>117</v>
      </c>
      <c r="AI873" t="s">
        <v>74</v>
      </c>
      <c r="AJ873" t="s">
        <v>75</v>
      </c>
      <c r="AK873" t="s">
        <v>76</v>
      </c>
      <c r="AL873" t="s">
        <v>118</v>
      </c>
      <c r="AM873" t="s">
        <v>78</v>
      </c>
      <c r="AN873" t="s">
        <v>979</v>
      </c>
      <c r="AO873" t="s">
        <v>119</v>
      </c>
      <c r="AP873" t="e">
        <v>#N/A</v>
      </c>
      <c r="AQ873" t="s">
        <v>81</v>
      </c>
      <c r="AR873" t="str">
        <f t="shared" si="26"/>
        <v>60603857.STATAM</v>
      </c>
      <c r="AS873">
        <f t="shared" si="27"/>
        <v>7479694.5699999994</v>
      </c>
      <c r="AT873" t="s">
        <v>82</v>
      </c>
    </row>
    <row r="874" spans="1:46" x14ac:dyDescent="0.35">
      <c r="A874" t="s">
        <v>52</v>
      </c>
      <c r="B874" t="s">
        <v>53</v>
      </c>
      <c r="C874" t="s">
        <v>54</v>
      </c>
      <c r="D874" t="s">
        <v>55</v>
      </c>
      <c r="E874" t="s">
        <v>56</v>
      </c>
      <c r="F874" t="s">
        <v>2917</v>
      </c>
      <c r="G874" t="s">
        <v>2918</v>
      </c>
      <c r="H874" t="s">
        <v>59</v>
      </c>
      <c r="I874" t="s">
        <v>2919</v>
      </c>
      <c r="J874" t="s">
        <v>61</v>
      </c>
      <c r="K874" t="s">
        <v>62</v>
      </c>
      <c r="L874" t="s">
        <v>56</v>
      </c>
      <c r="M874" t="s">
        <v>56</v>
      </c>
      <c r="N874" t="s">
        <v>63</v>
      </c>
      <c r="O874" t="s">
        <v>974</v>
      </c>
      <c r="P874" t="s">
        <v>975</v>
      </c>
      <c r="Q874" t="s">
        <v>2920</v>
      </c>
      <c r="R874" t="s">
        <v>232</v>
      </c>
      <c r="S874">
        <v>3000000</v>
      </c>
      <c r="T874">
        <v>-2937044.08</v>
      </c>
      <c r="U874" t="s">
        <v>68</v>
      </c>
      <c r="V874" t="s">
        <v>2850</v>
      </c>
      <c r="W874" s="9">
        <v>60603975</v>
      </c>
      <c r="X874" t="s">
        <v>2921</v>
      </c>
      <c r="Y874" s="1">
        <v>45908</v>
      </c>
      <c r="Z874" s="1">
        <v>45998</v>
      </c>
      <c r="AA874" s="2">
        <v>1367651.72</v>
      </c>
      <c r="AB874" s="2">
        <v>1159026.8799999999</v>
      </c>
      <c r="AC874" s="2">
        <v>208624.84</v>
      </c>
      <c r="AD874" s="2">
        <v>505352.56</v>
      </c>
      <c r="AE874" t="s">
        <v>2922</v>
      </c>
      <c r="AF874" t="s">
        <v>72</v>
      </c>
      <c r="AG874">
        <v>80</v>
      </c>
      <c r="AH874" t="s">
        <v>260</v>
      </c>
      <c r="AI874" t="s">
        <v>74</v>
      </c>
      <c r="AJ874" t="s">
        <v>75</v>
      </c>
      <c r="AK874" t="s">
        <v>76</v>
      </c>
      <c r="AL874" t="s">
        <v>77</v>
      </c>
      <c r="AM874" t="s">
        <v>78</v>
      </c>
      <c r="AN874" t="s">
        <v>979</v>
      </c>
      <c r="AO874" t="s">
        <v>80</v>
      </c>
      <c r="AP874" t="e">
        <v>#N/A</v>
      </c>
      <c r="AQ874" t="s">
        <v>81</v>
      </c>
      <c r="AR874" t="str">
        <f t="shared" si="26"/>
        <v>60603975.STATAM</v>
      </c>
      <c r="AS874">
        <f t="shared" si="27"/>
        <v>5937044.080000001</v>
      </c>
      <c r="AT874" t="s">
        <v>82</v>
      </c>
    </row>
    <row r="875" spans="1:46" x14ac:dyDescent="0.35">
      <c r="A875" t="s">
        <v>52</v>
      </c>
      <c r="B875" t="s">
        <v>53</v>
      </c>
      <c r="C875" t="s">
        <v>54</v>
      </c>
      <c r="D875" t="s">
        <v>55</v>
      </c>
      <c r="E875" t="s">
        <v>56</v>
      </c>
      <c r="F875" t="s">
        <v>2917</v>
      </c>
      <c r="G875" t="s">
        <v>2918</v>
      </c>
      <c r="H875" t="s">
        <v>59</v>
      </c>
      <c r="I875" t="s">
        <v>2919</v>
      </c>
      <c r="J875" t="s">
        <v>61</v>
      </c>
      <c r="K875" t="s">
        <v>62</v>
      </c>
      <c r="L875" t="s">
        <v>56</v>
      </c>
      <c r="M875" t="s">
        <v>56</v>
      </c>
      <c r="N875" t="s">
        <v>63</v>
      </c>
      <c r="O875" t="s">
        <v>974</v>
      </c>
      <c r="P875" t="s">
        <v>975</v>
      </c>
      <c r="Q875" t="s">
        <v>2920</v>
      </c>
      <c r="R875" t="s">
        <v>232</v>
      </c>
      <c r="S875">
        <v>3000000</v>
      </c>
      <c r="T875">
        <v>-2937044.08</v>
      </c>
      <c r="U875" t="s">
        <v>68</v>
      </c>
      <c r="V875" t="s">
        <v>2850</v>
      </c>
      <c r="W875" s="9">
        <v>60603975</v>
      </c>
      <c r="X875" t="s">
        <v>2923</v>
      </c>
      <c r="Y875" s="1">
        <v>45947</v>
      </c>
      <c r="Z875" s="1">
        <v>46037</v>
      </c>
      <c r="AA875" s="2">
        <v>113789.42</v>
      </c>
      <c r="AB875" s="2">
        <v>96431.72</v>
      </c>
      <c r="AC875" s="2">
        <v>17357.7</v>
      </c>
      <c r="AD875" s="2">
        <v>113789.42</v>
      </c>
      <c r="AE875" t="s">
        <v>2924</v>
      </c>
      <c r="AF875" t="s">
        <v>72</v>
      </c>
      <c r="AG875">
        <v>41</v>
      </c>
      <c r="AH875" t="s">
        <v>236</v>
      </c>
      <c r="AI875" t="s">
        <v>74</v>
      </c>
      <c r="AJ875" t="s">
        <v>75</v>
      </c>
      <c r="AK875" t="s">
        <v>76</v>
      </c>
      <c r="AL875" t="s">
        <v>77</v>
      </c>
      <c r="AM875" t="s">
        <v>78</v>
      </c>
      <c r="AN875" t="s">
        <v>979</v>
      </c>
      <c r="AO875" t="s">
        <v>80</v>
      </c>
      <c r="AP875" t="e">
        <v>#N/A</v>
      </c>
      <c r="AQ875" t="s">
        <v>81</v>
      </c>
      <c r="AR875" t="str">
        <f t="shared" si="26"/>
        <v>60603975.STATAM</v>
      </c>
      <c r="AS875">
        <f t="shared" si="27"/>
        <v>5937044.080000001</v>
      </c>
      <c r="AT875" t="s">
        <v>82</v>
      </c>
    </row>
    <row r="876" spans="1:46" x14ac:dyDescent="0.35">
      <c r="A876" t="s">
        <v>52</v>
      </c>
      <c r="B876" t="s">
        <v>53</v>
      </c>
      <c r="C876" t="s">
        <v>54</v>
      </c>
      <c r="D876" t="s">
        <v>55</v>
      </c>
      <c r="E876" t="s">
        <v>56</v>
      </c>
      <c r="F876" t="s">
        <v>2917</v>
      </c>
      <c r="G876" t="s">
        <v>2918</v>
      </c>
      <c r="H876" t="s">
        <v>59</v>
      </c>
      <c r="I876" t="s">
        <v>2919</v>
      </c>
      <c r="J876" t="s">
        <v>61</v>
      </c>
      <c r="K876" t="s">
        <v>62</v>
      </c>
      <c r="L876" t="s">
        <v>56</v>
      </c>
      <c r="M876" t="s">
        <v>56</v>
      </c>
      <c r="N876" t="s">
        <v>63</v>
      </c>
      <c r="O876" t="s">
        <v>974</v>
      </c>
      <c r="P876" t="s">
        <v>975</v>
      </c>
      <c r="Q876" t="s">
        <v>2920</v>
      </c>
      <c r="R876" t="s">
        <v>232</v>
      </c>
      <c r="S876">
        <v>3000000</v>
      </c>
      <c r="T876">
        <v>-2937044.08</v>
      </c>
      <c r="U876" t="s">
        <v>68</v>
      </c>
      <c r="V876" t="s">
        <v>2850</v>
      </c>
      <c r="W876" s="9">
        <v>60603975</v>
      </c>
      <c r="X876" t="s">
        <v>2925</v>
      </c>
      <c r="Y876" s="1">
        <v>45967</v>
      </c>
      <c r="Z876" s="1">
        <v>46057</v>
      </c>
      <c r="AA876" s="2">
        <v>1753726.76</v>
      </c>
      <c r="AB876" s="2">
        <v>1486209.12</v>
      </c>
      <c r="AC876" s="2">
        <v>267517.64</v>
      </c>
      <c r="AD876" s="2">
        <v>1753726.76</v>
      </c>
      <c r="AE876" t="s">
        <v>2926</v>
      </c>
      <c r="AF876" t="s">
        <v>72</v>
      </c>
      <c r="AG876">
        <v>21</v>
      </c>
      <c r="AH876" t="s">
        <v>73</v>
      </c>
      <c r="AI876" t="s">
        <v>74</v>
      </c>
      <c r="AJ876" t="s">
        <v>75</v>
      </c>
      <c r="AK876" t="s">
        <v>76</v>
      </c>
      <c r="AL876" t="s">
        <v>77</v>
      </c>
      <c r="AM876" t="s">
        <v>78</v>
      </c>
      <c r="AN876" t="s">
        <v>979</v>
      </c>
      <c r="AO876" t="s">
        <v>80</v>
      </c>
      <c r="AP876" t="e">
        <v>#N/A</v>
      </c>
      <c r="AQ876" t="s">
        <v>81</v>
      </c>
      <c r="AR876" t="str">
        <f t="shared" si="26"/>
        <v>60603975.STATAM</v>
      </c>
      <c r="AS876">
        <f t="shared" si="27"/>
        <v>5937044.080000001</v>
      </c>
      <c r="AT876" t="s">
        <v>82</v>
      </c>
    </row>
    <row r="877" spans="1:46" x14ac:dyDescent="0.35">
      <c r="A877" t="s">
        <v>52</v>
      </c>
      <c r="B877" t="s">
        <v>53</v>
      </c>
      <c r="C877" t="s">
        <v>54</v>
      </c>
      <c r="D877" t="s">
        <v>55</v>
      </c>
      <c r="E877" t="s">
        <v>56</v>
      </c>
      <c r="F877" t="s">
        <v>2917</v>
      </c>
      <c r="G877" t="s">
        <v>2918</v>
      </c>
      <c r="H877" t="s">
        <v>59</v>
      </c>
      <c r="I877" t="s">
        <v>2919</v>
      </c>
      <c r="J877" t="s">
        <v>61</v>
      </c>
      <c r="K877" t="s">
        <v>62</v>
      </c>
      <c r="L877" t="s">
        <v>56</v>
      </c>
      <c r="M877" t="s">
        <v>56</v>
      </c>
      <c r="N877" t="s">
        <v>63</v>
      </c>
      <c r="O877" t="s">
        <v>974</v>
      </c>
      <c r="P877" t="s">
        <v>975</v>
      </c>
      <c r="Q877" t="s">
        <v>2920</v>
      </c>
      <c r="R877" t="s">
        <v>232</v>
      </c>
      <c r="S877">
        <v>3000000</v>
      </c>
      <c r="T877">
        <v>-2937044.08</v>
      </c>
      <c r="U877" t="s">
        <v>68</v>
      </c>
      <c r="V877" t="s">
        <v>2850</v>
      </c>
      <c r="W877" s="9">
        <v>60603975</v>
      </c>
      <c r="X877" t="s">
        <v>2927</v>
      </c>
      <c r="Y877" s="1">
        <v>45999</v>
      </c>
      <c r="Z877" s="1">
        <v>46089</v>
      </c>
      <c r="AA877" s="2">
        <v>1829681.56</v>
      </c>
      <c r="AB877" s="2">
        <v>1550577.6</v>
      </c>
      <c r="AC877" s="2">
        <v>279103.96000000002</v>
      </c>
      <c r="AD877" s="2">
        <v>1829681.56</v>
      </c>
      <c r="AE877" t="s">
        <v>2928</v>
      </c>
      <c r="AF877" t="s">
        <v>72</v>
      </c>
      <c r="AG877">
        <v>-11</v>
      </c>
      <c r="AH877" t="s">
        <v>117</v>
      </c>
      <c r="AI877" t="s">
        <v>74</v>
      </c>
      <c r="AJ877" t="s">
        <v>75</v>
      </c>
      <c r="AK877" t="s">
        <v>76</v>
      </c>
      <c r="AL877" t="s">
        <v>118</v>
      </c>
      <c r="AM877" t="s">
        <v>78</v>
      </c>
      <c r="AN877" t="s">
        <v>979</v>
      </c>
      <c r="AO877" t="s">
        <v>119</v>
      </c>
      <c r="AP877" t="e">
        <v>#N/A</v>
      </c>
      <c r="AQ877" t="s">
        <v>81</v>
      </c>
      <c r="AR877" t="str">
        <f t="shared" si="26"/>
        <v>60603975.STATAM</v>
      </c>
      <c r="AS877">
        <f t="shared" si="27"/>
        <v>5937044.080000001</v>
      </c>
      <c r="AT877" t="s">
        <v>82</v>
      </c>
    </row>
    <row r="878" spans="1:46" x14ac:dyDescent="0.35">
      <c r="A878" t="s">
        <v>52</v>
      </c>
      <c r="B878" t="s">
        <v>53</v>
      </c>
      <c r="C878" t="s">
        <v>54</v>
      </c>
      <c r="D878" t="s">
        <v>55</v>
      </c>
      <c r="E878" t="s">
        <v>56</v>
      </c>
      <c r="F878" t="s">
        <v>2917</v>
      </c>
      <c r="G878" t="s">
        <v>2918</v>
      </c>
      <c r="H878" t="s">
        <v>59</v>
      </c>
      <c r="I878" t="s">
        <v>2919</v>
      </c>
      <c r="J878" t="s">
        <v>61</v>
      </c>
      <c r="K878" t="s">
        <v>62</v>
      </c>
      <c r="L878" t="s">
        <v>56</v>
      </c>
      <c r="M878" t="s">
        <v>56</v>
      </c>
      <c r="N878" t="s">
        <v>63</v>
      </c>
      <c r="O878" t="s">
        <v>974</v>
      </c>
      <c r="P878" t="s">
        <v>975</v>
      </c>
      <c r="Q878" t="s">
        <v>2920</v>
      </c>
      <c r="R878" t="s">
        <v>232</v>
      </c>
      <c r="S878">
        <v>3000000</v>
      </c>
      <c r="T878">
        <v>-2937044.08</v>
      </c>
      <c r="U878" t="s">
        <v>68</v>
      </c>
      <c r="V878" t="s">
        <v>2850</v>
      </c>
      <c r="W878" s="9">
        <v>60603975</v>
      </c>
      <c r="X878" t="s">
        <v>2929</v>
      </c>
      <c r="Y878" s="1">
        <v>46028</v>
      </c>
      <c r="Z878" s="1">
        <v>46118</v>
      </c>
      <c r="AA878" s="2">
        <v>1734493.78</v>
      </c>
      <c r="AB878" s="2">
        <v>1469909.98</v>
      </c>
      <c r="AC878" s="2">
        <v>264583.8</v>
      </c>
      <c r="AD878" s="2">
        <v>1734493.78</v>
      </c>
      <c r="AE878" t="s">
        <v>2930</v>
      </c>
      <c r="AF878" t="s">
        <v>72</v>
      </c>
      <c r="AG878">
        <v>-40</v>
      </c>
      <c r="AH878" t="s">
        <v>117</v>
      </c>
      <c r="AI878" t="s">
        <v>74</v>
      </c>
      <c r="AJ878" t="s">
        <v>75</v>
      </c>
      <c r="AK878" t="s">
        <v>76</v>
      </c>
      <c r="AL878" t="s">
        <v>118</v>
      </c>
      <c r="AM878" t="s">
        <v>78</v>
      </c>
      <c r="AN878" t="s">
        <v>979</v>
      </c>
      <c r="AO878" t="s">
        <v>119</v>
      </c>
      <c r="AP878" t="e">
        <v>#N/A</v>
      </c>
      <c r="AQ878" t="s">
        <v>81</v>
      </c>
      <c r="AR878" t="str">
        <f t="shared" si="26"/>
        <v>60603975.STATAM</v>
      </c>
      <c r="AS878">
        <f t="shared" si="27"/>
        <v>5937044.080000001</v>
      </c>
      <c r="AT878" t="s">
        <v>82</v>
      </c>
    </row>
    <row r="879" spans="1:46" x14ac:dyDescent="0.35">
      <c r="A879" t="s">
        <v>52</v>
      </c>
      <c r="B879" t="s">
        <v>53</v>
      </c>
      <c r="C879" t="s">
        <v>54</v>
      </c>
      <c r="D879" t="s">
        <v>55</v>
      </c>
      <c r="E879" t="s">
        <v>56</v>
      </c>
      <c r="F879" t="s">
        <v>2931</v>
      </c>
      <c r="G879" t="s">
        <v>2932</v>
      </c>
      <c r="H879" t="s">
        <v>59</v>
      </c>
      <c r="I879" t="s">
        <v>2933</v>
      </c>
      <c r="J879" t="s">
        <v>61</v>
      </c>
      <c r="K879" t="s">
        <v>62</v>
      </c>
      <c r="L879" t="s">
        <v>56</v>
      </c>
      <c r="M879" t="s">
        <v>56</v>
      </c>
      <c r="N879" t="s">
        <v>63</v>
      </c>
      <c r="O879" t="s">
        <v>974</v>
      </c>
      <c r="P879" t="s">
        <v>975</v>
      </c>
      <c r="Q879" t="s">
        <v>2934</v>
      </c>
      <c r="R879" t="s">
        <v>232</v>
      </c>
      <c r="S879">
        <v>4500000</v>
      </c>
      <c r="T879">
        <v>-1252043.8999999999</v>
      </c>
      <c r="U879" t="s">
        <v>68</v>
      </c>
      <c r="V879" t="s">
        <v>2850</v>
      </c>
      <c r="W879" s="9">
        <v>60604123</v>
      </c>
      <c r="X879" t="s">
        <v>2935</v>
      </c>
      <c r="Y879" s="1">
        <v>45891</v>
      </c>
      <c r="Z879" s="1">
        <v>45981</v>
      </c>
      <c r="AA879" s="2">
        <v>964866.74</v>
      </c>
      <c r="AB879" s="2">
        <v>817683.68</v>
      </c>
      <c r="AC879" s="2">
        <v>147183.06</v>
      </c>
      <c r="AD879" s="2">
        <v>45816.84</v>
      </c>
      <c r="AE879" t="s">
        <v>2936</v>
      </c>
      <c r="AF879" t="s">
        <v>72</v>
      </c>
      <c r="AG879">
        <v>97</v>
      </c>
      <c r="AH879" t="s">
        <v>91</v>
      </c>
      <c r="AI879" t="s">
        <v>74</v>
      </c>
      <c r="AJ879" t="s">
        <v>75</v>
      </c>
      <c r="AK879" t="s">
        <v>76</v>
      </c>
      <c r="AL879" t="s">
        <v>77</v>
      </c>
      <c r="AM879" t="s">
        <v>78</v>
      </c>
      <c r="AN879" t="s">
        <v>979</v>
      </c>
      <c r="AO879" t="s">
        <v>80</v>
      </c>
      <c r="AP879" t="e">
        <v>#N/A</v>
      </c>
      <c r="AQ879" t="s">
        <v>81</v>
      </c>
      <c r="AR879" t="str">
        <f t="shared" si="26"/>
        <v>60604123.STATAM</v>
      </c>
      <c r="AS879">
        <f t="shared" si="27"/>
        <v>5752043.8999999994</v>
      </c>
      <c r="AT879" t="s">
        <v>82</v>
      </c>
    </row>
    <row r="880" spans="1:46" x14ac:dyDescent="0.35">
      <c r="A880" t="s">
        <v>52</v>
      </c>
      <c r="B880" t="s">
        <v>53</v>
      </c>
      <c r="C880" t="s">
        <v>54</v>
      </c>
      <c r="D880" t="s">
        <v>55</v>
      </c>
      <c r="E880" t="s">
        <v>56</v>
      </c>
      <c r="F880" t="s">
        <v>2931</v>
      </c>
      <c r="G880" t="s">
        <v>2932</v>
      </c>
      <c r="H880" t="s">
        <v>59</v>
      </c>
      <c r="I880" t="s">
        <v>2933</v>
      </c>
      <c r="J880" t="s">
        <v>61</v>
      </c>
      <c r="K880" t="s">
        <v>62</v>
      </c>
      <c r="L880" t="s">
        <v>56</v>
      </c>
      <c r="M880" t="s">
        <v>56</v>
      </c>
      <c r="N880" t="s">
        <v>63</v>
      </c>
      <c r="O880" t="s">
        <v>974</v>
      </c>
      <c r="P880" t="s">
        <v>975</v>
      </c>
      <c r="Q880" t="s">
        <v>2934</v>
      </c>
      <c r="R880" t="s">
        <v>232</v>
      </c>
      <c r="S880">
        <v>4500000</v>
      </c>
      <c r="T880">
        <v>-1252043.8999999999</v>
      </c>
      <c r="U880" t="s">
        <v>68</v>
      </c>
      <c r="V880" t="s">
        <v>2850</v>
      </c>
      <c r="W880" s="9">
        <v>60604123</v>
      </c>
      <c r="X880" t="s">
        <v>2937</v>
      </c>
      <c r="Y880" s="1">
        <v>45923</v>
      </c>
      <c r="Z880" s="1">
        <v>46013</v>
      </c>
      <c r="AA880" s="2">
        <v>329367.26</v>
      </c>
      <c r="AB880" s="2">
        <v>279124.8</v>
      </c>
      <c r="AC880" s="2">
        <v>50242.46</v>
      </c>
      <c r="AD880" s="2">
        <v>329367.26</v>
      </c>
      <c r="AE880" t="s">
        <v>2938</v>
      </c>
      <c r="AF880" t="s">
        <v>72</v>
      </c>
      <c r="AG880">
        <v>65</v>
      </c>
      <c r="AH880" t="s">
        <v>260</v>
      </c>
      <c r="AI880" t="s">
        <v>74</v>
      </c>
      <c r="AJ880" t="s">
        <v>75</v>
      </c>
      <c r="AK880" t="s">
        <v>76</v>
      </c>
      <c r="AL880" t="s">
        <v>77</v>
      </c>
      <c r="AM880" t="s">
        <v>78</v>
      </c>
      <c r="AN880" t="s">
        <v>979</v>
      </c>
      <c r="AO880" t="s">
        <v>80</v>
      </c>
      <c r="AP880" t="e">
        <v>#N/A</v>
      </c>
      <c r="AQ880" t="s">
        <v>81</v>
      </c>
      <c r="AR880" t="str">
        <f t="shared" si="26"/>
        <v>60604123.STATAM</v>
      </c>
      <c r="AS880">
        <f t="shared" si="27"/>
        <v>5752043.8999999994</v>
      </c>
      <c r="AT880" t="s">
        <v>82</v>
      </c>
    </row>
    <row r="881" spans="1:46" x14ac:dyDescent="0.35">
      <c r="A881" t="s">
        <v>52</v>
      </c>
      <c r="B881" t="s">
        <v>53</v>
      </c>
      <c r="C881" t="s">
        <v>54</v>
      </c>
      <c r="D881" t="s">
        <v>55</v>
      </c>
      <c r="E881" t="s">
        <v>56</v>
      </c>
      <c r="F881" t="s">
        <v>2931</v>
      </c>
      <c r="G881" t="s">
        <v>2932</v>
      </c>
      <c r="H881" t="s">
        <v>59</v>
      </c>
      <c r="I881" t="s">
        <v>2933</v>
      </c>
      <c r="J881" t="s">
        <v>61</v>
      </c>
      <c r="K881" t="s">
        <v>62</v>
      </c>
      <c r="L881" t="s">
        <v>56</v>
      </c>
      <c r="M881" t="s">
        <v>56</v>
      </c>
      <c r="N881" t="s">
        <v>63</v>
      </c>
      <c r="O881" t="s">
        <v>974</v>
      </c>
      <c r="P881" t="s">
        <v>975</v>
      </c>
      <c r="Q881" t="s">
        <v>2934</v>
      </c>
      <c r="R881" t="s">
        <v>232</v>
      </c>
      <c r="S881">
        <v>4500000</v>
      </c>
      <c r="T881">
        <v>-1252043.8999999999</v>
      </c>
      <c r="U881" t="s">
        <v>68</v>
      </c>
      <c r="V881" t="s">
        <v>2850</v>
      </c>
      <c r="W881" s="9">
        <v>60604123</v>
      </c>
      <c r="X881" t="s">
        <v>2939</v>
      </c>
      <c r="Y881" s="1">
        <v>45946</v>
      </c>
      <c r="Z881" s="1">
        <v>46036</v>
      </c>
      <c r="AA881" s="2">
        <v>590427.06000000006</v>
      </c>
      <c r="AB881" s="2">
        <v>500361.92</v>
      </c>
      <c r="AC881" s="2">
        <v>90065.14</v>
      </c>
      <c r="AD881" s="2">
        <v>590427.06000000006</v>
      </c>
      <c r="AE881" t="s">
        <v>2940</v>
      </c>
      <c r="AF881" t="s">
        <v>72</v>
      </c>
      <c r="AG881">
        <v>42</v>
      </c>
      <c r="AH881" t="s">
        <v>236</v>
      </c>
      <c r="AI881" t="s">
        <v>74</v>
      </c>
      <c r="AJ881" t="s">
        <v>75</v>
      </c>
      <c r="AK881" t="s">
        <v>76</v>
      </c>
      <c r="AL881" t="s">
        <v>77</v>
      </c>
      <c r="AM881" t="s">
        <v>78</v>
      </c>
      <c r="AN881" t="s">
        <v>979</v>
      </c>
      <c r="AO881" t="s">
        <v>80</v>
      </c>
      <c r="AP881" t="e">
        <v>#N/A</v>
      </c>
      <c r="AQ881" t="s">
        <v>81</v>
      </c>
      <c r="AR881" t="str">
        <f t="shared" si="26"/>
        <v>60604123.STATAM</v>
      </c>
      <c r="AS881">
        <f t="shared" si="27"/>
        <v>5752043.8999999994</v>
      </c>
      <c r="AT881" t="s">
        <v>82</v>
      </c>
    </row>
    <row r="882" spans="1:46" x14ac:dyDescent="0.35">
      <c r="A882" t="s">
        <v>52</v>
      </c>
      <c r="B882" t="s">
        <v>53</v>
      </c>
      <c r="C882" t="s">
        <v>54</v>
      </c>
      <c r="D882" t="s">
        <v>55</v>
      </c>
      <c r="E882" t="s">
        <v>56</v>
      </c>
      <c r="F882" t="s">
        <v>2931</v>
      </c>
      <c r="G882" t="s">
        <v>2932</v>
      </c>
      <c r="H882" t="s">
        <v>59</v>
      </c>
      <c r="I882" t="s">
        <v>2933</v>
      </c>
      <c r="J882" t="s">
        <v>61</v>
      </c>
      <c r="K882" t="s">
        <v>62</v>
      </c>
      <c r="L882" t="s">
        <v>56</v>
      </c>
      <c r="M882" t="s">
        <v>56</v>
      </c>
      <c r="N882" t="s">
        <v>63</v>
      </c>
      <c r="O882" t="s">
        <v>974</v>
      </c>
      <c r="P882" t="s">
        <v>975</v>
      </c>
      <c r="Q882" t="s">
        <v>2934</v>
      </c>
      <c r="R882" t="s">
        <v>232</v>
      </c>
      <c r="S882">
        <v>4500000</v>
      </c>
      <c r="T882">
        <v>-1252043.8999999999</v>
      </c>
      <c r="U882" t="s">
        <v>68</v>
      </c>
      <c r="V882" t="s">
        <v>2850</v>
      </c>
      <c r="W882" s="9">
        <v>60604123</v>
      </c>
      <c r="X882" t="s">
        <v>2941</v>
      </c>
      <c r="Y882" s="1">
        <v>45975</v>
      </c>
      <c r="Z882" s="1">
        <v>46065</v>
      </c>
      <c r="AA882" s="2">
        <v>501865.24</v>
      </c>
      <c r="AB882" s="2">
        <v>425309.52</v>
      </c>
      <c r="AC882" s="2">
        <v>76555.72</v>
      </c>
      <c r="AD882" s="2">
        <v>501865.24</v>
      </c>
      <c r="AE882" t="s">
        <v>2942</v>
      </c>
      <c r="AF882" t="s">
        <v>72</v>
      </c>
      <c r="AG882">
        <v>13</v>
      </c>
      <c r="AH882" t="s">
        <v>73</v>
      </c>
      <c r="AI882" t="s">
        <v>74</v>
      </c>
      <c r="AJ882" t="s">
        <v>75</v>
      </c>
      <c r="AK882" t="s">
        <v>76</v>
      </c>
      <c r="AL882" t="s">
        <v>77</v>
      </c>
      <c r="AM882" t="s">
        <v>78</v>
      </c>
      <c r="AN882" t="s">
        <v>979</v>
      </c>
      <c r="AO882" t="s">
        <v>80</v>
      </c>
      <c r="AP882" t="e">
        <v>#N/A</v>
      </c>
      <c r="AQ882" t="s">
        <v>81</v>
      </c>
      <c r="AR882" t="str">
        <f t="shared" si="26"/>
        <v>60604123.STATAM</v>
      </c>
      <c r="AS882">
        <f t="shared" si="27"/>
        <v>5752043.8999999994</v>
      </c>
      <c r="AT882" t="s">
        <v>82</v>
      </c>
    </row>
    <row r="883" spans="1:46" x14ac:dyDescent="0.35">
      <c r="A883" t="s">
        <v>52</v>
      </c>
      <c r="B883" t="s">
        <v>53</v>
      </c>
      <c r="C883" t="s">
        <v>54</v>
      </c>
      <c r="D883" t="s">
        <v>55</v>
      </c>
      <c r="E883" t="s">
        <v>56</v>
      </c>
      <c r="F883" t="s">
        <v>2931</v>
      </c>
      <c r="G883" t="s">
        <v>2932</v>
      </c>
      <c r="H883" t="s">
        <v>59</v>
      </c>
      <c r="I883" t="s">
        <v>2933</v>
      </c>
      <c r="J883" t="s">
        <v>61</v>
      </c>
      <c r="K883" t="s">
        <v>62</v>
      </c>
      <c r="L883" t="s">
        <v>56</v>
      </c>
      <c r="M883" t="s">
        <v>56</v>
      </c>
      <c r="N883" t="s">
        <v>63</v>
      </c>
      <c r="O883" t="s">
        <v>974</v>
      </c>
      <c r="P883" t="s">
        <v>975</v>
      </c>
      <c r="Q883" t="s">
        <v>2934</v>
      </c>
      <c r="R883" t="s">
        <v>232</v>
      </c>
      <c r="S883">
        <v>4500000</v>
      </c>
      <c r="T883">
        <v>-1252043.8999999999</v>
      </c>
      <c r="U883" t="s">
        <v>68</v>
      </c>
      <c r="V883" t="s">
        <v>2850</v>
      </c>
      <c r="W883" s="9">
        <v>60604123</v>
      </c>
      <c r="X883" t="s">
        <v>2943</v>
      </c>
      <c r="Y883" s="1">
        <v>46000</v>
      </c>
      <c r="Z883" s="1">
        <v>46090</v>
      </c>
      <c r="AA883" s="2">
        <v>1237027.6000000001</v>
      </c>
      <c r="AB883" s="2">
        <v>1048328.48</v>
      </c>
      <c r="AC883" s="2">
        <v>188699.12</v>
      </c>
      <c r="AD883" s="2">
        <v>1237027.6000000001</v>
      </c>
      <c r="AE883" t="s">
        <v>2944</v>
      </c>
      <c r="AF883" t="s">
        <v>72</v>
      </c>
      <c r="AG883">
        <v>-12</v>
      </c>
      <c r="AH883" t="s">
        <v>117</v>
      </c>
      <c r="AI883" t="s">
        <v>74</v>
      </c>
      <c r="AJ883" t="s">
        <v>75</v>
      </c>
      <c r="AK883" t="s">
        <v>76</v>
      </c>
      <c r="AL883" t="s">
        <v>118</v>
      </c>
      <c r="AM883" t="s">
        <v>78</v>
      </c>
      <c r="AN883" t="s">
        <v>979</v>
      </c>
      <c r="AO883" t="s">
        <v>119</v>
      </c>
      <c r="AP883" t="e">
        <v>#N/A</v>
      </c>
      <c r="AQ883" t="s">
        <v>81</v>
      </c>
      <c r="AR883" t="str">
        <f t="shared" si="26"/>
        <v>60604123.STATAM</v>
      </c>
      <c r="AS883">
        <f t="shared" si="27"/>
        <v>5752043.8999999994</v>
      </c>
      <c r="AT883" t="s">
        <v>82</v>
      </c>
    </row>
    <row r="884" spans="1:46" x14ac:dyDescent="0.35">
      <c r="A884" t="s">
        <v>52</v>
      </c>
      <c r="B884" t="s">
        <v>53</v>
      </c>
      <c r="C884" t="s">
        <v>54</v>
      </c>
      <c r="D884" t="s">
        <v>55</v>
      </c>
      <c r="E884" t="s">
        <v>56</v>
      </c>
      <c r="F884" t="s">
        <v>2931</v>
      </c>
      <c r="G884" t="s">
        <v>2932</v>
      </c>
      <c r="H884" t="s">
        <v>59</v>
      </c>
      <c r="I884" t="s">
        <v>2933</v>
      </c>
      <c r="J884" t="s">
        <v>61</v>
      </c>
      <c r="K884" t="s">
        <v>62</v>
      </c>
      <c r="L884" t="s">
        <v>56</v>
      </c>
      <c r="M884" t="s">
        <v>56</v>
      </c>
      <c r="N884" t="s">
        <v>63</v>
      </c>
      <c r="O884" t="s">
        <v>974</v>
      </c>
      <c r="P884" t="s">
        <v>975</v>
      </c>
      <c r="Q884" t="s">
        <v>2934</v>
      </c>
      <c r="R884" t="s">
        <v>232</v>
      </c>
      <c r="S884">
        <v>4500000</v>
      </c>
      <c r="T884">
        <v>-1252043.8999999999</v>
      </c>
      <c r="U884" t="s">
        <v>68</v>
      </c>
      <c r="V884" t="s">
        <v>2850</v>
      </c>
      <c r="W884" s="9">
        <v>60604123</v>
      </c>
      <c r="X884" t="s">
        <v>2945</v>
      </c>
      <c r="Y884" s="1">
        <v>46048</v>
      </c>
      <c r="Z884" s="1">
        <v>46138</v>
      </c>
      <c r="AA884" s="2">
        <v>2040015.02</v>
      </c>
      <c r="AB884" s="2">
        <v>1728826.28</v>
      </c>
      <c r="AC884" s="2">
        <v>311188.74</v>
      </c>
      <c r="AD884" s="2">
        <v>2040015.02</v>
      </c>
      <c r="AE884" t="s">
        <v>2946</v>
      </c>
      <c r="AF884" t="s">
        <v>72</v>
      </c>
      <c r="AG884">
        <v>-60</v>
      </c>
      <c r="AH884" t="s">
        <v>117</v>
      </c>
      <c r="AI884" t="s">
        <v>74</v>
      </c>
      <c r="AJ884" t="s">
        <v>75</v>
      </c>
      <c r="AK884" t="s">
        <v>76</v>
      </c>
      <c r="AL884" t="s">
        <v>118</v>
      </c>
      <c r="AM884" t="s">
        <v>78</v>
      </c>
      <c r="AN884" t="s">
        <v>979</v>
      </c>
      <c r="AO884" t="s">
        <v>119</v>
      </c>
      <c r="AP884" t="e">
        <v>#N/A</v>
      </c>
      <c r="AQ884" t="s">
        <v>81</v>
      </c>
      <c r="AR884" t="str">
        <f t="shared" si="26"/>
        <v>60604123.STATAM</v>
      </c>
      <c r="AS884">
        <f t="shared" si="27"/>
        <v>5752043.8999999994</v>
      </c>
      <c r="AT884" t="s">
        <v>82</v>
      </c>
    </row>
    <row r="885" spans="1:46" x14ac:dyDescent="0.35">
      <c r="A885" t="s">
        <v>52</v>
      </c>
      <c r="B885" t="s">
        <v>53</v>
      </c>
      <c r="C885" t="s">
        <v>54</v>
      </c>
      <c r="D885" t="s">
        <v>55</v>
      </c>
      <c r="E885" t="s">
        <v>56</v>
      </c>
      <c r="F885" t="s">
        <v>2931</v>
      </c>
      <c r="G885" t="s">
        <v>2932</v>
      </c>
      <c r="H885" t="s">
        <v>59</v>
      </c>
      <c r="I885" t="s">
        <v>2933</v>
      </c>
      <c r="J885" t="s">
        <v>61</v>
      </c>
      <c r="K885" t="s">
        <v>62</v>
      </c>
      <c r="L885" t="s">
        <v>56</v>
      </c>
      <c r="M885" t="s">
        <v>56</v>
      </c>
      <c r="N885" t="s">
        <v>63</v>
      </c>
      <c r="O885" t="s">
        <v>974</v>
      </c>
      <c r="P885" t="s">
        <v>975</v>
      </c>
      <c r="Q885" t="s">
        <v>2934</v>
      </c>
      <c r="R885" t="s">
        <v>232</v>
      </c>
      <c r="S885">
        <v>4500000</v>
      </c>
      <c r="T885">
        <v>-1252043.8999999999</v>
      </c>
      <c r="U885" t="s">
        <v>68</v>
      </c>
      <c r="V885" t="s">
        <v>2850</v>
      </c>
      <c r="W885" s="9">
        <v>60604123</v>
      </c>
      <c r="X885" t="s">
        <v>2947</v>
      </c>
      <c r="Y885" s="1">
        <v>46073</v>
      </c>
      <c r="Z885" s="1">
        <v>46163</v>
      </c>
      <c r="AA885" s="2">
        <v>1007524.88</v>
      </c>
      <c r="AB885" s="2">
        <v>853834.64</v>
      </c>
      <c r="AC885" s="2">
        <v>153690.23999999999</v>
      </c>
      <c r="AD885" s="2">
        <v>1007524.88</v>
      </c>
      <c r="AE885" t="s">
        <v>2948</v>
      </c>
      <c r="AF885" t="s">
        <v>72</v>
      </c>
      <c r="AG885">
        <v>-85</v>
      </c>
      <c r="AH885" t="s">
        <v>117</v>
      </c>
      <c r="AI885" t="s">
        <v>74</v>
      </c>
      <c r="AJ885" t="s">
        <v>75</v>
      </c>
      <c r="AK885" t="s">
        <v>76</v>
      </c>
      <c r="AL885" t="s">
        <v>118</v>
      </c>
      <c r="AM885" t="s">
        <v>78</v>
      </c>
      <c r="AN885" t="s">
        <v>979</v>
      </c>
      <c r="AO885" t="s">
        <v>119</v>
      </c>
      <c r="AP885" t="e">
        <v>#N/A</v>
      </c>
      <c r="AQ885" t="s">
        <v>81</v>
      </c>
      <c r="AR885" t="str">
        <f t="shared" si="26"/>
        <v>60604123.STATAM</v>
      </c>
      <c r="AS885">
        <f t="shared" si="27"/>
        <v>5752043.8999999994</v>
      </c>
      <c r="AT885" t="s">
        <v>82</v>
      </c>
    </row>
    <row r="886" spans="1:46" x14ac:dyDescent="0.35">
      <c r="A886" t="s">
        <v>52</v>
      </c>
      <c r="B886" t="s">
        <v>53</v>
      </c>
      <c r="C886" t="s">
        <v>1223</v>
      </c>
      <c r="D886" t="s">
        <v>55</v>
      </c>
      <c r="E886" t="s">
        <v>56</v>
      </c>
      <c r="F886" t="s">
        <v>2949</v>
      </c>
      <c r="G886" t="s">
        <v>2950</v>
      </c>
      <c r="H886" t="s">
        <v>56</v>
      </c>
      <c r="I886" t="s">
        <v>2951</v>
      </c>
      <c r="J886" t="s">
        <v>61</v>
      </c>
      <c r="K886" t="s">
        <v>62</v>
      </c>
      <c r="L886" t="s">
        <v>56</v>
      </c>
      <c r="M886" t="s">
        <v>56</v>
      </c>
      <c r="N886" t="s">
        <v>477</v>
      </c>
      <c r="O886" t="s">
        <v>974</v>
      </c>
      <c r="P886" t="s">
        <v>975</v>
      </c>
      <c r="Q886" t="s">
        <v>87</v>
      </c>
      <c r="R886" t="s">
        <v>67</v>
      </c>
      <c r="S886">
        <v>2000000</v>
      </c>
      <c r="T886">
        <v>-813828</v>
      </c>
      <c r="U886" t="s">
        <v>68</v>
      </c>
      <c r="V886" t="s">
        <v>2952</v>
      </c>
      <c r="W886" s="9">
        <v>60604429</v>
      </c>
      <c r="X886" t="s">
        <v>2953</v>
      </c>
      <c r="Y886" s="1">
        <v>46077</v>
      </c>
      <c r="Z886" s="1">
        <v>46107</v>
      </c>
      <c r="AA886" s="2">
        <v>122741.24</v>
      </c>
      <c r="AB886" s="2">
        <v>104018</v>
      </c>
      <c r="AC886" s="2">
        <v>18723.240000000002</v>
      </c>
      <c r="AD886" s="2">
        <v>122741.24</v>
      </c>
      <c r="AE886" t="s">
        <v>2954</v>
      </c>
      <c r="AF886" t="s">
        <v>72</v>
      </c>
      <c r="AG886">
        <v>-29</v>
      </c>
      <c r="AH886" t="s">
        <v>117</v>
      </c>
      <c r="AI886" t="s">
        <v>74</v>
      </c>
      <c r="AJ886" t="s">
        <v>237</v>
      </c>
      <c r="AK886" t="s">
        <v>383</v>
      </c>
      <c r="AL886" t="s">
        <v>118</v>
      </c>
      <c r="AM886" t="s">
        <v>78</v>
      </c>
      <c r="AN886" t="s">
        <v>979</v>
      </c>
      <c r="AO886" t="s">
        <v>119</v>
      </c>
      <c r="AP886" t="e">
        <v>#N/A</v>
      </c>
      <c r="AQ886" t="s">
        <v>383</v>
      </c>
      <c r="AR886" t="str">
        <f t="shared" si="26"/>
        <v>60604429.MOBILAM</v>
      </c>
      <c r="AS886">
        <f t="shared" si="27"/>
        <v>122741.24</v>
      </c>
      <c r="AT886" t="s">
        <v>82</v>
      </c>
    </row>
    <row r="887" spans="1:46" x14ac:dyDescent="0.35">
      <c r="A887" t="s">
        <v>52</v>
      </c>
      <c r="B887" t="s">
        <v>53</v>
      </c>
      <c r="C887" t="s">
        <v>54</v>
      </c>
      <c r="D887" t="s">
        <v>55</v>
      </c>
      <c r="E887" t="s">
        <v>56</v>
      </c>
      <c r="F887" t="s">
        <v>2955</v>
      </c>
      <c r="G887" t="s">
        <v>2956</v>
      </c>
      <c r="H887" t="s">
        <v>111</v>
      </c>
      <c r="I887" t="s">
        <v>2957</v>
      </c>
      <c r="J887" t="s">
        <v>56</v>
      </c>
      <c r="K887" t="s">
        <v>62</v>
      </c>
      <c r="L887" t="s">
        <v>56</v>
      </c>
      <c r="M887" t="s">
        <v>56</v>
      </c>
      <c r="N887" t="s">
        <v>113</v>
      </c>
      <c r="O887" t="s">
        <v>230</v>
      </c>
      <c r="P887" t="s">
        <v>231</v>
      </c>
      <c r="Q887" t="s">
        <v>393</v>
      </c>
      <c r="R887" t="s">
        <v>379</v>
      </c>
      <c r="T887">
        <v>-41818256</v>
      </c>
      <c r="U887" t="s">
        <v>68</v>
      </c>
      <c r="V887" t="s">
        <v>2958</v>
      </c>
      <c r="W887" s="9">
        <v>60604313</v>
      </c>
      <c r="X887" t="s">
        <v>2959</v>
      </c>
      <c r="Y887" s="1">
        <v>45841</v>
      </c>
      <c r="Z887" s="1">
        <v>45991</v>
      </c>
      <c r="AA887" s="2">
        <v>25020000</v>
      </c>
      <c r="AB887" s="2">
        <v>25020000</v>
      </c>
      <c r="AC887" s="2">
        <v>0</v>
      </c>
      <c r="AD887" s="2">
        <v>2898256</v>
      </c>
      <c r="AE887" t="s">
        <v>2960</v>
      </c>
      <c r="AF887" t="s">
        <v>72</v>
      </c>
      <c r="AG887">
        <v>87</v>
      </c>
      <c r="AH887" t="s">
        <v>260</v>
      </c>
      <c r="AI887" t="s">
        <v>74</v>
      </c>
      <c r="AJ887" t="s">
        <v>75</v>
      </c>
      <c r="AK887" t="s">
        <v>102</v>
      </c>
      <c r="AL887" t="s">
        <v>77</v>
      </c>
      <c r="AM887" t="s">
        <v>103</v>
      </c>
      <c r="AN887" t="s">
        <v>239</v>
      </c>
      <c r="AO887" t="s">
        <v>80</v>
      </c>
      <c r="AP887" t="e">
        <v>#N/A</v>
      </c>
      <c r="AQ887" t="s">
        <v>105</v>
      </c>
      <c r="AR887" t="str">
        <f t="shared" si="26"/>
        <v>60604313.STATEQ</v>
      </c>
      <c r="AS887">
        <f t="shared" si="27"/>
        <v>32818256</v>
      </c>
      <c r="AT887" t="s">
        <v>82</v>
      </c>
    </row>
    <row r="888" spans="1:46" x14ac:dyDescent="0.35">
      <c r="A888" t="s">
        <v>52</v>
      </c>
      <c r="B888" t="s">
        <v>53</v>
      </c>
      <c r="C888" t="s">
        <v>54</v>
      </c>
      <c r="D888" t="s">
        <v>55</v>
      </c>
      <c r="E888" t="s">
        <v>56</v>
      </c>
      <c r="F888" t="s">
        <v>2955</v>
      </c>
      <c r="G888" t="s">
        <v>2961</v>
      </c>
      <c r="H888" t="s">
        <v>153</v>
      </c>
      <c r="I888" t="s">
        <v>2962</v>
      </c>
      <c r="J888" t="s">
        <v>61</v>
      </c>
      <c r="K888" t="s">
        <v>62</v>
      </c>
      <c r="L888" t="s">
        <v>56</v>
      </c>
      <c r="M888" t="s">
        <v>56</v>
      </c>
      <c r="N888" t="s">
        <v>155</v>
      </c>
      <c r="O888" t="s">
        <v>230</v>
      </c>
      <c r="P888" t="s">
        <v>231</v>
      </c>
      <c r="Q888" t="s">
        <v>87</v>
      </c>
      <c r="R888" t="s">
        <v>379</v>
      </c>
      <c r="T888">
        <v>-41818256</v>
      </c>
      <c r="U888" t="s">
        <v>68</v>
      </c>
      <c r="V888" t="s">
        <v>2958</v>
      </c>
      <c r="W888" s="9">
        <v>60604313</v>
      </c>
      <c r="X888" t="s">
        <v>2963</v>
      </c>
      <c r="Y888" s="1">
        <v>46022</v>
      </c>
      <c r="Z888" s="1">
        <v>46074</v>
      </c>
      <c r="AA888" s="2">
        <v>29920000</v>
      </c>
      <c r="AB888" s="2">
        <v>29920000</v>
      </c>
      <c r="AC888" s="2">
        <v>0</v>
      </c>
      <c r="AD888" s="2">
        <v>29920000</v>
      </c>
      <c r="AE888" t="s">
        <v>2964</v>
      </c>
      <c r="AF888" t="s">
        <v>72</v>
      </c>
      <c r="AG888">
        <v>4</v>
      </c>
      <c r="AH888" t="s">
        <v>73</v>
      </c>
      <c r="AI888" t="s">
        <v>74</v>
      </c>
      <c r="AJ888" t="s">
        <v>75</v>
      </c>
      <c r="AK888" t="s">
        <v>102</v>
      </c>
      <c r="AL888" t="s">
        <v>77</v>
      </c>
      <c r="AM888" t="s">
        <v>103</v>
      </c>
      <c r="AN888" t="s">
        <v>239</v>
      </c>
      <c r="AO888" t="s">
        <v>80</v>
      </c>
      <c r="AP888" t="e">
        <v>#N/A</v>
      </c>
      <c r="AQ888" t="s">
        <v>105</v>
      </c>
      <c r="AR888" t="str">
        <f t="shared" si="26"/>
        <v>60604313.STATEQ</v>
      </c>
      <c r="AS888">
        <f t="shared" si="27"/>
        <v>32818256</v>
      </c>
      <c r="AT888" t="s">
        <v>82</v>
      </c>
    </row>
    <row r="889" spans="1:46" x14ac:dyDescent="0.35">
      <c r="A889" t="s">
        <v>52</v>
      </c>
      <c r="B889" t="s">
        <v>53</v>
      </c>
      <c r="C889" t="s">
        <v>54</v>
      </c>
      <c r="D889" t="s">
        <v>55</v>
      </c>
      <c r="E889" t="s">
        <v>56</v>
      </c>
      <c r="F889" t="s">
        <v>2955</v>
      </c>
      <c r="G889" t="s">
        <v>2961</v>
      </c>
      <c r="H889" t="s">
        <v>56</v>
      </c>
      <c r="I889" t="s">
        <v>2965</v>
      </c>
      <c r="J889" t="s">
        <v>61</v>
      </c>
      <c r="K889" t="s">
        <v>62</v>
      </c>
      <c r="L889" t="s">
        <v>2966</v>
      </c>
      <c r="M889" t="s">
        <v>56</v>
      </c>
      <c r="N889" t="s">
        <v>295</v>
      </c>
      <c r="O889" t="s">
        <v>1206</v>
      </c>
      <c r="P889" t="s">
        <v>1207</v>
      </c>
      <c r="Q889" t="s">
        <v>114</v>
      </c>
      <c r="R889" t="s">
        <v>379</v>
      </c>
      <c r="T889">
        <v>-41818256</v>
      </c>
      <c r="U889" t="s">
        <v>68</v>
      </c>
      <c r="V889" t="s">
        <v>2958</v>
      </c>
      <c r="W889" s="9">
        <v>60604313</v>
      </c>
      <c r="X889" t="s">
        <v>2967</v>
      </c>
      <c r="Y889" s="1">
        <v>46036</v>
      </c>
      <c r="Z889" s="1">
        <v>46066</v>
      </c>
      <c r="AA889" s="2">
        <v>136485</v>
      </c>
      <c r="AB889" s="2">
        <v>136485</v>
      </c>
      <c r="AC889" s="2">
        <v>0</v>
      </c>
      <c r="AD889" s="2">
        <v>136485</v>
      </c>
      <c r="AE889" t="s">
        <v>2968</v>
      </c>
      <c r="AF889" t="s">
        <v>72</v>
      </c>
      <c r="AG889">
        <v>12</v>
      </c>
      <c r="AH889" t="s">
        <v>73</v>
      </c>
      <c r="AI889" t="s">
        <v>74</v>
      </c>
      <c r="AJ889" t="s">
        <v>75</v>
      </c>
      <c r="AK889" t="s">
        <v>76</v>
      </c>
      <c r="AL889" t="s">
        <v>77</v>
      </c>
      <c r="AM889" t="s">
        <v>78</v>
      </c>
      <c r="AN889" t="s">
        <v>239</v>
      </c>
      <c r="AO889" t="s">
        <v>80</v>
      </c>
      <c r="AP889" t="e">
        <v>#N/A</v>
      </c>
      <c r="AQ889" t="s">
        <v>81</v>
      </c>
      <c r="AR889" t="str">
        <f t="shared" si="26"/>
        <v>60604313.STATAM</v>
      </c>
      <c r="AS889">
        <f t="shared" si="27"/>
        <v>9000000</v>
      </c>
      <c r="AT889" t="s">
        <v>82</v>
      </c>
    </row>
    <row r="890" spans="1:46" x14ac:dyDescent="0.35">
      <c r="A890" t="s">
        <v>52</v>
      </c>
      <c r="B890" t="s">
        <v>53</v>
      </c>
      <c r="C890" t="s">
        <v>54</v>
      </c>
      <c r="D890" t="s">
        <v>55</v>
      </c>
      <c r="E890" t="s">
        <v>56</v>
      </c>
      <c r="F890" t="s">
        <v>2955</v>
      </c>
      <c r="G890" t="s">
        <v>2961</v>
      </c>
      <c r="H890" t="s">
        <v>56</v>
      </c>
      <c r="I890" t="s">
        <v>2965</v>
      </c>
      <c r="J890" t="s">
        <v>61</v>
      </c>
      <c r="K890" t="s">
        <v>62</v>
      </c>
      <c r="L890" t="s">
        <v>2966</v>
      </c>
      <c r="M890" t="s">
        <v>56</v>
      </c>
      <c r="N890" t="s">
        <v>252</v>
      </c>
      <c r="O890" t="s">
        <v>1206</v>
      </c>
      <c r="P890" t="s">
        <v>1207</v>
      </c>
      <c r="Q890" t="s">
        <v>114</v>
      </c>
      <c r="R890" t="s">
        <v>379</v>
      </c>
      <c r="T890">
        <v>-41818256</v>
      </c>
      <c r="U890" t="s">
        <v>68</v>
      </c>
      <c r="V890" t="s">
        <v>2958</v>
      </c>
      <c r="W890" s="9">
        <v>60604313</v>
      </c>
      <c r="X890" t="s">
        <v>2967</v>
      </c>
      <c r="Y890" s="1">
        <v>46036</v>
      </c>
      <c r="Z890" s="1">
        <v>46066</v>
      </c>
      <c r="AA890" s="2">
        <v>8863515</v>
      </c>
      <c r="AB890" s="2">
        <v>8863515</v>
      </c>
      <c r="AC890" s="2">
        <v>0</v>
      </c>
      <c r="AD890" s="2">
        <v>8863515</v>
      </c>
      <c r="AE890" t="s">
        <v>2969</v>
      </c>
      <c r="AF890" t="s">
        <v>72</v>
      </c>
      <c r="AG890">
        <v>12</v>
      </c>
      <c r="AH890" t="s">
        <v>73</v>
      </c>
      <c r="AI890" t="s">
        <v>74</v>
      </c>
      <c r="AJ890" t="s">
        <v>75</v>
      </c>
      <c r="AK890" t="s">
        <v>76</v>
      </c>
      <c r="AL890" t="s">
        <v>77</v>
      </c>
      <c r="AM890" t="s">
        <v>78</v>
      </c>
      <c r="AN890" t="s">
        <v>239</v>
      </c>
      <c r="AO890" t="s">
        <v>80</v>
      </c>
      <c r="AP890" t="e">
        <v>#N/A</v>
      </c>
      <c r="AQ890" t="s">
        <v>81</v>
      </c>
      <c r="AR890" t="str">
        <f t="shared" si="26"/>
        <v>60604313.STATAM</v>
      </c>
      <c r="AS890">
        <f t="shared" si="27"/>
        <v>9000000</v>
      </c>
      <c r="AT890" t="s">
        <v>82</v>
      </c>
    </row>
    <row r="891" spans="1:46" x14ac:dyDescent="0.35">
      <c r="A891" t="s">
        <v>52</v>
      </c>
      <c r="B891" t="s">
        <v>53</v>
      </c>
      <c r="C891" t="s">
        <v>54</v>
      </c>
      <c r="D891" t="s">
        <v>55</v>
      </c>
      <c r="E891" t="s">
        <v>56</v>
      </c>
      <c r="F891" t="s">
        <v>2970</v>
      </c>
      <c r="G891" t="s">
        <v>56</v>
      </c>
      <c r="H891" t="s">
        <v>56</v>
      </c>
      <c r="I891" t="s">
        <v>2971</v>
      </c>
      <c r="J891" t="s">
        <v>61</v>
      </c>
      <c r="K891" t="s">
        <v>62</v>
      </c>
      <c r="L891" t="s">
        <v>56</v>
      </c>
      <c r="M891" t="s">
        <v>56</v>
      </c>
      <c r="N891" t="s">
        <v>56</v>
      </c>
      <c r="O891" t="s">
        <v>435</v>
      </c>
      <c r="P891" t="s">
        <v>436</v>
      </c>
      <c r="Q891" t="s">
        <v>87</v>
      </c>
      <c r="R891" t="s">
        <v>88</v>
      </c>
      <c r="T891">
        <v>48557553.039999999</v>
      </c>
      <c r="U891" t="s">
        <v>68</v>
      </c>
      <c r="V891" t="s">
        <v>2972</v>
      </c>
      <c r="W891" s="9">
        <v>60604015</v>
      </c>
      <c r="X891" t="s">
        <v>2973</v>
      </c>
      <c r="Y891" s="1">
        <v>45440</v>
      </c>
      <c r="Z891" s="1">
        <v>45440</v>
      </c>
      <c r="AA891" s="2">
        <v>-6311687</v>
      </c>
      <c r="AB891" s="2">
        <v>-6311687</v>
      </c>
      <c r="AC891" s="2">
        <v>0</v>
      </c>
      <c r="AD891" s="2">
        <v>-6311687</v>
      </c>
      <c r="AE891" t="s">
        <v>2973</v>
      </c>
      <c r="AF891" t="s">
        <v>72</v>
      </c>
      <c r="AG891">
        <v>638</v>
      </c>
      <c r="AH891" t="s">
        <v>473</v>
      </c>
      <c r="AI891" t="s">
        <v>74</v>
      </c>
      <c r="AJ891" t="s">
        <v>75</v>
      </c>
      <c r="AK891" t="s">
        <v>76</v>
      </c>
      <c r="AL891" t="s">
        <v>77</v>
      </c>
      <c r="AM891" t="s">
        <v>103</v>
      </c>
      <c r="AN891" t="s">
        <v>738</v>
      </c>
      <c r="AO891" t="s">
        <v>80</v>
      </c>
      <c r="AP891" t="e">
        <v>#N/A</v>
      </c>
      <c r="AQ891" t="s">
        <v>81</v>
      </c>
      <c r="AR891" t="str">
        <f t="shared" si="26"/>
        <v>60604015.STATAM</v>
      </c>
      <c r="AS891">
        <f t="shared" si="27"/>
        <v>-124120000</v>
      </c>
      <c r="AT891" t="s">
        <v>93</v>
      </c>
    </row>
    <row r="892" spans="1:46" x14ac:dyDescent="0.35">
      <c r="A892" t="s">
        <v>52</v>
      </c>
      <c r="B892" t="s">
        <v>53</v>
      </c>
      <c r="C892" t="s">
        <v>54</v>
      </c>
      <c r="D892" t="s">
        <v>55</v>
      </c>
      <c r="E892" t="s">
        <v>56</v>
      </c>
      <c r="F892" t="s">
        <v>2970</v>
      </c>
      <c r="G892" t="s">
        <v>56</v>
      </c>
      <c r="H892" t="s">
        <v>56</v>
      </c>
      <c r="I892" t="s">
        <v>2974</v>
      </c>
      <c r="J892" t="s">
        <v>61</v>
      </c>
      <c r="K892" t="s">
        <v>62</v>
      </c>
      <c r="L892" t="s">
        <v>56</v>
      </c>
      <c r="M892" t="s">
        <v>56</v>
      </c>
      <c r="N892" t="s">
        <v>56</v>
      </c>
      <c r="O892" t="s">
        <v>435</v>
      </c>
      <c r="P892" t="s">
        <v>436</v>
      </c>
      <c r="Q892" t="s">
        <v>87</v>
      </c>
      <c r="R892" t="s">
        <v>88</v>
      </c>
      <c r="T892">
        <v>48557553.039999999</v>
      </c>
      <c r="U892" t="s">
        <v>68</v>
      </c>
      <c r="V892" t="s">
        <v>2972</v>
      </c>
      <c r="W892" s="9">
        <v>60604015</v>
      </c>
      <c r="X892" t="s">
        <v>2975</v>
      </c>
      <c r="Y892" s="1">
        <v>45464</v>
      </c>
      <c r="Z892" s="1">
        <v>45464</v>
      </c>
      <c r="AA892" s="2">
        <v>-4181313</v>
      </c>
      <c r="AB892" s="2">
        <v>-4181313</v>
      </c>
      <c r="AC892" s="2">
        <v>0</v>
      </c>
      <c r="AD892" s="2">
        <v>-4181313</v>
      </c>
      <c r="AE892" t="s">
        <v>2975</v>
      </c>
      <c r="AF892" t="s">
        <v>72</v>
      </c>
      <c r="AG892">
        <v>614</v>
      </c>
      <c r="AH892" t="s">
        <v>473</v>
      </c>
      <c r="AI892" t="s">
        <v>74</v>
      </c>
      <c r="AJ892" t="s">
        <v>75</v>
      </c>
      <c r="AK892" t="s">
        <v>76</v>
      </c>
      <c r="AL892" t="s">
        <v>77</v>
      </c>
      <c r="AM892" t="s">
        <v>103</v>
      </c>
      <c r="AN892" t="s">
        <v>738</v>
      </c>
      <c r="AO892" t="s">
        <v>80</v>
      </c>
      <c r="AP892" t="e">
        <v>#N/A</v>
      </c>
      <c r="AQ892" t="s">
        <v>81</v>
      </c>
      <c r="AR892" t="str">
        <f t="shared" si="26"/>
        <v>60604015.STATAM</v>
      </c>
      <c r="AS892">
        <f t="shared" si="27"/>
        <v>-124120000</v>
      </c>
      <c r="AT892" t="s">
        <v>93</v>
      </c>
    </row>
    <row r="893" spans="1:46" x14ac:dyDescent="0.35">
      <c r="A893" t="s">
        <v>52</v>
      </c>
      <c r="B893" t="s">
        <v>53</v>
      </c>
      <c r="C893" t="s">
        <v>54</v>
      </c>
      <c r="D893" t="s">
        <v>55</v>
      </c>
      <c r="E893" t="s">
        <v>56</v>
      </c>
      <c r="F893" t="s">
        <v>2970</v>
      </c>
      <c r="G893" t="s">
        <v>56</v>
      </c>
      <c r="H893" t="s">
        <v>56</v>
      </c>
      <c r="I893" t="s">
        <v>2976</v>
      </c>
      <c r="J893" t="s">
        <v>61</v>
      </c>
      <c r="K893" t="s">
        <v>62</v>
      </c>
      <c r="L893" t="s">
        <v>56</v>
      </c>
      <c r="M893" t="s">
        <v>56</v>
      </c>
      <c r="N893" t="s">
        <v>56</v>
      </c>
      <c r="O893" t="s">
        <v>435</v>
      </c>
      <c r="P893" t="s">
        <v>436</v>
      </c>
      <c r="Q893" t="s">
        <v>87</v>
      </c>
      <c r="R893" t="s">
        <v>88</v>
      </c>
      <c r="T893">
        <v>48557553.039999999</v>
      </c>
      <c r="U893" t="s">
        <v>68</v>
      </c>
      <c r="V893" t="s">
        <v>2972</v>
      </c>
      <c r="W893" s="9">
        <v>60604015</v>
      </c>
      <c r="X893" t="s">
        <v>2977</v>
      </c>
      <c r="Y893" s="1">
        <v>45589</v>
      </c>
      <c r="Z893" s="1">
        <v>45589</v>
      </c>
      <c r="AA893" s="2">
        <v>-56815000</v>
      </c>
      <c r="AB893" s="2">
        <v>-56815000</v>
      </c>
      <c r="AC893" s="2">
        <v>0</v>
      </c>
      <c r="AD893" s="2">
        <v>-56815000</v>
      </c>
      <c r="AE893" t="s">
        <v>2977</v>
      </c>
      <c r="AF893" t="s">
        <v>72</v>
      </c>
      <c r="AG893">
        <v>489</v>
      </c>
      <c r="AH893" t="s">
        <v>473</v>
      </c>
      <c r="AI893" t="s">
        <v>74</v>
      </c>
      <c r="AJ893" t="s">
        <v>75</v>
      </c>
      <c r="AK893" t="s">
        <v>76</v>
      </c>
      <c r="AL893" t="s">
        <v>77</v>
      </c>
      <c r="AM893" t="s">
        <v>103</v>
      </c>
      <c r="AN893" t="s">
        <v>738</v>
      </c>
      <c r="AO893" t="s">
        <v>80</v>
      </c>
      <c r="AP893" t="e">
        <v>#N/A</v>
      </c>
      <c r="AQ893" t="s">
        <v>81</v>
      </c>
      <c r="AR893" t="str">
        <f t="shared" si="26"/>
        <v>60604015.STATAM</v>
      </c>
      <c r="AS893">
        <f t="shared" si="27"/>
        <v>-124120000</v>
      </c>
      <c r="AT893" t="s">
        <v>93</v>
      </c>
    </row>
    <row r="894" spans="1:46" x14ac:dyDescent="0.35">
      <c r="A894" t="s">
        <v>52</v>
      </c>
      <c r="B894" t="s">
        <v>53</v>
      </c>
      <c r="C894" t="s">
        <v>54</v>
      </c>
      <c r="D894" t="s">
        <v>55</v>
      </c>
      <c r="E894" t="s">
        <v>56</v>
      </c>
      <c r="F894" t="s">
        <v>2970</v>
      </c>
      <c r="G894" t="s">
        <v>56</v>
      </c>
      <c r="H894" t="s">
        <v>56</v>
      </c>
      <c r="I894" t="s">
        <v>2978</v>
      </c>
      <c r="J894" t="s">
        <v>61</v>
      </c>
      <c r="K894" t="s">
        <v>62</v>
      </c>
      <c r="L894" t="s">
        <v>56</v>
      </c>
      <c r="M894" t="s">
        <v>56</v>
      </c>
      <c r="N894" t="s">
        <v>56</v>
      </c>
      <c r="O894" t="s">
        <v>435</v>
      </c>
      <c r="P894" t="s">
        <v>436</v>
      </c>
      <c r="Q894" t="s">
        <v>87</v>
      </c>
      <c r="R894" t="s">
        <v>88</v>
      </c>
      <c r="T894">
        <v>48557553.039999999</v>
      </c>
      <c r="U894" t="s">
        <v>68</v>
      </c>
      <c r="V894" t="s">
        <v>2972</v>
      </c>
      <c r="W894" s="9">
        <v>60604015</v>
      </c>
      <c r="X894" t="s">
        <v>2979</v>
      </c>
      <c r="Y894" s="1">
        <v>45589</v>
      </c>
      <c r="Z894" s="1">
        <v>45589</v>
      </c>
      <c r="AA894" s="2">
        <v>-56812000</v>
      </c>
      <c r="AB894" s="2">
        <v>-56812000</v>
      </c>
      <c r="AC894" s="2">
        <v>0</v>
      </c>
      <c r="AD894" s="2">
        <v>-56812000</v>
      </c>
      <c r="AE894" t="s">
        <v>2979</v>
      </c>
      <c r="AF894" t="s">
        <v>72</v>
      </c>
      <c r="AG894">
        <v>489</v>
      </c>
      <c r="AH894" t="s">
        <v>473</v>
      </c>
      <c r="AI894" t="s">
        <v>74</v>
      </c>
      <c r="AJ894" t="s">
        <v>75</v>
      </c>
      <c r="AK894" t="s">
        <v>76</v>
      </c>
      <c r="AL894" t="s">
        <v>77</v>
      </c>
      <c r="AM894" t="s">
        <v>103</v>
      </c>
      <c r="AN894" t="s">
        <v>738</v>
      </c>
      <c r="AO894" t="s">
        <v>80</v>
      </c>
      <c r="AP894" t="e">
        <v>#N/A</v>
      </c>
      <c r="AQ894" t="s">
        <v>81</v>
      </c>
      <c r="AR894" t="str">
        <f t="shared" si="26"/>
        <v>60604015.STATAM</v>
      </c>
      <c r="AS894">
        <f t="shared" si="27"/>
        <v>-124120000</v>
      </c>
      <c r="AT894" t="s">
        <v>93</v>
      </c>
    </row>
    <row r="895" spans="1:46" x14ac:dyDescent="0.35">
      <c r="A895" t="s">
        <v>52</v>
      </c>
      <c r="B895" t="s">
        <v>53</v>
      </c>
      <c r="C895" t="s">
        <v>54</v>
      </c>
      <c r="D895" t="s">
        <v>55</v>
      </c>
      <c r="E895" t="s">
        <v>56</v>
      </c>
      <c r="F895" t="s">
        <v>2980</v>
      </c>
      <c r="G895" t="s">
        <v>56</v>
      </c>
      <c r="H895" t="s">
        <v>56</v>
      </c>
      <c r="I895" t="s">
        <v>2981</v>
      </c>
      <c r="J895" t="s">
        <v>61</v>
      </c>
      <c r="K895" t="s">
        <v>62</v>
      </c>
      <c r="L895" t="s">
        <v>56</v>
      </c>
      <c r="M895" t="s">
        <v>56</v>
      </c>
      <c r="N895" t="s">
        <v>56</v>
      </c>
      <c r="O895" t="s">
        <v>391</v>
      </c>
      <c r="P895" t="s">
        <v>392</v>
      </c>
      <c r="Q895" t="s">
        <v>87</v>
      </c>
      <c r="R895" t="s">
        <v>88</v>
      </c>
      <c r="S895">
        <v>500000</v>
      </c>
      <c r="T895">
        <v>425124.11</v>
      </c>
      <c r="U895" t="s">
        <v>68</v>
      </c>
      <c r="V895" t="s">
        <v>2982</v>
      </c>
      <c r="W895" s="9">
        <v>60603768</v>
      </c>
      <c r="X895" t="s">
        <v>2983</v>
      </c>
      <c r="Y895" s="1">
        <v>46017</v>
      </c>
      <c r="Z895" s="1">
        <v>46017</v>
      </c>
      <c r="AA895" s="2">
        <v>-1056150</v>
      </c>
      <c r="AB895" s="2">
        <v>-1056150</v>
      </c>
      <c r="AC895" s="2">
        <v>0</v>
      </c>
      <c r="AD895" s="2">
        <v>-53727.9</v>
      </c>
      <c r="AE895" t="s">
        <v>2983</v>
      </c>
      <c r="AF895" t="s">
        <v>72</v>
      </c>
      <c r="AG895">
        <v>61</v>
      </c>
      <c r="AH895" t="s">
        <v>260</v>
      </c>
      <c r="AI895" t="s">
        <v>74</v>
      </c>
      <c r="AJ895" t="s">
        <v>75</v>
      </c>
      <c r="AK895" t="s">
        <v>76</v>
      </c>
      <c r="AL895" t="s">
        <v>77</v>
      </c>
      <c r="AM895" t="s">
        <v>78</v>
      </c>
      <c r="AN895" t="s">
        <v>104</v>
      </c>
      <c r="AO895" t="s">
        <v>80</v>
      </c>
      <c r="AP895" t="e">
        <v>#N/A</v>
      </c>
      <c r="AQ895" t="s">
        <v>81</v>
      </c>
      <c r="AR895" t="str">
        <f t="shared" si="26"/>
        <v>60603768.STATAM</v>
      </c>
      <c r="AS895">
        <f t="shared" si="27"/>
        <v>-398740.57</v>
      </c>
      <c r="AT895" t="s">
        <v>93</v>
      </c>
    </row>
    <row r="896" spans="1:46" x14ac:dyDescent="0.35">
      <c r="A896" t="s">
        <v>52</v>
      </c>
      <c r="B896" t="s">
        <v>53</v>
      </c>
      <c r="C896" t="s">
        <v>54</v>
      </c>
      <c r="D896" t="s">
        <v>55</v>
      </c>
      <c r="E896" t="s">
        <v>56</v>
      </c>
      <c r="F896" t="s">
        <v>2980</v>
      </c>
      <c r="G896" t="s">
        <v>56</v>
      </c>
      <c r="H896" t="s">
        <v>56</v>
      </c>
      <c r="I896" t="s">
        <v>2984</v>
      </c>
      <c r="J896" t="s">
        <v>61</v>
      </c>
      <c r="K896" t="s">
        <v>62</v>
      </c>
      <c r="L896" t="s">
        <v>56</v>
      </c>
      <c r="M896" t="s">
        <v>56</v>
      </c>
      <c r="N896" t="s">
        <v>56</v>
      </c>
      <c r="O896" t="s">
        <v>391</v>
      </c>
      <c r="P896" t="s">
        <v>392</v>
      </c>
      <c r="Q896" t="s">
        <v>87</v>
      </c>
      <c r="R896" t="s">
        <v>88</v>
      </c>
      <c r="S896">
        <v>500000</v>
      </c>
      <c r="T896">
        <v>425124.11</v>
      </c>
      <c r="U896" t="s">
        <v>68</v>
      </c>
      <c r="V896" t="s">
        <v>2982</v>
      </c>
      <c r="W896" s="9">
        <v>60603768</v>
      </c>
      <c r="X896" t="s">
        <v>2985</v>
      </c>
      <c r="Y896" s="1">
        <v>46063</v>
      </c>
      <c r="Z896" s="1">
        <v>46063</v>
      </c>
      <c r="AA896" s="2">
        <v>-723268</v>
      </c>
      <c r="AB896" s="2">
        <v>-723268</v>
      </c>
      <c r="AC896" s="2">
        <v>0</v>
      </c>
      <c r="AD896" s="2">
        <v>-723268</v>
      </c>
      <c r="AE896" t="s">
        <v>2985</v>
      </c>
      <c r="AF896" t="s">
        <v>72</v>
      </c>
      <c r="AG896">
        <v>15</v>
      </c>
      <c r="AH896" t="s">
        <v>73</v>
      </c>
      <c r="AI896" t="s">
        <v>74</v>
      </c>
      <c r="AJ896" t="s">
        <v>75</v>
      </c>
      <c r="AK896" t="s">
        <v>76</v>
      </c>
      <c r="AL896" t="s">
        <v>77</v>
      </c>
      <c r="AM896" t="s">
        <v>78</v>
      </c>
      <c r="AN896" t="s">
        <v>104</v>
      </c>
      <c r="AO896" t="s">
        <v>80</v>
      </c>
      <c r="AP896" t="e">
        <v>#N/A</v>
      </c>
      <c r="AQ896" t="s">
        <v>81</v>
      </c>
      <c r="AR896" t="str">
        <f t="shared" si="26"/>
        <v>60603768.STATAM</v>
      </c>
      <c r="AS896">
        <f t="shared" si="27"/>
        <v>-398740.57</v>
      </c>
      <c r="AT896" t="s">
        <v>93</v>
      </c>
    </row>
    <row r="897" spans="1:46" x14ac:dyDescent="0.35">
      <c r="A897" t="s">
        <v>52</v>
      </c>
      <c r="B897" t="s">
        <v>53</v>
      </c>
      <c r="C897" t="s">
        <v>54</v>
      </c>
      <c r="D897" t="s">
        <v>55</v>
      </c>
      <c r="E897" t="s">
        <v>56</v>
      </c>
      <c r="F897" t="s">
        <v>2980</v>
      </c>
      <c r="G897" t="s">
        <v>2986</v>
      </c>
      <c r="H897" t="s">
        <v>56</v>
      </c>
      <c r="I897" t="s">
        <v>2987</v>
      </c>
      <c r="J897" t="s">
        <v>56</v>
      </c>
      <c r="K897" t="s">
        <v>62</v>
      </c>
      <c r="L897" t="s">
        <v>56</v>
      </c>
      <c r="M897" t="s">
        <v>56</v>
      </c>
      <c r="N897" t="s">
        <v>252</v>
      </c>
      <c r="O897" t="s">
        <v>391</v>
      </c>
      <c r="P897" t="s">
        <v>392</v>
      </c>
      <c r="Q897" t="s">
        <v>114</v>
      </c>
      <c r="R897" t="s">
        <v>88</v>
      </c>
      <c r="S897">
        <v>500000</v>
      </c>
      <c r="T897">
        <v>425124.11</v>
      </c>
      <c r="U897" t="s">
        <v>68</v>
      </c>
      <c r="V897" t="s">
        <v>2982</v>
      </c>
      <c r="W897" s="9">
        <v>60603768</v>
      </c>
      <c r="X897" t="s">
        <v>2988</v>
      </c>
      <c r="Y897" s="1">
        <v>46073</v>
      </c>
      <c r="Z897" s="1">
        <v>46073</v>
      </c>
      <c r="AA897" s="2">
        <v>39270.19</v>
      </c>
      <c r="AB897" s="2">
        <v>33279.82</v>
      </c>
      <c r="AC897" s="2">
        <v>5990.37</v>
      </c>
      <c r="AD897" s="2">
        <v>39270.19</v>
      </c>
      <c r="AE897" t="s">
        <v>2989</v>
      </c>
      <c r="AF897" t="s">
        <v>72</v>
      </c>
      <c r="AG897">
        <v>5</v>
      </c>
      <c r="AH897" t="s">
        <v>73</v>
      </c>
      <c r="AI897" t="s">
        <v>74</v>
      </c>
      <c r="AJ897" t="s">
        <v>75</v>
      </c>
      <c r="AK897" t="s">
        <v>76</v>
      </c>
      <c r="AL897" t="s">
        <v>77</v>
      </c>
      <c r="AM897" t="s">
        <v>78</v>
      </c>
      <c r="AN897" t="s">
        <v>104</v>
      </c>
      <c r="AO897" t="s">
        <v>80</v>
      </c>
      <c r="AP897" t="e">
        <v>#N/A</v>
      </c>
      <c r="AQ897" t="s">
        <v>81</v>
      </c>
      <c r="AR897" t="str">
        <f t="shared" si="26"/>
        <v>60603768.STATAM</v>
      </c>
      <c r="AS897">
        <f t="shared" si="27"/>
        <v>-398740.57</v>
      </c>
      <c r="AT897" t="s">
        <v>93</v>
      </c>
    </row>
    <row r="898" spans="1:46" x14ac:dyDescent="0.35">
      <c r="A898" t="s">
        <v>52</v>
      </c>
      <c r="B898" t="s">
        <v>53</v>
      </c>
      <c r="C898" t="s">
        <v>54</v>
      </c>
      <c r="D898" t="s">
        <v>55</v>
      </c>
      <c r="E898" t="s">
        <v>56</v>
      </c>
      <c r="F898" t="s">
        <v>2980</v>
      </c>
      <c r="G898" t="s">
        <v>2986</v>
      </c>
      <c r="H898" t="s">
        <v>56</v>
      </c>
      <c r="I898" t="s">
        <v>2987</v>
      </c>
      <c r="J898" t="s">
        <v>56</v>
      </c>
      <c r="K898" t="s">
        <v>62</v>
      </c>
      <c r="L898" t="s">
        <v>56</v>
      </c>
      <c r="M898" t="s">
        <v>56</v>
      </c>
      <c r="N898" t="s">
        <v>295</v>
      </c>
      <c r="O898" t="s">
        <v>391</v>
      </c>
      <c r="P898" t="s">
        <v>392</v>
      </c>
      <c r="Q898" t="s">
        <v>114</v>
      </c>
      <c r="R898" t="s">
        <v>88</v>
      </c>
      <c r="S898">
        <v>500000</v>
      </c>
      <c r="T898">
        <v>425124.11</v>
      </c>
      <c r="U898" t="s">
        <v>68</v>
      </c>
      <c r="V898" t="s">
        <v>2982</v>
      </c>
      <c r="W898" s="9">
        <v>60603768</v>
      </c>
      <c r="X898" t="s">
        <v>2988</v>
      </c>
      <c r="Y898" s="1">
        <v>46073</v>
      </c>
      <c r="Z898" s="1">
        <v>46073</v>
      </c>
      <c r="AA898" s="2">
        <v>23638.44</v>
      </c>
      <c r="AB898" s="2">
        <v>20032.580000000002</v>
      </c>
      <c r="AC898" s="2">
        <v>3605.86</v>
      </c>
      <c r="AD898" s="2">
        <v>23638.44</v>
      </c>
      <c r="AE898" t="s">
        <v>2990</v>
      </c>
      <c r="AF898" t="s">
        <v>72</v>
      </c>
      <c r="AG898">
        <v>5</v>
      </c>
      <c r="AH898" t="s">
        <v>73</v>
      </c>
      <c r="AI898" t="s">
        <v>74</v>
      </c>
      <c r="AJ898" t="s">
        <v>75</v>
      </c>
      <c r="AK898" t="s">
        <v>76</v>
      </c>
      <c r="AL898" t="s">
        <v>77</v>
      </c>
      <c r="AM898" t="s">
        <v>78</v>
      </c>
      <c r="AN898" t="s">
        <v>104</v>
      </c>
      <c r="AO898" t="s">
        <v>80</v>
      </c>
      <c r="AP898" t="e">
        <v>#N/A</v>
      </c>
      <c r="AQ898" t="s">
        <v>81</v>
      </c>
      <c r="AR898" t="str">
        <f t="shared" si="26"/>
        <v>60603768.STATAM</v>
      </c>
      <c r="AS898">
        <f t="shared" si="27"/>
        <v>-398740.57</v>
      </c>
      <c r="AT898" t="s">
        <v>93</v>
      </c>
    </row>
    <row r="899" spans="1:46" x14ac:dyDescent="0.35">
      <c r="A899" t="s">
        <v>52</v>
      </c>
      <c r="B899" t="s">
        <v>53</v>
      </c>
      <c r="C899" t="s">
        <v>54</v>
      </c>
      <c r="D899" t="s">
        <v>55</v>
      </c>
      <c r="E899" t="s">
        <v>56</v>
      </c>
      <c r="F899" t="s">
        <v>2980</v>
      </c>
      <c r="G899" t="s">
        <v>2986</v>
      </c>
      <c r="H899" t="s">
        <v>56</v>
      </c>
      <c r="I899" t="s">
        <v>2987</v>
      </c>
      <c r="J899" t="s">
        <v>56</v>
      </c>
      <c r="K899" t="s">
        <v>62</v>
      </c>
      <c r="L899" t="s">
        <v>56</v>
      </c>
      <c r="M899" t="s">
        <v>56</v>
      </c>
      <c r="N899" t="s">
        <v>680</v>
      </c>
      <c r="O899" t="s">
        <v>391</v>
      </c>
      <c r="P899" t="s">
        <v>392</v>
      </c>
      <c r="Q899" t="s">
        <v>114</v>
      </c>
      <c r="R899" t="s">
        <v>88</v>
      </c>
      <c r="S899">
        <v>500000</v>
      </c>
      <c r="T899">
        <v>425124.11</v>
      </c>
      <c r="U899" t="s">
        <v>68</v>
      </c>
      <c r="V899" t="s">
        <v>2982</v>
      </c>
      <c r="W899" s="9">
        <v>60603768</v>
      </c>
      <c r="X899" t="s">
        <v>2988</v>
      </c>
      <c r="Y899" s="1">
        <v>46073</v>
      </c>
      <c r="Z899" s="1">
        <v>46073</v>
      </c>
      <c r="AA899" s="2">
        <v>167386.37</v>
      </c>
      <c r="AB899" s="2">
        <v>141852.85999999999</v>
      </c>
      <c r="AC899" s="2">
        <v>25533.51</v>
      </c>
      <c r="AD899" s="2">
        <v>167386.37</v>
      </c>
      <c r="AE899" t="s">
        <v>2991</v>
      </c>
      <c r="AF899" t="s">
        <v>72</v>
      </c>
      <c r="AG899">
        <v>5</v>
      </c>
      <c r="AH899" t="s">
        <v>73</v>
      </c>
      <c r="AI899" t="s">
        <v>74</v>
      </c>
      <c r="AJ899" t="s">
        <v>127</v>
      </c>
      <c r="AK899" t="s">
        <v>334</v>
      </c>
      <c r="AL899" t="s">
        <v>77</v>
      </c>
      <c r="AM899" t="s">
        <v>78</v>
      </c>
      <c r="AN899" t="s">
        <v>104</v>
      </c>
      <c r="AO899" t="s">
        <v>80</v>
      </c>
      <c r="AP899" t="e">
        <v>#N/A</v>
      </c>
      <c r="AQ899" t="s">
        <v>335</v>
      </c>
      <c r="AR899" t="str">
        <f t="shared" si="26"/>
        <v>60603768.SPMINAM</v>
      </c>
      <c r="AS899">
        <f t="shared" si="27"/>
        <v>212528.88</v>
      </c>
      <c r="AT899" t="s">
        <v>82</v>
      </c>
    </row>
    <row r="900" spans="1:46" x14ac:dyDescent="0.35">
      <c r="A900" t="s">
        <v>52</v>
      </c>
      <c r="B900" t="s">
        <v>53</v>
      </c>
      <c r="C900" t="s">
        <v>54</v>
      </c>
      <c r="D900" t="s">
        <v>55</v>
      </c>
      <c r="E900" t="s">
        <v>56</v>
      </c>
      <c r="F900" t="s">
        <v>2980</v>
      </c>
      <c r="G900" t="s">
        <v>2986</v>
      </c>
      <c r="H900" t="s">
        <v>56</v>
      </c>
      <c r="I900" t="s">
        <v>2987</v>
      </c>
      <c r="J900" t="s">
        <v>56</v>
      </c>
      <c r="K900" t="s">
        <v>62</v>
      </c>
      <c r="L900" t="s">
        <v>56</v>
      </c>
      <c r="M900" t="s">
        <v>56</v>
      </c>
      <c r="N900" t="s">
        <v>682</v>
      </c>
      <c r="O900" t="s">
        <v>391</v>
      </c>
      <c r="P900" t="s">
        <v>392</v>
      </c>
      <c r="Q900" t="s">
        <v>114</v>
      </c>
      <c r="R900" t="s">
        <v>88</v>
      </c>
      <c r="S900">
        <v>500000</v>
      </c>
      <c r="T900">
        <v>425124.11</v>
      </c>
      <c r="U900" t="s">
        <v>68</v>
      </c>
      <c r="V900" t="s">
        <v>2982</v>
      </c>
      <c r="W900" s="9">
        <v>60603768</v>
      </c>
      <c r="X900" t="s">
        <v>2988</v>
      </c>
      <c r="Y900" s="1">
        <v>46073</v>
      </c>
      <c r="Z900" s="1">
        <v>46073</v>
      </c>
      <c r="AA900" s="2">
        <v>45142.51</v>
      </c>
      <c r="AB900" s="2">
        <v>38256.370000000003</v>
      </c>
      <c r="AC900" s="2">
        <v>6886.14</v>
      </c>
      <c r="AD900" s="2">
        <v>45142.51</v>
      </c>
      <c r="AE900" t="s">
        <v>2992</v>
      </c>
      <c r="AF900" t="s">
        <v>72</v>
      </c>
      <c r="AG900">
        <v>5</v>
      </c>
      <c r="AH900" t="s">
        <v>73</v>
      </c>
      <c r="AI900" t="s">
        <v>74</v>
      </c>
      <c r="AJ900" t="s">
        <v>127</v>
      </c>
      <c r="AK900" t="s">
        <v>334</v>
      </c>
      <c r="AL900" t="s">
        <v>77</v>
      </c>
      <c r="AM900" t="s">
        <v>78</v>
      </c>
      <c r="AN900" t="s">
        <v>104</v>
      </c>
      <c r="AO900" t="s">
        <v>80</v>
      </c>
      <c r="AP900" t="e">
        <v>#N/A</v>
      </c>
      <c r="AQ900" t="s">
        <v>335</v>
      </c>
      <c r="AR900" t="str">
        <f t="shared" si="26"/>
        <v>60603768.SPMINAM</v>
      </c>
      <c r="AS900">
        <f t="shared" si="27"/>
        <v>212528.88</v>
      </c>
      <c r="AT900" t="s">
        <v>82</v>
      </c>
    </row>
    <row r="901" spans="1:46" x14ac:dyDescent="0.35">
      <c r="A901" t="s">
        <v>52</v>
      </c>
      <c r="B901" t="s">
        <v>53</v>
      </c>
      <c r="C901" t="s">
        <v>54</v>
      </c>
      <c r="D901" t="s">
        <v>55</v>
      </c>
      <c r="E901" t="s">
        <v>56</v>
      </c>
      <c r="F901" t="s">
        <v>2980</v>
      </c>
      <c r="G901" t="s">
        <v>2986</v>
      </c>
      <c r="H901" t="s">
        <v>56</v>
      </c>
      <c r="I901" t="s">
        <v>2987</v>
      </c>
      <c r="J901" t="s">
        <v>56</v>
      </c>
      <c r="K901" t="s">
        <v>62</v>
      </c>
      <c r="L901" t="s">
        <v>56</v>
      </c>
      <c r="M901" t="s">
        <v>56</v>
      </c>
      <c r="N901" t="s">
        <v>244</v>
      </c>
      <c r="O901" t="s">
        <v>391</v>
      </c>
      <c r="P901" t="s">
        <v>392</v>
      </c>
      <c r="Q901" t="s">
        <v>114</v>
      </c>
      <c r="R901" t="s">
        <v>88</v>
      </c>
      <c r="S901">
        <v>500000</v>
      </c>
      <c r="T901">
        <v>425124.11</v>
      </c>
      <c r="U901" t="s">
        <v>68</v>
      </c>
      <c r="V901" t="s">
        <v>2982</v>
      </c>
      <c r="W901" s="9">
        <v>60603768</v>
      </c>
      <c r="X901" t="s">
        <v>2988</v>
      </c>
      <c r="Y901" s="1">
        <v>46073</v>
      </c>
      <c r="Z901" s="1">
        <v>46073</v>
      </c>
      <c r="AA901" s="2">
        <v>315346.7</v>
      </c>
      <c r="AB901" s="2">
        <v>267242.98</v>
      </c>
      <c r="AC901" s="2">
        <v>48103.72</v>
      </c>
      <c r="AD901" s="2">
        <v>315346.7</v>
      </c>
      <c r="AE901" t="s">
        <v>2993</v>
      </c>
      <c r="AF901" t="s">
        <v>72</v>
      </c>
      <c r="AG901">
        <v>5</v>
      </c>
      <c r="AH901" t="s">
        <v>73</v>
      </c>
      <c r="AI901" t="s">
        <v>74</v>
      </c>
      <c r="AJ901" t="s">
        <v>75</v>
      </c>
      <c r="AK901" t="s">
        <v>76</v>
      </c>
      <c r="AL901" t="s">
        <v>77</v>
      </c>
      <c r="AM901" t="s">
        <v>78</v>
      </c>
      <c r="AN901" t="s">
        <v>104</v>
      </c>
      <c r="AO901" t="s">
        <v>80</v>
      </c>
      <c r="AP901" t="e">
        <v>#N/A</v>
      </c>
      <c r="AQ901" t="s">
        <v>81</v>
      </c>
      <c r="AR901" t="str">
        <f t="shared" si="26"/>
        <v>60603768.STATAM</v>
      </c>
      <c r="AS901">
        <f t="shared" si="27"/>
        <v>-398740.57</v>
      </c>
      <c r="AT901" t="s">
        <v>93</v>
      </c>
    </row>
    <row r="902" spans="1:46" x14ac:dyDescent="0.35">
      <c r="A902" t="s">
        <v>52</v>
      </c>
      <c r="B902" t="s">
        <v>53</v>
      </c>
      <c r="C902" t="s">
        <v>621</v>
      </c>
      <c r="D902" t="s">
        <v>55</v>
      </c>
      <c r="E902" t="s">
        <v>56</v>
      </c>
      <c r="F902" t="s">
        <v>2994</v>
      </c>
      <c r="G902" t="s">
        <v>56</v>
      </c>
      <c r="H902" t="s">
        <v>56</v>
      </c>
      <c r="I902" t="s">
        <v>2995</v>
      </c>
      <c r="J902" t="s">
        <v>61</v>
      </c>
      <c r="K902" t="s">
        <v>56</v>
      </c>
      <c r="L902" t="s">
        <v>56</v>
      </c>
      <c r="M902" t="s">
        <v>56</v>
      </c>
      <c r="N902" t="s">
        <v>624</v>
      </c>
      <c r="O902" t="s">
        <v>56</v>
      </c>
      <c r="P902" t="s">
        <v>56</v>
      </c>
      <c r="Q902" t="s">
        <v>87</v>
      </c>
      <c r="R902" t="s">
        <v>88</v>
      </c>
      <c r="T902">
        <v>3042.34</v>
      </c>
      <c r="U902" t="s">
        <v>68</v>
      </c>
      <c r="V902" t="s">
        <v>2996</v>
      </c>
      <c r="W902" s="9" t="s">
        <v>2994</v>
      </c>
      <c r="X902" t="s">
        <v>2997</v>
      </c>
      <c r="Y902" s="1">
        <v>45798</v>
      </c>
      <c r="Z902" s="1">
        <v>45798</v>
      </c>
      <c r="AA902" s="2">
        <v>-220000</v>
      </c>
      <c r="AB902" s="2">
        <v>-220000</v>
      </c>
      <c r="AC902" s="2">
        <v>0</v>
      </c>
      <c r="AD902" s="2">
        <v>-3042.34</v>
      </c>
      <c r="AE902" t="s">
        <v>2998</v>
      </c>
      <c r="AF902" t="s">
        <v>72</v>
      </c>
      <c r="AG902">
        <v>280</v>
      </c>
      <c r="AH902" t="s">
        <v>101</v>
      </c>
      <c r="AI902" t="s">
        <v>74</v>
      </c>
      <c r="AJ902" t="s">
        <v>75</v>
      </c>
      <c r="AK902" t="s">
        <v>76</v>
      </c>
      <c r="AL902" t="s">
        <v>77</v>
      </c>
      <c r="AM902" t="s">
        <v>775</v>
      </c>
      <c r="AN902" t="s">
        <v>776</v>
      </c>
      <c r="AO902" t="s">
        <v>80</v>
      </c>
      <c r="AP902" t="e">
        <v>#N/A</v>
      </c>
      <c r="AQ902" t="s">
        <v>81</v>
      </c>
      <c r="AR902" t="str">
        <f t="shared" si="26"/>
        <v>SC600025.STATAM</v>
      </c>
      <c r="AS902">
        <f t="shared" si="27"/>
        <v>-3042.34</v>
      </c>
      <c r="AT902" t="s">
        <v>93</v>
      </c>
    </row>
    <row r="903" spans="1:46" x14ac:dyDescent="0.35">
      <c r="A903" t="s">
        <v>52</v>
      </c>
      <c r="B903" t="s">
        <v>53</v>
      </c>
      <c r="C903" t="s">
        <v>54</v>
      </c>
      <c r="D903" t="s">
        <v>55</v>
      </c>
      <c r="E903" t="s">
        <v>56</v>
      </c>
      <c r="F903" t="s">
        <v>2999</v>
      </c>
      <c r="G903" t="s">
        <v>56</v>
      </c>
      <c r="H903" t="s">
        <v>56</v>
      </c>
      <c r="I903" t="s">
        <v>3000</v>
      </c>
      <c r="J903" t="s">
        <v>61</v>
      </c>
      <c r="K903" t="s">
        <v>62</v>
      </c>
      <c r="L903" t="s">
        <v>56</v>
      </c>
      <c r="M903" t="s">
        <v>56</v>
      </c>
      <c r="N903" t="s">
        <v>56</v>
      </c>
      <c r="O903" t="s">
        <v>1416</v>
      </c>
      <c r="P903" t="s">
        <v>1417</v>
      </c>
      <c r="Q903" t="s">
        <v>87</v>
      </c>
      <c r="R903" t="s">
        <v>88</v>
      </c>
      <c r="T903">
        <v>14280.36</v>
      </c>
      <c r="U903" t="s">
        <v>68</v>
      </c>
      <c r="V903" t="s">
        <v>3001</v>
      </c>
      <c r="W903" s="9">
        <v>60604324</v>
      </c>
      <c r="X903" t="s">
        <v>3002</v>
      </c>
      <c r="Y903" s="1">
        <v>46060</v>
      </c>
      <c r="Z903" s="1">
        <v>46060</v>
      </c>
      <c r="AA903" s="2">
        <v>-56843</v>
      </c>
      <c r="AB903" s="2">
        <v>-56843</v>
      </c>
      <c r="AC903" s="2">
        <v>0</v>
      </c>
      <c r="AD903" s="2">
        <v>-19944.36</v>
      </c>
      <c r="AE903" t="s">
        <v>3002</v>
      </c>
      <c r="AF903" t="s">
        <v>72</v>
      </c>
      <c r="AG903">
        <v>18</v>
      </c>
      <c r="AH903" t="s">
        <v>73</v>
      </c>
      <c r="AI903" t="s">
        <v>74</v>
      </c>
      <c r="AJ903" t="s">
        <v>75</v>
      </c>
      <c r="AK903" t="s">
        <v>76</v>
      </c>
      <c r="AL903" t="s">
        <v>77</v>
      </c>
      <c r="AM903" t="s">
        <v>78</v>
      </c>
      <c r="AN903" t="s">
        <v>92</v>
      </c>
      <c r="AO903" t="s">
        <v>80</v>
      </c>
      <c r="AP903" t="e">
        <v>#N/A</v>
      </c>
      <c r="AQ903" t="s">
        <v>81</v>
      </c>
      <c r="AR903" t="str">
        <f t="shared" si="26"/>
        <v>60604324.STATAM</v>
      </c>
      <c r="AS903">
        <f t="shared" si="27"/>
        <v>-19944.36</v>
      </c>
      <c r="AT903" t="s">
        <v>93</v>
      </c>
    </row>
    <row r="904" spans="1:46" x14ac:dyDescent="0.35">
      <c r="A904" t="s">
        <v>52</v>
      </c>
      <c r="B904" t="s">
        <v>53</v>
      </c>
      <c r="C904" t="s">
        <v>54</v>
      </c>
      <c r="D904" t="s">
        <v>55</v>
      </c>
      <c r="E904" t="s">
        <v>56</v>
      </c>
      <c r="F904" t="s">
        <v>3003</v>
      </c>
      <c r="G904" t="s">
        <v>3004</v>
      </c>
      <c r="H904" t="s">
        <v>59</v>
      </c>
      <c r="I904" t="s">
        <v>3005</v>
      </c>
      <c r="J904" t="s">
        <v>61</v>
      </c>
      <c r="K904" t="s">
        <v>62</v>
      </c>
      <c r="L904" t="s">
        <v>56</v>
      </c>
      <c r="M904" t="s">
        <v>56</v>
      </c>
      <c r="N904" t="s">
        <v>63</v>
      </c>
      <c r="O904" t="s">
        <v>245</v>
      </c>
      <c r="P904" t="s">
        <v>246</v>
      </c>
      <c r="Q904" t="s">
        <v>3006</v>
      </c>
      <c r="R904" t="s">
        <v>67</v>
      </c>
      <c r="T904">
        <v>-4272453.12</v>
      </c>
      <c r="U904" t="s">
        <v>68</v>
      </c>
      <c r="V904" t="s">
        <v>3007</v>
      </c>
      <c r="W904" s="9">
        <v>60604110</v>
      </c>
      <c r="X904" t="s">
        <v>3008</v>
      </c>
      <c r="Y904" s="1">
        <v>45957</v>
      </c>
      <c r="Z904" s="1">
        <v>45987</v>
      </c>
      <c r="AA904" s="2">
        <v>1927348.76</v>
      </c>
      <c r="AB904" s="2">
        <v>1633346.4</v>
      </c>
      <c r="AC904" s="2">
        <v>294002.36</v>
      </c>
      <c r="AD904" s="2">
        <v>1312356.6499999999</v>
      </c>
      <c r="AE904" t="s">
        <v>3009</v>
      </c>
      <c r="AF904" t="s">
        <v>72</v>
      </c>
      <c r="AG904">
        <v>91</v>
      </c>
      <c r="AH904" t="s">
        <v>91</v>
      </c>
      <c r="AI904" t="s">
        <v>74</v>
      </c>
      <c r="AJ904" t="s">
        <v>75</v>
      </c>
      <c r="AK904" t="s">
        <v>76</v>
      </c>
      <c r="AL904" t="s">
        <v>77</v>
      </c>
      <c r="AM904" t="s">
        <v>78</v>
      </c>
      <c r="AN904" t="s">
        <v>239</v>
      </c>
      <c r="AO904" t="s">
        <v>80</v>
      </c>
      <c r="AP904" t="e">
        <v>#N/A</v>
      </c>
      <c r="AQ904" t="s">
        <v>81</v>
      </c>
      <c r="AR904" t="str">
        <f t="shared" ref="AR904:AR967" si="28">W904&amp;"."&amp;AQ904</f>
        <v>60604110.STATAM</v>
      </c>
      <c r="AS904">
        <f t="shared" ref="AS904:AS967" si="29">SUMIFS(AD:AD,AQ:AQ,AQ904,W:W,W904)</f>
        <v>1312356.6499999999</v>
      </c>
      <c r="AT904" t="s">
        <v>82</v>
      </c>
    </row>
    <row r="905" spans="1:46" x14ac:dyDescent="0.35">
      <c r="A905" t="s">
        <v>52</v>
      </c>
      <c r="B905" t="s">
        <v>53</v>
      </c>
      <c r="C905" t="s">
        <v>54</v>
      </c>
      <c r="D905" t="s">
        <v>55</v>
      </c>
      <c r="E905" t="s">
        <v>56</v>
      </c>
      <c r="F905" t="s">
        <v>3003</v>
      </c>
      <c r="G905" t="s">
        <v>3004</v>
      </c>
      <c r="H905" t="s">
        <v>59</v>
      </c>
      <c r="I905" t="s">
        <v>3005</v>
      </c>
      <c r="J905" t="s">
        <v>61</v>
      </c>
      <c r="K905" t="s">
        <v>62</v>
      </c>
      <c r="L905" t="s">
        <v>56</v>
      </c>
      <c r="M905" t="s">
        <v>56</v>
      </c>
      <c r="N905" t="s">
        <v>377</v>
      </c>
      <c r="O905" t="s">
        <v>245</v>
      </c>
      <c r="P905" t="s">
        <v>246</v>
      </c>
      <c r="Q905" t="s">
        <v>3006</v>
      </c>
      <c r="R905" t="s">
        <v>67</v>
      </c>
      <c r="T905">
        <v>-4272453.12</v>
      </c>
      <c r="U905" t="s">
        <v>68</v>
      </c>
      <c r="V905" t="s">
        <v>3007</v>
      </c>
      <c r="W905" s="9">
        <v>60604110</v>
      </c>
      <c r="X905" t="s">
        <v>3010</v>
      </c>
      <c r="Y905" s="1">
        <v>45982</v>
      </c>
      <c r="Z905" s="1">
        <v>46012</v>
      </c>
      <c r="AA905" s="2">
        <v>1099931.58</v>
      </c>
      <c r="AB905" s="2">
        <v>932145.4</v>
      </c>
      <c r="AC905" s="2">
        <v>167786.18</v>
      </c>
      <c r="AD905" s="2">
        <v>1099931.58</v>
      </c>
      <c r="AE905" t="s">
        <v>3011</v>
      </c>
      <c r="AF905" t="s">
        <v>72</v>
      </c>
      <c r="AG905">
        <v>66</v>
      </c>
      <c r="AH905" t="s">
        <v>260</v>
      </c>
      <c r="AI905" t="s">
        <v>74</v>
      </c>
      <c r="AJ905" t="s">
        <v>237</v>
      </c>
      <c r="AK905" t="s">
        <v>383</v>
      </c>
      <c r="AL905" t="s">
        <v>77</v>
      </c>
      <c r="AM905" t="s">
        <v>78</v>
      </c>
      <c r="AN905" t="s">
        <v>239</v>
      </c>
      <c r="AO905" t="s">
        <v>80</v>
      </c>
      <c r="AP905" t="e">
        <v>#N/A</v>
      </c>
      <c r="AQ905" t="s">
        <v>383</v>
      </c>
      <c r="AR905" t="str">
        <f t="shared" si="28"/>
        <v>60604110.MOBILAM</v>
      </c>
      <c r="AS905">
        <f t="shared" si="29"/>
        <v>2960096.4699999997</v>
      </c>
      <c r="AT905" t="s">
        <v>82</v>
      </c>
    </row>
    <row r="906" spans="1:46" x14ac:dyDescent="0.35">
      <c r="A906" t="s">
        <v>52</v>
      </c>
      <c r="B906" t="s">
        <v>53</v>
      </c>
      <c r="C906" t="s">
        <v>54</v>
      </c>
      <c r="D906" t="s">
        <v>55</v>
      </c>
      <c r="E906" t="s">
        <v>56</v>
      </c>
      <c r="F906" t="s">
        <v>3003</v>
      </c>
      <c r="G906" t="s">
        <v>3004</v>
      </c>
      <c r="H906" t="s">
        <v>59</v>
      </c>
      <c r="I906" t="s">
        <v>3005</v>
      </c>
      <c r="J906" t="s">
        <v>61</v>
      </c>
      <c r="K906" t="s">
        <v>62</v>
      </c>
      <c r="L906" t="s">
        <v>56</v>
      </c>
      <c r="M906" t="s">
        <v>56</v>
      </c>
      <c r="N906" t="s">
        <v>377</v>
      </c>
      <c r="O906" t="s">
        <v>245</v>
      </c>
      <c r="P906" t="s">
        <v>246</v>
      </c>
      <c r="Q906" t="s">
        <v>3006</v>
      </c>
      <c r="R906" t="s">
        <v>67</v>
      </c>
      <c r="T906">
        <v>-4272453.12</v>
      </c>
      <c r="U906" t="s">
        <v>68</v>
      </c>
      <c r="V906" t="s">
        <v>3007</v>
      </c>
      <c r="W906" s="9">
        <v>60604110</v>
      </c>
      <c r="X906" t="s">
        <v>3012</v>
      </c>
      <c r="Y906" s="1">
        <v>46027</v>
      </c>
      <c r="Z906" s="1">
        <v>46057</v>
      </c>
      <c r="AA906" s="2">
        <v>1007704.01</v>
      </c>
      <c r="AB906" s="2">
        <v>853986.45</v>
      </c>
      <c r="AC906" s="2">
        <v>153717.56</v>
      </c>
      <c r="AD906" s="2">
        <v>1007704.01</v>
      </c>
      <c r="AE906" t="s">
        <v>3013</v>
      </c>
      <c r="AF906" t="s">
        <v>72</v>
      </c>
      <c r="AG906">
        <v>21</v>
      </c>
      <c r="AH906" t="s">
        <v>73</v>
      </c>
      <c r="AI906" t="s">
        <v>74</v>
      </c>
      <c r="AJ906" t="s">
        <v>237</v>
      </c>
      <c r="AK906" t="s">
        <v>383</v>
      </c>
      <c r="AL906" t="s">
        <v>77</v>
      </c>
      <c r="AM906" t="s">
        <v>78</v>
      </c>
      <c r="AN906" t="s">
        <v>239</v>
      </c>
      <c r="AO906" t="s">
        <v>80</v>
      </c>
      <c r="AP906" t="e">
        <v>#N/A</v>
      </c>
      <c r="AQ906" t="s">
        <v>383</v>
      </c>
      <c r="AR906" t="str">
        <f t="shared" si="28"/>
        <v>60604110.MOBILAM</v>
      </c>
      <c r="AS906">
        <f t="shared" si="29"/>
        <v>2960096.4699999997</v>
      </c>
      <c r="AT906" t="s">
        <v>82</v>
      </c>
    </row>
    <row r="907" spans="1:46" x14ac:dyDescent="0.35">
      <c r="A907" t="s">
        <v>52</v>
      </c>
      <c r="B907" t="s">
        <v>53</v>
      </c>
      <c r="C907" t="s">
        <v>54</v>
      </c>
      <c r="D907" t="s">
        <v>55</v>
      </c>
      <c r="E907" t="s">
        <v>56</v>
      </c>
      <c r="F907" t="s">
        <v>3003</v>
      </c>
      <c r="G907" t="s">
        <v>3004</v>
      </c>
      <c r="H907" t="s">
        <v>59</v>
      </c>
      <c r="I907" t="s">
        <v>3005</v>
      </c>
      <c r="J907" t="s">
        <v>61</v>
      </c>
      <c r="K907" t="s">
        <v>62</v>
      </c>
      <c r="L907" t="s">
        <v>56</v>
      </c>
      <c r="M907" t="s">
        <v>56</v>
      </c>
      <c r="N907" t="s">
        <v>377</v>
      </c>
      <c r="O907" t="s">
        <v>245</v>
      </c>
      <c r="P907" t="s">
        <v>246</v>
      </c>
      <c r="Q907" t="s">
        <v>3006</v>
      </c>
      <c r="R907" t="s">
        <v>67</v>
      </c>
      <c r="T907">
        <v>-4272453.12</v>
      </c>
      <c r="U907" t="s">
        <v>68</v>
      </c>
      <c r="V907" t="s">
        <v>3007</v>
      </c>
      <c r="W907" s="9">
        <v>60604110</v>
      </c>
      <c r="X907" t="s">
        <v>3014</v>
      </c>
      <c r="Y907" s="1">
        <v>46052</v>
      </c>
      <c r="Z907" s="1">
        <v>46082</v>
      </c>
      <c r="AA907" s="2">
        <v>592377.31999999995</v>
      </c>
      <c r="AB907" s="2">
        <v>502014.68</v>
      </c>
      <c r="AC907" s="2">
        <v>90362.64</v>
      </c>
      <c r="AD907" s="2">
        <v>592377.31999999995</v>
      </c>
      <c r="AE907" t="s">
        <v>3015</v>
      </c>
      <c r="AF907" t="s">
        <v>72</v>
      </c>
      <c r="AG907">
        <v>-4</v>
      </c>
      <c r="AH907" t="s">
        <v>117</v>
      </c>
      <c r="AI907" t="s">
        <v>74</v>
      </c>
      <c r="AJ907" t="s">
        <v>237</v>
      </c>
      <c r="AK907" t="s">
        <v>383</v>
      </c>
      <c r="AL907" t="s">
        <v>118</v>
      </c>
      <c r="AM907" t="s">
        <v>78</v>
      </c>
      <c r="AN907" t="s">
        <v>239</v>
      </c>
      <c r="AO907" t="s">
        <v>119</v>
      </c>
      <c r="AP907" t="e">
        <v>#N/A</v>
      </c>
      <c r="AQ907" t="s">
        <v>383</v>
      </c>
      <c r="AR907" t="str">
        <f t="shared" si="28"/>
        <v>60604110.MOBILAM</v>
      </c>
      <c r="AS907">
        <f t="shared" si="29"/>
        <v>2960096.4699999997</v>
      </c>
      <c r="AT907" t="s">
        <v>82</v>
      </c>
    </row>
    <row r="908" spans="1:46" x14ac:dyDescent="0.35">
      <c r="A908" t="s">
        <v>52</v>
      </c>
      <c r="B908" t="s">
        <v>53</v>
      </c>
      <c r="C908" t="s">
        <v>54</v>
      </c>
      <c r="D908" t="s">
        <v>55</v>
      </c>
      <c r="E908" t="s">
        <v>56</v>
      </c>
      <c r="F908" t="s">
        <v>3003</v>
      </c>
      <c r="G908" t="s">
        <v>3004</v>
      </c>
      <c r="H908" t="s">
        <v>59</v>
      </c>
      <c r="I908" t="s">
        <v>3005</v>
      </c>
      <c r="J908" t="s">
        <v>61</v>
      </c>
      <c r="K908" t="s">
        <v>62</v>
      </c>
      <c r="L908" t="s">
        <v>56</v>
      </c>
      <c r="M908" t="s">
        <v>56</v>
      </c>
      <c r="N908" t="s">
        <v>377</v>
      </c>
      <c r="O908" t="s">
        <v>245</v>
      </c>
      <c r="P908" t="s">
        <v>246</v>
      </c>
      <c r="Q908" t="s">
        <v>3006</v>
      </c>
      <c r="R908" t="s">
        <v>67</v>
      </c>
      <c r="T908">
        <v>-4272453.12</v>
      </c>
      <c r="U908" t="s">
        <v>68</v>
      </c>
      <c r="V908" t="s">
        <v>3007</v>
      </c>
      <c r="W908" s="9">
        <v>60604110</v>
      </c>
      <c r="X908" t="s">
        <v>3016</v>
      </c>
      <c r="Y908" s="1">
        <v>46052</v>
      </c>
      <c r="Z908" s="1">
        <v>46082</v>
      </c>
      <c r="AA908" s="2">
        <v>260083.56</v>
      </c>
      <c r="AB908" s="2">
        <v>220409.8</v>
      </c>
      <c r="AC908" s="2">
        <v>39673.760000000002</v>
      </c>
      <c r="AD908" s="2">
        <v>260083.56</v>
      </c>
      <c r="AE908" t="s">
        <v>3017</v>
      </c>
      <c r="AF908" t="s">
        <v>72</v>
      </c>
      <c r="AG908">
        <v>-4</v>
      </c>
      <c r="AH908" t="s">
        <v>117</v>
      </c>
      <c r="AI908" t="s">
        <v>74</v>
      </c>
      <c r="AJ908" t="s">
        <v>237</v>
      </c>
      <c r="AK908" t="s">
        <v>383</v>
      </c>
      <c r="AL908" t="s">
        <v>118</v>
      </c>
      <c r="AM908" t="s">
        <v>78</v>
      </c>
      <c r="AN908" t="s">
        <v>239</v>
      </c>
      <c r="AO908" t="s">
        <v>119</v>
      </c>
      <c r="AP908" t="e">
        <v>#N/A</v>
      </c>
      <c r="AQ908" t="s">
        <v>383</v>
      </c>
      <c r="AR908" t="str">
        <f t="shared" si="28"/>
        <v>60604110.MOBILAM</v>
      </c>
      <c r="AS908">
        <f t="shared" si="29"/>
        <v>2960096.4699999997</v>
      </c>
      <c r="AT908" t="s">
        <v>82</v>
      </c>
    </row>
    <row r="909" spans="1:46" x14ac:dyDescent="0.35">
      <c r="A909" t="s">
        <v>52</v>
      </c>
      <c r="B909" t="s">
        <v>53</v>
      </c>
      <c r="C909" t="s">
        <v>54</v>
      </c>
      <c r="D909" t="s">
        <v>55</v>
      </c>
      <c r="E909" t="s">
        <v>56</v>
      </c>
      <c r="F909" t="s">
        <v>3018</v>
      </c>
      <c r="G909" t="s">
        <v>3019</v>
      </c>
      <c r="H909" t="s">
        <v>56</v>
      </c>
      <c r="I909" t="s">
        <v>3020</v>
      </c>
      <c r="J909" t="s">
        <v>514</v>
      </c>
      <c r="K909" t="s">
        <v>62</v>
      </c>
      <c r="L909" t="s">
        <v>56</v>
      </c>
      <c r="M909" t="s">
        <v>56</v>
      </c>
      <c r="N909" t="s">
        <v>3021</v>
      </c>
      <c r="O909" t="s">
        <v>245</v>
      </c>
      <c r="P909" t="s">
        <v>246</v>
      </c>
      <c r="Q909" t="s">
        <v>114</v>
      </c>
      <c r="R909" t="s">
        <v>88</v>
      </c>
      <c r="T909">
        <v>-722625.62</v>
      </c>
      <c r="U909" t="s">
        <v>68</v>
      </c>
      <c r="V909" t="s">
        <v>3022</v>
      </c>
      <c r="W909" s="9">
        <v>60601753</v>
      </c>
      <c r="X909" t="s">
        <v>3023</v>
      </c>
      <c r="Y909" s="1">
        <v>44147</v>
      </c>
      <c r="Z909" s="1">
        <v>44207</v>
      </c>
      <c r="AA909" s="2">
        <v>3778832</v>
      </c>
      <c r="AB909" s="2">
        <v>3200000</v>
      </c>
      <c r="AC909" s="2">
        <v>578832</v>
      </c>
      <c r="AD909" s="2">
        <v>722625.62</v>
      </c>
      <c r="AE909" t="s">
        <v>3024</v>
      </c>
      <c r="AF909" t="s">
        <v>72</v>
      </c>
      <c r="AG909">
        <v>1871</v>
      </c>
      <c r="AH909" t="s">
        <v>473</v>
      </c>
      <c r="AI909" t="s">
        <v>74</v>
      </c>
      <c r="AJ909" t="s">
        <v>75</v>
      </c>
      <c r="AK909" t="s">
        <v>76</v>
      </c>
      <c r="AL909" t="s">
        <v>77</v>
      </c>
      <c r="AM909" t="s">
        <v>78</v>
      </c>
      <c r="AN909" t="s">
        <v>239</v>
      </c>
      <c r="AO909" t="s">
        <v>80</v>
      </c>
      <c r="AP909" t="e">
        <v>#N/A</v>
      </c>
      <c r="AQ909" t="s">
        <v>81</v>
      </c>
      <c r="AR909" t="str">
        <f t="shared" si="28"/>
        <v>60601753.STATAM</v>
      </c>
      <c r="AS909">
        <f t="shared" si="29"/>
        <v>722625.62</v>
      </c>
      <c r="AT909" t="s">
        <v>82</v>
      </c>
    </row>
    <row r="910" spans="1:46" x14ac:dyDescent="0.35">
      <c r="A910" t="s">
        <v>52</v>
      </c>
      <c r="B910" t="s">
        <v>53</v>
      </c>
      <c r="C910" t="s">
        <v>54</v>
      </c>
      <c r="D910" t="s">
        <v>55</v>
      </c>
      <c r="E910" t="s">
        <v>56</v>
      </c>
      <c r="F910" t="s">
        <v>3025</v>
      </c>
      <c r="G910" t="s">
        <v>3026</v>
      </c>
      <c r="H910" t="s">
        <v>56</v>
      </c>
      <c r="I910" t="s">
        <v>3027</v>
      </c>
      <c r="J910" t="s">
        <v>56</v>
      </c>
      <c r="K910" t="s">
        <v>62</v>
      </c>
      <c r="L910" t="s">
        <v>56</v>
      </c>
      <c r="M910" t="s">
        <v>56</v>
      </c>
      <c r="N910" t="s">
        <v>1183</v>
      </c>
      <c r="O910" t="s">
        <v>245</v>
      </c>
      <c r="P910" t="s">
        <v>246</v>
      </c>
      <c r="Q910" t="s">
        <v>393</v>
      </c>
      <c r="R910" t="s">
        <v>67</v>
      </c>
      <c r="S910">
        <v>1500000</v>
      </c>
      <c r="T910">
        <v>1499403.01</v>
      </c>
      <c r="U910" t="s">
        <v>68</v>
      </c>
      <c r="V910" t="s">
        <v>3028</v>
      </c>
      <c r="W910" s="9">
        <v>60602294</v>
      </c>
      <c r="X910" t="s">
        <v>3029</v>
      </c>
      <c r="Y910" s="1">
        <v>45875</v>
      </c>
      <c r="Z910" s="1">
        <v>45905</v>
      </c>
      <c r="AA910" s="2">
        <v>60718.080000000002</v>
      </c>
      <c r="AB910" s="2">
        <v>51456</v>
      </c>
      <c r="AC910" s="2">
        <v>9262.08</v>
      </c>
      <c r="AD910" s="2">
        <v>365.88</v>
      </c>
      <c r="AE910" t="s">
        <v>3030</v>
      </c>
      <c r="AF910" t="s">
        <v>72</v>
      </c>
      <c r="AG910">
        <v>173</v>
      </c>
      <c r="AH910" t="s">
        <v>91</v>
      </c>
      <c r="AI910" t="s">
        <v>74</v>
      </c>
      <c r="AJ910" t="s">
        <v>75</v>
      </c>
      <c r="AK910" t="s">
        <v>76</v>
      </c>
      <c r="AL910" t="s">
        <v>77</v>
      </c>
      <c r="AM910" t="s">
        <v>78</v>
      </c>
      <c r="AN910" t="s">
        <v>239</v>
      </c>
      <c r="AO910" t="s">
        <v>80</v>
      </c>
      <c r="AP910" t="e">
        <v>#N/A</v>
      </c>
      <c r="AQ910" t="s">
        <v>81</v>
      </c>
      <c r="AR910" t="str">
        <f t="shared" si="28"/>
        <v>60602294.STATAM</v>
      </c>
      <c r="AS910">
        <f t="shared" si="29"/>
        <v>596.99</v>
      </c>
      <c r="AT910" t="s">
        <v>82</v>
      </c>
    </row>
    <row r="911" spans="1:46" x14ac:dyDescent="0.35">
      <c r="A911" t="s">
        <v>52</v>
      </c>
      <c r="B911" t="s">
        <v>53</v>
      </c>
      <c r="C911" t="s">
        <v>54</v>
      </c>
      <c r="D911" t="s">
        <v>55</v>
      </c>
      <c r="E911" t="s">
        <v>56</v>
      </c>
      <c r="F911" t="s">
        <v>3025</v>
      </c>
      <c r="G911" t="s">
        <v>3026</v>
      </c>
      <c r="H911" t="s">
        <v>56</v>
      </c>
      <c r="I911" t="s">
        <v>3027</v>
      </c>
      <c r="J911" t="s">
        <v>56</v>
      </c>
      <c r="K911" t="s">
        <v>62</v>
      </c>
      <c r="L911" t="s">
        <v>56</v>
      </c>
      <c r="M911" t="s">
        <v>56</v>
      </c>
      <c r="N911" t="s">
        <v>1189</v>
      </c>
      <c r="O911" t="s">
        <v>245</v>
      </c>
      <c r="P911" t="s">
        <v>246</v>
      </c>
      <c r="Q911" t="s">
        <v>393</v>
      </c>
      <c r="R911" t="s">
        <v>67</v>
      </c>
      <c r="S911">
        <v>1500000</v>
      </c>
      <c r="T911">
        <v>1499403.01</v>
      </c>
      <c r="U911" t="s">
        <v>68</v>
      </c>
      <c r="V911" t="s">
        <v>3028</v>
      </c>
      <c r="W911" s="9">
        <v>60602294</v>
      </c>
      <c r="X911" t="s">
        <v>3029</v>
      </c>
      <c r="Y911" s="1">
        <v>45875</v>
      </c>
      <c r="Z911" s="1">
        <v>45905</v>
      </c>
      <c r="AA911" s="2">
        <v>38352.36</v>
      </c>
      <c r="AB911" s="2">
        <v>32502</v>
      </c>
      <c r="AC911" s="2">
        <v>5850.36</v>
      </c>
      <c r="AD911" s="2">
        <v>231.11</v>
      </c>
      <c r="AE911" t="s">
        <v>3031</v>
      </c>
      <c r="AF911" t="s">
        <v>72</v>
      </c>
      <c r="AG911">
        <v>173</v>
      </c>
      <c r="AH911" t="s">
        <v>91</v>
      </c>
      <c r="AI911" t="s">
        <v>74</v>
      </c>
      <c r="AJ911" t="s">
        <v>75</v>
      </c>
      <c r="AK911" t="s">
        <v>76</v>
      </c>
      <c r="AL911" t="s">
        <v>77</v>
      </c>
      <c r="AM911" t="s">
        <v>78</v>
      </c>
      <c r="AN911" t="s">
        <v>239</v>
      </c>
      <c r="AO911" t="s">
        <v>80</v>
      </c>
      <c r="AP911" t="e">
        <v>#N/A</v>
      </c>
      <c r="AQ911" t="s">
        <v>81</v>
      </c>
      <c r="AR911" t="str">
        <f t="shared" si="28"/>
        <v>60602294.STATAM</v>
      </c>
      <c r="AS911">
        <f t="shared" si="29"/>
        <v>596.99</v>
      </c>
      <c r="AT911" t="s">
        <v>82</v>
      </c>
    </row>
    <row r="912" spans="1:46" x14ac:dyDescent="0.35">
      <c r="A912" t="s">
        <v>52</v>
      </c>
      <c r="B912" t="s">
        <v>53</v>
      </c>
      <c r="C912" t="s">
        <v>54</v>
      </c>
      <c r="D912" t="s">
        <v>55</v>
      </c>
      <c r="E912" t="s">
        <v>56</v>
      </c>
      <c r="F912" t="s">
        <v>3032</v>
      </c>
      <c r="G912" t="s">
        <v>3033</v>
      </c>
      <c r="H912" t="s">
        <v>56</v>
      </c>
      <c r="I912" t="s">
        <v>3034</v>
      </c>
      <c r="J912" t="s">
        <v>61</v>
      </c>
      <c r="K912" t="s">
        <v>62</v>
      </c>
      <c r="L912" t="s">
        <v>56</v>
      </c>
      <c r="M912" t="s">
        <v>56</v>
      </c>
      <c r="N912" t="s">
        <v>295</v>
      </c>
      <c r="O912" t="s">
        <v>245</v>
      </c>
      <c r="P912" t="s">
        <v>246</v>
      </c>
      <c r="Q912" t="s">
        <v>87</v>
      </c>
      <c r="R912" t="s">
        <v>67</v>
      </c>
      <c r="S912">
        <v>500000</v>
      </c>
      <c r="T912">
        <v>-1742573.41</v>
      </c>
      <c r="U912" t="s">
        <v>68</v>
      </c>
      <c r="V912" t="s">
        <v>3028</v>
      </c>
      <c r="W912" s="9">
        <v>60604342</v>
      </c>
      <c r="X912" t="s">
        <v>3035</v>
      </c>
      <c r="Y912" s="1">
        <v>45973</v>
      </c>
      <c r="Z912" s="1">
        <v>46003</v>
      </c>
      <c r="AA912" s="2">
        <v>35767.57</v>
      </c>
      <c r="AB912" s="2">
        <v>30311.5</v>
      </c>
      <c r="AC912" s="2">
        <v>5456.07</v>
      </c>
      <c r="AD912" s="2">
        <v>1747.11</v>
      </c>
      <c r="AE912" t="s">
        <v>3036</v>
      </c>
      <c r="AF912" t="s">
        <v>72</v>
      </c>
      <c r="AG912">
        <v>75</v>
      </c>
      <c r="AH912" t="s">
        <v>260</v>
      </c>
      <c r="AI912" t="s">
        <v>74</v>
      </c>
      <c r="AJ912" t="s">
        <v>75</v>
      </c>
      <c r="AK912" t="s">
        <v>76</v>
      </c>
      <c r="AL912" t="s">
        <v>77</v>
      </c>
      <c r="AM912" t="s">
        <v>78</v>
      </c>
      <c r="AN912" t="s">
        <v>239</v>
      </c>
      <c r="AO912" t="s">
        <v>80</v>
      </c>
      <c r="AP912" t="e">
        <v>#N/A</v>
      </c>
      <c r="AQ912" t="s">
        <v>81</v>
      </c>
      <c r="AR912" t="str">
        <f t="shared" si="28"/>
        <v>60604342.STATAM</v>
      </c>
      <c r="AS912">
        <f t="shared" si="29"/>
        <v>2242573.41</v>
      </c>
      <c r="AT912" t="s">
        <v>82</v>
      </c>
    </row>
    <row r="913" spans="1:46" x14ac:dyDescent="0.35">
      <c r="A913" t="s">
        <v>52</v>
      </c>
      <c r="B913" t="s">
        <v>53</v>
      </c>
      <c r="C913" t="s">
        <v>54</v>
      </c>
      <c r="D913" t="s">
        <v>55</v>
      </c>
      <c r="E913" t="s">
        <v>56</v>
      </c>
      <c r="F913" t="s">
        <v>3032</v>
      </c>
      <c r="G913" t="s">
        <v>3037</v>
      </c>
      <c r="H913" t="s">
        <v>56</v>
      </c>
      <c r="I913" t="s">
        <v>3038</v>
      </c>
      <c r="J913" t="s">
        <v>61</v>
      </c>
      <c r="K913" t="s">
        <v>62</v>
      </c>
      <c r="L913" t="s">
        <v>56</v>
      </c>
      <c r="M913" t="s">
        <v>56</v>
      </c>
      <c r="N913" t="s">
        <v>254</v>
      </c>
      <c r="O913" t="s">
        <v>245</v>
      </c>
      <c r="P913" t="s">
        <v>246</v>
      </c>
      <c r="Q913" t="s">
        <v>87</v>
      </c>
      <c r="R913" t="s">
        <v>67</v>
      </c>
      <c r="S913">
        <v>500000</v>
      </c>
      <c r="T913">
        <v>-1742573.41</v>
      </c>
      <c r="U913" t="s">
        <v>68</v>
      </c>
      <c r="V913" t="s">
        <v>3028</v>
      </c>
      <c r="W913" s="9">
        <v>60604342</v>
      </c>
      <c r="X913" t="s">
        <v>3039</v>
      </c>
      <c r="Y913" s="1">
        <v>45987</v>
      </c>
      <c r="Z913" s="1">
        <v>46017</v>
      </c>
      <c r="AA913" s="2">
        <v>20523.740000000002</v>
      </c>
      <c r="AB913" s="2">
        <v>17393</v>
      </c>
      <c r="AC913" s="2">
        <v>3130.74</v>
      </c>
      <c r="AD913" s="2">
        <v>1377.46</v>
      </c>
      <c r="AE913" t="s">
        <v>3040</v>
      </c>
      <c r="AF913" t="s">
        <v>72</v>
      </c>
      <c r="AG913">
        <v>61</v>
      </c>
      <c r="AH913" t="s">
        <v>260</v>
      </c>
      <c r="AI913" t="s">
        <v>74</v>
      </c>
      <c r="AJ913" t="s">
        <v>75</v>
      </c>
      <c r="AK913" t="s">
        <v>76</v>
      </c>
      <c r="AL913" t="s">
        <v>77</v>
      </c>
      <c r="AM913" t="s">
        <v>78</v>
      </c>
      <c r="AN913" t="s">
        <v>239</v>
      </c>
      <c r="AO913" t="s">
        <v>80</v>
      </c>
      <c r="AP913" t="e">
        <v>#N/A</v>
      </c>
      <c r="AQ913" t="s">
        <v>81</v>
      </c>
      <c r="AR913" t="str">
        <f t="shared" si="28"/>
        <v>60604342.STATAM</v>
      </c>
      <c r="AS913">
        <f t="shared" si="29"/>
        <v>2242573.41</v>
      </c>
      <c r="AT913" t="s">
        <v>82</v>
      </c>
    </row>
    <row r="914" spans="1:46" x14ac:dyDescent="0.35">
      <c r="A914" t="s">
        <v>52</v>
      </c>
      <c r="B914" t="s">
        <v>53</v>
      </c>
      <c r="C914" t="s">
        <v>54</v>
      </c>
      <c r="D914" t="s">
        <v>55</v>
      </c>
      <c r="E914" t="s">
        <v>56</v>
      </c>
      <c r="F914" t="s">
        <v>3032</v>
      </c>
      <c r="G914" t="s">
        <v>3037</v>
      </c>
      <c r="H914" t="s">
        <v>56</v>
      </c>
      <c r="I914" t="s">
        <v>3041</v>
      </c>
      <c r="J914" t="s">
        <v>61</v>
      </c>
      <c r="K914" t="s">
        <v>62</v>
      </c>
      <c r="L914" t="s">
        <v>56</v>
      </c>
      <c r="M914" t="s">
        <v>56</v>
      </c>
      <c r="N914" t="s">
        <v>1189</v>
      </c>
      <c r="O914" t="s">
        <v>245</v>
      </c>
      <c r="P914" t="s">
        <v>246</v>
      </c>
      <c r="Q914" t="s">
        <v>87</v>
      </c>
      <c r="R914" t="s">
        <v>67</v>
      </c>
      <c r="S914">
        <v>500000</v>
      </c>
      <c r="T914">
        <v>-1742573.41</v>
      </c>
      <c r="U914" t="s">
        <v>68</v>
      </c>
      <c r="V914" t="s">
        <v>3028</v>
      </c>
      <c r="W914" s="9">
        <v>60604342</v>
      </c>
      <c r="X914" t="s">
        <v>3042</v>
      </c>
      <c r="Y914" s="1">
        <v>46011</v>
      </c>
      <c r="Z914" s="1">
        <v>46041</v>
      </c>
      <c r="AA914" s="2">
        <v>70427.12</v>
      </c>
      <c r="AB914" s="2">
        <v>59684</v>
      </c>
      <c r="AC914" s="2">
        <v>10743.12</v>
      </c>
      <c r="AD914" s="2">
        <v>70427.12</v>
      </c>
      <c r="AE914" t="s">
        <v>3043</v>
      </c>
      <c r="AF914" t="s">
        <v>72</v>
      </c>
      <c r="AG914">
        <v>37</v>
      </c>
      <c r="AH914" t="s">
        <v>236</v>
      </c>
      <c r="AI914" t="s">
        <v>74</v>
      </c>
      <c r="AJ914" t="s">
        <v>75</v>
      </c>
      <c r="AK914" t="s">
        <v>76</v>
      </c>
      <c r="AL914" t="s">
        <v>77</v>
      </c>
      <c r="AM914" t="s">
        <v>78</v>
      </c>
      <c r="AN914" t="s">
        <v>239</v>
      </c>
      <c r="AO914" t="s">
        <v>80</v>
      </c>
      <c r="AP914" t="e">
        <v>#N/A</v>
      </c>
      <c r="AQ914" t="s">
        <v>81</v>
      </c>
      <c r="AR914" t="str">
        <f t="shared" si="28"/>
        <v>60604342.STATAM</v>
      </c>
      <c r="AS914">
        <f t="shared" si="29"/>
        <v>2242573.41</v>
      </c>
      <c r="AT914" t="s">
        <v>82</v>
      </c>
    </row>
    <row r="915" spans="1:46" x14ac:dyDescent="0.35">
      <c r="A915" t="s">
        <v>52</v>
      </c>
      <c r="B915" t="s">
        <v>53</v>
      </c>
      <c r="C915" t="s">
        <v>54</v>
      </c>
      <c r="D915" t="s">
        <v>55</v>
      </c>
      <c r="E915" t="s">
        <v>56</v>
      </c>
      <c r="F915" t="s">
        <v>3032</v>
      </c>
      <c r="G915" t="s">
        <v>3044</v>
      </c>
      <c r="H915" t="s">
        <v>56</v>
      </c>
      <c r="I915" t="s">
        <v>3045</v>
      </c>
      <c r="J915" t="s">
        <v>61</v>
      </c>
      <c r="K915" t="s">
        <v>62</v>
      </c>
      <c r="L915" t="s">
        <v>56</v>
      </c>
      <c r="M915" t="s">
        <v>56</v>
      </c>
      <c r="N915" t="s">
        <v>254</v>
      </c>
      <c r="O915" t="s">
        <v>245</v>
      </c>
      <c r="P915" t="s">
        <v>246</v>
      </c>
      <c r="Q915" t="s">
        <v>87</v>
      </c>
      <c r="R915" t="s">
        <v>67</v>
      </c>
      <c r="S915">
        <v>500000</v>
      </c>
      <c r="T915">
        <v>-1742573.41</v>
      </c>
      <c r="U915" t="s">
        <v>68</v>
      </c>
      <c r="V915" t="s">
        <v>3028</v>
      </c>
      <c r="W915" s="9">
        <v>60604342</v>
      </c>
      <c r="X915" t="s">
        <v>3046</v>
      </c>
      <c r="Y915" s="1">
        <v>46011</v>
      </c>
      <c r="Z915" s="1">
        <v>46041</v>
      </c>
      <c r="AA915" s="2">
        <v>246284.88</v>
      </c>
      <c r="AB915" s="2">
        <v>208716</v>
      </c>
      <c r="AC915" s="2">
        <v>37568.879999999997</v>
      </c>
      <c r="AD915" s="2">
        <v>246284.88</v>
      </c>
      <c r="AE915" t="s">
        <v>3047</v>
      </c>
      <c r="AF915" t="s">
        <v>72</v>
      </c>
      <c r="AG915">
        <v>37</v>
      </c>
      <c r="AH915" t="s">
        <v>236</v>
      </c>
      <c r="AI915" t="s">
        <v>74</v>
      </c>
      <c r="AJ915" t="s">
        <v>75</v>
      </c>
      <c r="AK915" t="s">
        <v>76</v>
      </c>
      <c r="AL915" t="s">
        <v>77</v>
      </c>
      <c r="AM915" t="s">
        <v>78</v>
      </c>
      <c r="AN915" t="s">
        <v>239</v>
      </c>
      <c r="AO915" t="s">
        <v>80</v>
      </c>
      <c r="AP915" t="e">
        <v>#N/A</v>
      </c>
      <c r="AQ915" t="s">
        <v>81</v>
      </c>
      <c r="AR915" t="str">
        <f t="shared" si="28"/>
        <v>60604342.STATAM</v>
      </c>
      <c r="AS915">
        <f t="shared" si="29"/>
        <v>2242573.41</v>
      </c>
      <c r="AT915" t="s">
        <v>82</v>
      </c>
    </row>
    <row r="916" spans="1:46" x14ac:dyDescent="0.35">
      <c r="A916" t="s">
        <v>52</v>
      </c>
      <c r="B916" t="s">
        <v>53</v>
      </c>
      <c r="C916" t="s">
        <v>54</v>
      </c>
      <c r="D916" t="s">
        <v>55</v>
      </c>
      <c r="E916" t="s">
        <v>56</v>
      </c>
      <c r="F916" t="s">
        <v>3032</v>
      </c>
      <c r="G916" t="s">
        <v>3044</v>
      </c>
      <c r="H916" t="s">
        <v>56</v>
      </c>
      <c r="I916" t="s">
        <v>3048</v>
      </c>
      <c r="J916" t="s">
        <v>61</v>
      </c>
      <c r="K916" t="s">
        <v>62</v>
      </c>
      <c r="L916" t="s">
        <v>56</v>
      </c>
      <c r="M916" t="s">
        <v>56</v>
      </c>
      <c r="N916" t="s">
        <v>254</v>
      </c>
      <c r="O916" t="s">
        <v>245</v>
      </c>
      <c r="P916" t="s">
        <v>246</v>
      </c>
      <c r="Q916" t="s">
        <v>87</v>
      </c>
      <c r="R916" t="s">
        <v>67</v>
      </c>
      <c r="S916">
        <v>500000</v>
      </c>
      <c r="T916">
        <v>-1742573.41</v>
      </c>
      <c r="U916" t="s">
        <v>68</v>
      </c>
      <c r="V916" t="s">
        <v>3028</v>
      </c>
      <c r="W916" s="9">
        <v>60604342</v>
      </c>
      <c r="X916" t="s">
        <v>3049</v>
      </c>
      <c r="Y916" s="1">
        <v>46030</v>
      </c>
      <c r="Z916" s="1">
        <v>46060</v>
      </c>
      <c r="AA916" s="2">
        <v>1922736.84</v>
      </c>
      <c r="AB916" s="2">
        <v>1629438</v>
      </c>
      <c r="AC916" s="2">
        <v>293298.84000000003</v>
      </c>
      <c r="AD916" s="2">
        <v>1922736.84</v>
      </c>
      <c r="AE916" t="s">
        <v>3050</v>
      </c>
      <c r="AF916" t="s">
        <v>72</v>
      </c>
      <c r="AG916">
        <v>18</v>
      </c>
      <c r="AH916" t="s">
        <v>73</v>
      </c>
      <c r="AI916" t="s">
        <v>74</v>
      </c>
      <c r="AJ916" t="s">
        <v>75</v>
      </c>
      <c r="AK916" t="s">
        <v>76</v>
      </c>
      <c r="AL916" t="s">
        <v>77</v>
      </c>
      <c r="AM916" t="s">
        <v>78</v>
      </c>
      <c r="AN916" t="s">
        <v>239</v>
      </c>
      <c r="AO916" t="s">
        <v>80</v>
      </c>
      <c r="AP916" t="e">
        <v>#N/A</v>
      </c>
      <c r="AQ916" t="s">
        <v>81</v>
      </c>
      <c r="AR916" t="str">
        <f t="shared" si="28"/>
        <v>60604342.STATAM</v>
      </c>
      <c r="AS916">
        <f t="shared" si="29"/>
        <v>2242573.41</v>
      </c>
      <c r="AT916" t="s">
        <v>82</v>
      </c>
    </row>
    <row r="917" spans="1:46" x14ac:dyDescent="0.35">
      <c r="A917" t="s">
        <v>52</v>
      </c>
      <c r="B917" t="s">
        <v>53</v>
      </c>
      <c r="C917" t="s">
        <v>54</v>
      </c>
      <c r="D917" t="s">
        <v>55</v>
      </c>
      <c r="E917" t="s">
        <v>56</v>
      </c>
      <c r="F917" t="s">
        <v>3051</v>
      </c>
      <c r="G917" t="s">
        <v>3052</v>
      </c>
      <c r="H917" t="s">
        <v>111</v>
      </c>
      <c r="I917" t="s">
        <v>3053</v>
      </c>
      <c r="J917" t="s">
        <v>56</v>
      </c>
      <c r="K917" t="s">
        <v>62</v>
      </c>
      <c r="L917" t="s">
        <v>56</v>
      </c>
      <c r="M917" t="s">
        <v>56</v>
      </c>
      <c r="N917" t="s">
        <v>113</v>
      </c>
      <c r="O917" t="s">
        <v>96</v>
      </c>
      <c r="P917" t="s">
        <v>97</v>
      </c>
      <c r="Q917" t="s">
        <v>853</v>
      </c>
      <c r="R917" t="s">
        <v>88</v>
      </c>
      <c r="S917">
        <v>200000000</v>
      </c>
      <c r="T917">
        <v>71856220.310000002</v>
      </c>
      <c r="U917" t="s">
        <v>68</v>
      </c>
      <c r="V917" t="s">
        <v>3054</v>
      </c>
      <c r="W917" s="9">
        <v>60604362</v>
      </c>
      <c r="X917" t="s">
        <v>3055</v>
      </c>
      <c r="Y917" s="1">
        <v>46066</v>
      </c>
      <c r="Z917" s="1">
        <v>46066</v>
      </c>
      <c r="AA917" s="2">
        <v>20251562.379999999</v>
      </c>
      <c r="AB917" s="2">
        <v>17162341</v>
      </c>
      <c r="AC917" s="2">
        <v>3089221.38</v>
      </c>
      <c r="AD917" s="2">
        <v>14247237.210000001</v>
      </c>
      <c r="AE917" t="s">
        <v>3056</v>
      </c>
      <c r="AF917" t="s">
        <v>72</v>
      </c>
      <c r="AG917">
        <v>12</v>
      </c>
      <c r="AH917" t="s">
        <v>73</v>
      </c>
      <c r="AI917" t="s">
        <v>74</v>
      </c>
      <c r="AJ917" t="s">
        <v>75</v>
      </c>
      <c r="AK917" t="s">
        <v>102</v>
      </c>
      <c r="AL917" t="s">
        <v>77</v>
      </c>
      <c r="AM917" t="s">
        <v>103</v>
      </c>
      <c r="AN917" t="s">
        <v>104</v>
      </c>
      <c r="AO917" t="s">
        <v>80</v>
      </c>
      <c r="AP917" t="e">
        <v>#N/A</v>
      </c>
      <c r="AQ917" t="s">
        <v>105</v>
      </c>
      <c r="AR917" t="str">
        <f t="shared" si="28"/>
        <v>60604362.STATEQ</v>
      </c>
      <c r="AS917">
        <f t="shared" si="29"/>
        <v>19833168.41</v>
      </c>
      <c r="AT917" t="s">
        <v>82</v>
      </c>
    </row>
    <row r="918" spans="1:46" x14ac:dyDescent="0.35">
      <c r="A918" t="s">
        <v>52</v>
      </c>
      <c r="B918" t="s">
        <v>53</v>
      </c>
      <c r="C918" t="s">
        <v>54</v>
      </c>
      <c r="D918" t="s">
        <v>55</v>
      </c>
      <c r="E918" t="s">
        <v>56</v>
      </c>
      <c r="F918" t="s">
        <v>3051</v>
      </c>
      <c r="G918" t="s">
        <v>3052</v>
      </c>
      <c r="H918" t="s">
        <v>153</v>
      </c>
      <c r="I918" t="s">
        <v>3057</v>
      </c>
      <c r="J918" t="s">
        <v>56</v>
      </c>
      <c r="K918" t="s">
        <v>62</v>
      </c>
      <c r="L918" t="s">
        <v>56</v>
      </c>
      <c r="M918" t="s">
        <v>56</v>
      </c>
      <c r="N918" t="s">
        <v>155</v>
      </c>
      <c r="O918" t="s">
        <v>96</v>
      </c>
      <c r="P918" t="s">
        <v>97</v>
      </c>
      <c r="Q918" t="s">
        <v>853</v>
      </c>
      <c r="R918" t="s">
        <v>88</v>
      </c>
      <c r="S918">
        <v>200000000</v>
      </c>
      <c r="T918">
        <v>71856220.310000002</v>
      </c>
      <c r="U918" t="s">
        <v>68</v>
      </c>
      <c r="V918" t="s">
        <v>3054</v>
      </c>
      <c r="W918" s="9">
        <v>60604362</v>
      </c>
      <c r="X918" t="s">
        <v>3058</v>
      </c>
      <c r="Y918" s="1">
        <v>46068</v>
      </c>
      <c r="Z918" s="1">
        <v>46068</v>
      </c>
      <c r="AA918" s="2">
        <v>2643200</v>
      </c>
      <c r="AB918" s="2">
        <v>2240000</v>
      </c>
      <c r="AC918" s="2">
        <v>403200</v>
      </c>
      <c r="AD918" s="2">
        <v>2643200</v>
      </c>
      <c r="AE918" t="s">
        <v>3059</v>
      </c>
      <c r="AF918" t="s">
        <v>72</v>
      </c>
      <c r="AG918">
        <v>10</v>
      </c>
      <c r="AH918" t="s">
        <v>73</v>
      </c>
      <c r="AI918" t="s">
        <v>74</v>
      </c>
      <c r="AJ918" t="s">
        <v>75</v>
      </c>
      <c r="AK918" t="s">
        <v>102</v>
      </c>
      <c r="AL918" t="s">
        <v>77</v>
      </c>
      <c r="AM918" t="s">
        <v>103</v>
      </c>
      <c r="AN918" t="s">
        <v>104</v>
      </c>
      <c r="AO918" t="s">
        <v>80</v>
      </c>
      <c r="AP918" t="e">
        <v>#N/A</v>
      </c>
      <c r="AQ918" t="s">
        <v>105</v>
      </c>
      <c r="AR918" t="str">
        <f t="shared" si="28"/>
        <v>60604362.STATEQ</v>
      </c>
      <c r="AS918">
        <f t="shared" si="29"/>
        <v>19833168.41</v>
      </c>
      <c r="AT918" t="s">
        <v>82</v>
      </c>
    </row>
    <row r="919" spans="1:46" x14ac:dyDescent="0.35">
      <c r="A919" t="s">
        <v>52</v>
      </c>
      <c r="B919" t="s">
        <v>53</v>
      </c>
      <c r="C919" t="s">
        <v>54</v>
      </c>
      <c r="D919" t="s">
        <v>55</v>
      </c>
      <c r="E919" t="s">
        <v>56</v>
      </c>
      <c r="F919" t="s">
        <v>3051</v>
      </c>
      <c r="G919" t="s">
        <v>3052</v>
      </c>
      <c r="H919" t="s">
        <v>153</v>
      </c>
      <c r="I919" t="s">
        <v>3057</v>
      </c>
      <c r="J919" t="s">
        <v>56</v>
      </c>
      <c r="K919" t="s">
        <v>62</v>
      </c>
      <c r="L919" t="s">
        <v>56</v>
      </c>
      <c r="M919" t="s">
        <v>56</v>
      </c>
      <c r="N919" t="s">
        <v>155</v>
      </c>
      <c r="O919" t="s">
        <v>96</v>
      </c>
      <c r="P919" t="s">
        <v>97</v>
      </c>
      <c r="Q919" t="s">
        <v>853</v>
      </c>
      <c r="R919" t="s">
        <v>88</v>
      </c>
      <c r="S919">
        <v>200000000</v>
      </c>
      <c r="T919">
        <v>71856220.310000002</v>
      </c>
      <c r="U919" t="s">
        <v>68</v>
      </c>
      <c r="V919" t="s">
        <v>3054</v>
      </c>
      <c r="W919" s="9">
        <v>60604362</v>
      </c>
      <c r="X919" t="s">
        <v>3060</v>
      </c>
      <c r="Y919" s="1">
        <v>46073</v>
      </c>
      <c r="Z919" s="1">
        <v>46073</v>
      </c>
      <c r="AA919" s="2">
        <v>2942731.2</v>
      </c>
      <c r="AB919" s="2">
        <v>2493840</v>
      </c>
      <c r="AC919" s="2">
        <v>448891.2</v>
      </c>
      <c r="AD919" s="2">
        <v>2942731.2</v>
      </c>
      <c r="AE919" t="s">
        <v>3061</v>
      </c>
      <c r="AF919" t="s">
        <v>72</v>
      </c>
      <c r="AG919">
        <v>5</v>
      </c>
      <c r="AH919" t="s">
        <v>73</v>
      </c>
      <c r="AI919" t="s">
        <v>74</v>
      </c>
      <c r="AJ919" t="s">
        <v>75</v>
      </c>
      <c r="AK919" t="s">
        <v>102</v>
      </c>
      <c r="AL919" t="s">
        <v>77</v>
      </c>
      <c r="AM919" t="s">
        <v>103</v>
      </c>
      <c r="AN919" t="s">
        <v>104</v>
      </c>
      <c r="AO919" t="s">
        <v>80</v>
      </c>
      <c r="AP919" t="e">
        <v>#N/A</v>
      </c>
      <c r="AQ919" t="s">
        <v>105</v>
      </c>
      <c r="AR919" t="str">
        <f t="shared" si="28"/>
        <v>60604362.STATEQ</v>
      </c>
      <c r="AS919">
        <f t="shared" si="29"/>
        <v>19833168.41</v>
      </c>
      <c r="AT919" t="s">
        <v>82</v>
      </c>
    </row>
    <row r="920" spans="1:46" x14ac:dyDescent="0.35">
      <c r="A920" t="s">
        <v>52</v>
      </c>
      <c r="B920" t="s">
        <v>53</v>
      </c>
      <c r="C920" t="s">
        <v>54</v>
      </c>
      <c r="D920" t="s">
        <v>55</v>
      </c>
      <c r="E920" t="s">
        <v>56</v>
      </c>
      <c r="F920" t="s">
        <v>3062</v>
      </c>
      <c r="G920" t="s">
        <v>56</v>
      </c>
      <c r="H920" t="s">
        <v>56</v>
      </c>
      <c r="I920" t="s">
        <v>3063</v>
      </c>
      <c r="J920" t="s">
        <v>61</v>
      </c>
      <c r="K920" t="s">
        <v>62</v>
      </c>
      <c r="L920" t="s">
        <v>56</v>
      </c>
      <c r="M920" t="s">
        <v>56</v>
      </c>
      <c r="N920" t="s">
        <v>56</v>
      </c>
      <c r="O920" t="s">
        <v>222</v>
      </c>
      <c r="P920" t="s">
        <v>223</v>
      </c>
      <c r="Q920" t="s">
        <v>87</v>
      </c>
      <c r="R920" t="s">
        <v>88</v>
      </c>
      <c r="T920">
        <v>4722.01</v>
      </c>
      <c r="U920" t="s">
        <v>68</v>
      </c>
      <c r="V920" t="s">
        <v>3064</v>
      </c>
      <c r="W920" s="9">
        <v>60603976</v>
      </c>
      <c r="X920" t="s">
        <v>3065</v>
      </c>
      <c r="Y920" s="1">
        <v>45934</v>
      </c>
      <c r="Z920" s="1">
        <v>45934</v>
      </c>
      <c r="AA920" s="2">
        <v>-975350</v>
      </c>
      <c r="AB920" s="2">
        <v>-975350</v>
      </c>
      <c r="AC920" s="2">
        <v>0</v>
      </c>
      <c r="AD920" s="2">
        <v>-4722.01</v>
      </c>
      <c r="AE920" t="s">
        <v>3065</v>
      </c>
      <c r="AF920" t="s">
        <v>72</v>
      </c>
      <c r="AG920">
        <v>144</v>
      </c>
      <c r="AH920" t="s">
        <v>91</v>
      </c>
      <c r="AI920" t="s">
        <v>74</v>
      </c>
      <c r="AJ920" t="s">
        <v>75</v>
      </c>
      <c r="AK920" t="s">
        <v>76</v>
      </c>
      <c r="AL920" t="s">
        <v>77</v>
      </c>
      <c r="AM920" t="s">
        <v>78</v>
      </c>
      <c r="AN920" t="s">
        <v>104</v>
      </c>
      <c r="AO920" t="s">
        <v>80</v>
      </c>
      <c r="AP920" t="e">
        <v>#N/A</v>
      </c>
      <c r="AQ920" t="s">
        <v>81</v>
      </c>
      <c r="AR920" t="str">
        <f t="shared" si="28"/>
        <v>60603976.STATAM</v>
      </c>
      <c r="AS920">
        <f t="shared" si="29"/>
        <v>-4722.01</v>
      </c>
      <c r="AT920" t="s">
        <v>93</v>
      </c>
    </row>
    <row r="921" spans="1:46" x14ac:dyDescent="0.35">
      <c r="A921" t="s">
        <v>52</v>
      </c>
      <c r="B921" t="s">
        <v>53</v>
      </c>
      <c r="C921" t="s">
        <v>54</v>
      </c>
      <c r="D921" t="s">
        <v>55</v>
      </c>
      <c r="E921" t="s">
        <v>56</v>
      </c>
      <c r="F921" t="s">
        <v>3066</v>
      </c>
      <c r="G921" t="s">
        <v>3067</v>
      </c>
      <c r="H921" t="s">
        <v>56</v>
      </c>
      <c r="I921" t="s">
        <v>3068</v>
      </c>
      <c r="J921" t="s">
        <v>56</v>
      </c>
      <c r="K921" t="s">
        <v>62</v>
      </c>
      <c r="L921" t="s">
        <v>56</v>
      </c>
      <c r="M921" t="s">
        <v>56</v>
      </c>
      <c r="N921" t="s">
        <v>1189</v>
      </c>
      <c r="O921" t="s">
        <v>245</v>
      </c>
      <c r="P921" t="s">
        <v>246</v>
      </c>
      <c r="Q921" t="s">
        <v>114</v>
      </c>
      <c r="R921" t="s">
        <v>248</v>
      </c>
      <c r="S921">
        <v>500000</v>
      </c>
      <c r="T921">
        <v>-10201066.689999999</v>
      </c>
      <c r="U921" t="s">
        <v>68</v>
      </c>
      <c r="V921" t="s">
        <v>3069</v>
      </c>
      <c r="W921" s="9">
        <v>60603714</v>
      </c>
      <c r="X921" t="s">
        <v>3070</v>
      </c>
      <c r="Y921" s="1">
        <v>46024</v>
      </c>
      <c r="Z921" s="1">
        <v>46084</v>
      </c>
      <c r="AA921" s="2">
        <v>7642.36</v>
      </c>
      <c r="AB921" s="2">
        <v>6488</v>
      </c>
      <c r="AC921" s="2">
        <v>1154.3599999999999</v>
      </c>
      <c r="AD921" s="2">
        <v>6268.34</v>
      </c>
      <c r="AE921" t="s">
        <v>3071</v>
      </c>
      <c r="AF921" t="s">
        <v>72</v>
      </c>
      <c r="AG921">
        <v>-6</v>
      </c>
      <c r="AH921" t="s">
        <v>117</v>
      </c>
      <c r="AI921" t="s">
        <v>74</v>
      </c>
      <c r="AJ921" t="s">
        <v>75</v>
      </c>
      <c r="AK921" t="s">
        <v>76</v>
      </c>
      <c r="AL921" t="s">
        <v>118</v>
      </c>
      <c r="AM921" t="s">
        <v>78</v>
      </c>
      <c r="AN921" t="s">
        <v>239</v>
      </c>
      <c r="AO921" t="s">
        <v>119</v>
      </c>
      <c r="AP921" t="e">
        <v>#N/A</v>
      </c>
      <c r="AQ921" t="s">
        <v>81</v>
      </c>
      <c r="AR921" t="str">
        <f t="shared" si="28"/>
        <v>60603714.STATAM</v>
      </c>
      <c r="AS921">
        <f t="shared" si="29"/>
        <v>5191143.8500000006</v>
      </c>
      <c r="AT921" t="s">
        <v>82</v>
      </c>
    </row>
    <row r="922" spans="1:46" x14ac:dyDescent="0.35">
      <c r="A922" t="s">
        <v>52</v>
      </c>
      <c r="B922" t="s">
        <v>53</v>
      </c>
      <c r="C922" t="s">
        <v>54</v>
      </c>
      <c r="D922" t="s">
        <v>55</v>
      </c>
      <c r="E922" t="s">
        <v>56</v>
      </c>
      <c r="F922" t="s">
        <v>3066</v>
      </c>
      <c r="G922" t="s">
        <v>3067</v>
      </c>
      <c r="H922" t="s">
        <v>56</v>
      </c>
      <c r="I922" t="s">
        <v>3068</v>
      </c>
      <c r="J922" t="s">
        <v>56</v>
      </c>
      <c r="K922" t="s">
        <v>62</v>
      </c>
      <c r="L922" t="s">
        <v>56</v>
      </c>
      <c r="M922" t="s">
        <v>56</v>
      </c>
      <c r="N922" t="s">
        <v>1135</v>
      </c>
      <c r="O922" t="s">
        <v>245</v>
      </c>
      <c r="P922" t="s">
        <v>246</v>
      </c>
      <c r="Q922" t="s">
        <v>114</v>
      </c>
      <c r="R922" t="s">
        <v>248</v>
      </c>
      <c r="S922">
        <v>500000</v>
      </c>
      <c r="T922">
        <v>-10201066.689999999</v>
      </c>
      <c r="U922" t="s">
        <v>68</v>
      </c>
      <c r="V922" t="s">
        <v>3069</v>
      </c>
      <c r="W922" s="9">
        <v>60603714</v>
      </c>
      <c r="X922" t="s">
        <v>3070</v>
      </c>
      <c r="Y922" s="1">
        <v>46024</v>
      </c>
      <c r="Z922" s="1">
        <v>46084</v>
      </c>
      <c r="AA922" s="2">
        <v>296609.15999999997</v>
      </c>
      <c r="AB922" s="2">
        <v>251807</v>
      </c>
      <c r="AC922" s="2">
        <v>44802.16</v>
      </c>
      <c r="AD922" s="2">
        <v>243281.65</v>
      </c>
      <c r="AE922" t="s">
        <v>3072</v>
      </c>
      <c r="AF922" t="s">
        <v>72</v>
      </c>
      <c r="AG922">
        <v>-6</v>
      </c>
      <c r="AH922" t="s">
        <v>117</v>
      </c>
      <c r="AI922" t="s">
        <v>74</v>
      </c>
      <c r="AJ922" t="s">
        <v>127</v>
      </c>
      <c r="AK922" t="s">
        <v>334</v>
      </c>
      <c r="AL922" t="s">
        <v>118</v>
      </c>
      <c r="AM922" t="s">
        <v>78</v>
      </c>
      <c r="AN922" t="s">
        <v>239</v>
      </c>
      <c r="AO922" t="s">
        <v>119</v>
      </c>
      <c r="AP922" t="e">
        <v>#N/A</v>
      </c>
      <c r="AQ922" t="s">
        <v>335</v>
      </c>
      <c r="AR922" t="str">
        <f t="shared" si="28"/>
        <v>60603714.SPMINAM</v>
      </c>
      <c r="AS922">
        <f t="shared" si="29"/>
        <v>3786928.5000000005</v>
      </c>
      <c r="AT922" t="s">
        <v>82</v>
      </c>
    </row>
    <row r="923" spans="1:46" x14ac:dyDescent="0.35">
      <c r="A923" t="s">
        <v>52</v>
      </c>
      <c r="B923" t="s">
        <v>53</v>
      </c>
      <c r="C923" t="s">
        <v>54</v>
      </c>
      <c r="D923" t="s">
        <v>55</v>
      </c>
      <c r="E923" t="s">
        <v>56</v>
      </c>
      <c r="F923" t="s">
        <v>3066</v>
      </c>
      <c r="G923" t="s">
        <v>3067</v>
      </c>
      <c r="H923" t="s">
        <v>56</v>
      </c>
      <c r="I923" t="s">
        <v>3068</v>
      </c>
      <c r="J923" t="s">
        <v>56</v>
      </c>
      <c r="K923" t="s">
        <v>62</v>
      </c>
      <c r="L923" t="s">
        <v>56</v>
      </c>
      <c r="M923" t="s">
        <v>56</v>
      </c>
      <c r="N923" t="s">
        <v>3073</v>
      </c>
      <c r="O923" t="s">
        <v>245</v>
      </c>
      <c r="P923" t="s">
        <v>246</v>
      </c>
      <c r="Q923" t="s">
        <v>114</v>
      </c>
      <c r="R923" t="s">
        <v>248</v>
      </c>
      <c r="S923">
        <v>500000</v>
      </c>
      <c r="T923">
        <v>-10201066.689999999</v>
      </c>
      <c r="U923" t="s">
        <v>68</v>
      </c>
      <c r="V923" t="s">
        <v>3069</v>
      </c>
      <c r="W923" s="9">
        <v>60603714</v>
      </c>
      <c r="X923" t="s">
        <v>3070</v>
      </c>
      <c r="Y923" s="1">
        <v>46024</v>
      </c>
      <c r="Z923" s="1">
        <v>46084</v>
      </c>
      <c r="AA923" s="2">
        <v>401701.06</v>
      </c>
      <c r="AB923" s="2">
        <v>341025</v>
      </c>
      <c r="AC923" s="2">
        <v>60676.06</v>
      </c>
      <c r="AD923" s="2">
        <v>329479.02</v>
      </c>
      <c r="AE923" t="s">
        <v>3074</v>
      </c>
      <c r="AF923" t="s">
        <v>72</v>
      </c>
      <c r="AG923">
        <v>-6</v>
      </c>
      <c r="AH923" t="s">
        <v>117</v>
      </c>
      <c r="AI923" t="s">
        <v>74</v>
      </c>
      <c r="AJ923" t="s">
        <v>127</v>
      </c>
      <c r="AK923" t="s">
        <v>334</v>
      </c>
      <c r="AL923" t="s">
        <v>118</v>
      </c>
      <c r="AM923" t="s">
        <v>78</v>
      </c>
      <c r="AN923" t="s">
        <v>239</v>
      </c>
      <c r="AO923" t="s">
        <v>119</v>
      </c>
      <c r="AP923" t="e">
        <v>#N/A</v>
      </c>
      <c r="AQ923" t="s">
        <v>335</v>
      </c>
      <c r="AR923" t="str">
        <f t="shared" si="28"/>
        <v>60603714.SPMINAM</v>
      </c>
      <c r="AS923">
        <f t="shared" si="29"/>
        <v>3786928.5000000005</v>
      </c>
      <c r="AT923" t="s">
        <v>82</v>
      </c>
    </row>
    <row r="924" spans="1:46" x14ac:dyDescent="0.35">
      <c r="A924" t="s">
        <v>52</v>
      </c>
      <c r="B924" t="s">
        <v>53</v>
      </c>
      <c r="C924" t="s">
        <v>54</v>
      </c>
      <c r="D924" t="s">
        <v>55</v>
      </c>
      <c r="E924" t="s">
        <v>56</v>
      </c>
      <c r="F924" t="s">
        <v>3066</v>
      </c>
      <c r="G924" t="s">
        <v>3067</v>
      </c>
      <c r="H924" t="s">
        <v>56</v>
      </c>
      <c r="I924" t="s">
        <v>3068</v>
      </c>
      <c r="J924" t="s">
        <v>56</v>
      </c>
      <c r="K924" t="s">
        <v>62</v>
      </c>
      <c r="L924" t="s">
        <v>56</v>
      </c>
      <c r="M924" t="s">
        <v>56</v>
      </c>
      <c r="N924" t="s">
        <v>244</v>
      </c>
      <c r="O924" t="s">
        <v>245</v>
      </c>
      <c r="P924" t="s">
        <v>246</v>
      </c>
      <c r="Q924" t="s">
        <v>114</v>
      </c>
      <c r="R924" t="s">
        <v>248</v>
      </c>
      <c r="S924">
        <v>500000</v>
      </c>
      <c r="T924">
        <v>-10201066.689999999</v>
      </c>
      <c r="U924" t="s">
        <v>68</v>
      </c>
      <c r="V924" t="s">
        <v>3069</v>
      </c>
      <c r="W924" s="9">
        <v>60603714</v>
      </c>
      <c r="X924" t="s">
        <v>3070</v>
      </c>
      <c r="Y924" s="1">
        <v>46024</v>
      </c>
      <c r="Z924" s="1">
        <v>46084</v>
      </c>
      <c r="AA924" s="2">
        <v>880388.78</v>
      </c>
      <c r="AB924" s="2">
        <v>747408</v>
      </c>
      <c r="AC924" s="2">
        <v>132980.78</v>
      </c>
      <c r="AD924" s="2">
        <v>722103.24</v>
      </c>
      <c r="AE924" t="s">
        <v>3075</v>
      </c>
      <c r="AF924" t="s">
        <v>72</v>
      </c>
      <c r="AG924">
        <v>-6</v>
      </c>
      <c r="AH924" t="s">
        <v>117</v>
      </c>
      <c r="AI924" t="s">
        <v>74</v>
      </c>
      <c r="AJ924" t="s">
        <v>75</v>
      </c>
      <c r="AK924" t="s">
        <v>76</v>
      </c>
      <c r="AL924" t="s">
        <v>118</v>
      </c>
      <c r="AM924" t="s">
        <v>78</v>
      </c>
      <c r="AN924" t="s">
        <v>239</v>
      </c>
      <c r="AO924" t="s">
        <v>119</v>
      </c>
      <c r="AP924" t="e">
        <v>#N/A</v>
      </c>
      <c r="AQ924" t="s">
        <v>81</v>
      </c>
      <c r="AR924" t="str">
        <f t="shared" si="28"/>
        <v>60603714.STATAM</v>
      </c>
      <c r="AS924">
        <f t="shared" si="29"/>
        <v>5191143.8500000006</v>
      </c>
      <c r="AT924" t="s">
        <v>82</v>
      </c>
    </row>
    <row r="925" spans="1:46" x14ac:dyDescent="0.35">
      <c r="A925" t="s">
        <v>52</v>
      </c>
      <c r="B925" t="s">
        <v>53</v>
      </c>
      <c r="C925" t="s">
        <v>54</v>
      </c>
      <c r="D925" t="s">
        <v>55</v>
      </c>
      <c r="E925" t="s">
        <v>56</v>
      </c>
      <c r="F925" t="s">
        <v>3066</v>
      </c>
      <c r="G925" t="s">
        <v>3067</v>
      </c>
      <c r="H925" t="s">
        <v>56</v>
      </c>
      <c r="I925" t="s">
        <v>3068</v>
      </c>
      <c r="J925" t="s">
        <v>56</v>
      </c>
      <c r="K925" t="s">
        <v>62</v>
      </c>
      <c r="L925" t="s">
        <v>56</v>
      </c>
      <c r="M925" t="s">
        <v>56</v>
      </c>
      <c r="N925" t="s">
        <v>1727</v>
      </c>
      <c r="O925" t="s">
        <v>245</v>
      </c>
      <c r="P925" t="s">
        <v>246</v>
      </c>
      <c r="Q925" t="s">
        <v>114</v>
      </c>
      <c r="R925" t="s">
        <v>248</v>
      </c>
      <c r="S925">
        <v>500000</v>
      </c>
      <c r="T925">
        <v>-10201066.689999999</v>
      </c>
      <c r="U925" t="s">
        <v>68</v>
      </c>
      <c r="V925" t="s">
        <v>3069</v>
      </c>
      <c r="W925" s="9">
        <v>60603714</v>
      </c>
      <c r="X925" t="s">
        <v>3070</v>
      </c>
      <c r="Y925" s="1">
        <v>46024</v>
      </c>
      <c r="Z925" s="1">
        <v>46084</v>
      </c>
      <c r="AA925" s="2">
        <v>2014.25</v>
      </c>
      <c r="AB925" s="2">
        <v>1710</v>
      </c>
      <c r="AC925" s="2">
        <v>304.25</v>
      </c>
      <c r="AD925" s="2">
        <v>1652.11</v>
      </c>
      <c r="AE925" t="s">
        <v>3076</v>
      </c>
      <c r="AF925" t="s">
        <v>72</v>
      </c>
      <c r="AG925">
        <v>-6</v>
      </c>
      <c r="AH925" t="s">
        <v>117</v>
      </c>
      <c r="AI925" t="s">
        <v>74</v>
      </c>
      <c r="AJ925" t="s">
        <v>127</v>
      </c>
      <c r="AK925" t="s">
        <v>334</v>
      </c>
      <c r="AL925" t="s">
        <v>118</v>
      </c>
      <c r="AM925" t="s">
        <v>78</v>
      </c>
      <c r="AN925" t="s">
        <v>239</v>
      </c>
      <c r="AO925" t="s">
        <v>119</v>
      </c>
      <c r="AP925" t="e">
        <v>#N/A</v>
      </c>
      <c r="AQ925" t="s">
        <v>335</v>
      </c>
      <c r="AR925" t="str">
        <f t="shared" si="28"/>
        <v>60603714.SPMINAM</v>
      </c>
      <c r="AS925">
        <f t="shared" si="29"/>
        <v>3786928.5000000005</v>
      </c>
      <c r="AT925" t="s">
        <v>82</v>
      </c>
    </row>
    <row r="926" spans="1:46" x14ac:dyDescent="0.35">
      <c r="A926" t="s">
        <v>52</v>
      </c>
      <c r="B926" t="s">
        <v>53</v>
      </c>
      <c r="C926" t="s">
        <v>54</v>
      </c>
      <c r="D926" t="s">
        <v>55</v>
      </c>
      <c r="E926" t="s">
        <v>56</v>
      </c>
      <c r="F926" t="s">
        <v>3066</v>
      </c>
      <c r="G926" t="s">
        <v>3067</v>
      </c>
      <c r="H926" t="s">
        <v>56</v>
      </c>
      <c r="I926" t="s">
        <v>3068</v>
      </c>
      <c r="J926" t="s">
        <v>56</v>
      </c>
      <c r="K926" t="s">
        <v>62</v>
      </c>
      <c r="L926" t="s">
        <v>56</v>
      </c>
      <c r="M926" t="s">
        <v>56</v>
      </c>
      <c r="N926" t="s">
        <v>331</v>
      </c>
      <c r="O926" t="s">
        <v>245</v>
      </c>
      <c r="P926" t="s">
        <v>246</v>
      </c>
      <c r="Q926" t="s">
        <v>114</v>
      </c>
      <c r="R926" t="s">
        <v>248</v>
      </c>
      <c r="S926">
        <v>500000</v>
      </c>
      <c r="T926">
        <v>-10201066.689999999</v>
      </c>
      <c r="U926" t="s">
        <v>68</v>
      </c>
      <c r="V926" t="s">
        <v>3069</v>
      </c>
      <c r="W926" s="9">
        <v>60603714</v>
      </c>
      <c r="X926" t="s">
        <v>3070</v>
      </c>
      <c r="Y926" s="1">
        <v>46024</v>
      </c>
      <c r="Z926" s="1">
        <v>46084</v>
      </c>
      <c r="AA926" s="2">
        <v>192671.62</v>
      </c>
      <c r="AB926" s="2">
        <v>163569</v>
      </c>
      <c r="AC926" s="2">
        <v>29102.62</v>
      </c>
      <c r="AD926" s="2">
        <v>158031.1</v>
      </c>
      <c r="AE926" t="s">
        <v>3077</v>
      </c>
      <c r="AF926" t="s">
        <v>72</v>
      </c>
      <c r="AG926">
        <v>-6</v>
      </c>
      <c r="AH926" t="s">
        <v>117</v>
      </c>
      <c r="AI926" t="s">
        <v>74</v>
      </c>
      <c r="AJ926" t="s">
        <v>127</v>
      </c>
      <c r="AK926" t="s">
        <v>334</v>
      </c>
      <c r="AL926" t="s">
        <v>118</v>
      </c>
      <c r="AM926" t="s">
        <v>78</v>
      </c>
      <c r="AN926" t="s">
        <v>239</v>
      </c>
      <c r="AO926" t="s">
        <v>119</v>
      </c>
      <c r="AP926" t="e">
        <v>#N/A</v>
      </c>
      <c r="AQ926" t="s">
        <v>335</v>
      </c>
      <c r="AR926" t="str">
        <f t="shared" si="28"/>
        <v>60603714.SPMINAM</v>
      </c>
      <c r="AS926">
        <f t="shared" si="29"/>
        <v>3786928.5000000005</v>
      </c>
      <c r="AT926" t="s">
        <v>82</v>
      </c>
    </row>
    <row r="927" spans="1:46" x14ac:dyDescent="0.35">
      <c r="A927" t="s">
        <v>52</v>
      </c>
      <c r="B927" t="s">
        <v>53</v>
      </c>
      <c r="C927" t="s">
        <v>54</v>
      </c>
      <c r="D927" t="s">
        <v>55</v>
      </c>
      <c r="E927" t="s">
        <v>56</v>
      </c>
      <c r="F927" t="s">
        <v>3066</v>
      </c>
      <c r="G927" t="s">
        <v>3067</v>
      </c>
      <c r="H927" t="s">
        <v>56</v>
      </c>
      <c r="I927" t="s">
        <v>3068</v>
      </c>
      <c r="J927" t="s">
        <v>56</v>
      </c>
      <c r="K927" t="s">
        <v>62</v>
      </c>
      <c r="L927" t="s">
        <v>56</v>
      </c>
      <c r="M927" t="s">
        <v>56</v>
      </c>
      <c r="N927" t="s">
        <v>682</v>
      </c>
      <c r="O927" t="s">
        <v>245</v>
      </c>
      <c r="P927" t="s">
        <v>246</v>
      </c>
      <c r="Q927" t="s">
        <v>114</v>
      </c>
      <c r="R927" t="s">
        <v>248</v>
      </c>
      <c r="S927">
        <v>500000</v>
      </c>
      <c r="T927">
        <v>-10201066.689999999</v>
      </c>
      <c r="U927" t="s">
        <v>68</v>
      </c>
      <c r="V927" t="s">
        <v>3069</v>
      </c>
      <c r="W927" s="9">
        <v>60603714</v>
      </c>
      <c r="X927" t="s">
        <v>3070</v>
      </c>
      <c r="Y927" s="1">
        <v>46024</v>
      </c>
      <c r="Z927" s="1">
        <v>46084</v>
      </c>
      <c r="AA927" s="2">
        <v>286683.98</v>
      </c>
      <c r="AB927" s="2">
        <v>243381</v>
      </c>
      <c r="AC927" s="2">
        <v>43302.98</v>
      </c>
      <c r="AD927" s="2">
        <v>235140.93</v>
      </c>
      <c r="AE927" t="s">
        <v>3078</v>
      </c>
      <c r="AF927" t="s">
        <v>72</v>
      </c>
      <c r="AG927">
        <v>-6</v>
      </c>
      <c r="AH927" t="s">
        <v>117</v>
      </c>
      <c r="AI927" t="s">
        <v>74</v>
      </c>
      <c r="AJ927" t="s">
        <v>127</v>
      </c>
      <c r="AK927" t="s">
        <v>334</v>
      </c>
      <c r="AL927" t="s">
        <v>118</v>
      </c>
      <c r="AM927" t="s">
        <v>78</v>
      </c>
      <c r="AN927" t="s">
        <v>239</v>
      </c>
      <c r="AO927" t="s">
        <v>119</v>
      </c>
      <c r="AP927" t="e">
        <v>#N/A</v>
      </c>
      <c r="AQ927" t="s">
        <v>335</v>
      </c>
      <c r="AR927" t="str">
        <f t="shared" si="28"/>
        <v>60603714.SPMINAM</v>
      </c>
      <c r="AS927">
        <f t="shared" si="29"/>
        <v>3786928.5000000005</v>
      </c>
      <c r="AT927" t="s">
        <v>82</v>
      </c>
    </row>
    <row r="928" spans="1:46" x14ac:dyDescent="0.35">
      <c r="A928" t="s">
        <v>52</v>
      </c>
      <c r="B928" t="s">
        <v>53</v>
      </c>
      <c r="C928" t="s">
        <v>54</v>
      </c>
      <c r="D928" t="s">
        <v>55</v>
      </c>
      <c r="E928" t="s">
        <v>56</v>
      </c>
      <c r="F928" t="s">
        <v>3066</v>
      </c>
      <c r="G928" t="s">
        <v>3067</v>
      </c>
      <c r="H928" t="s">
        <v>56</v>
      </c>
      <c r="I928" t="s">
        <v>3068</v>
      </c>
      <c r="J928" t="s">
        <v>56</v>
      </c>
      <c r="K928" t="s">
        <v>62</v>
      </c>
      <c r="L928" t="s">
        <v>56</v>
      </c>
      <c r="M928" t="s">
        <v>56</v>
      </c>
      <c r="N928" t="s">
        <v>261</v>
      </c>
      <c r="O928" t="s">
        <v>245</v>
      </c>
      <c r="P928" t="s">
        <v>246</v>
      </c>
      <c r="Q928" t="s">
        <v>114</v>
      </c>
      <c r="R928" t="s">
        <v>248</v>
      </c>
      <c r="S928">
        <v>500000</v>
      </c>
      <c r="T928">
        <v>-10201066.689999999</v>
      </c>
      <c r="U928" t="s">
        <v>68</v>
      </c>
      <c r="V928" t="s">
        <v>3069</v>
      </c>
      <c r="W928" s="9">
        <v>60603714</v>
      </c>
      <c r="X928" t="s">
        <v>3070</v>
      </c>
      <c r="Y928" s="1">
        <v>46024</v>
      </c>
      <c r="Z928" s="1">
        <v>46084</v>
      </c>
      <c r="AA928" s="2">
        <v>307628.62</v>
      </c>
      <c r="AB928" s="2">
        <v>261162</v>
      </c>
      <c r="AC928" s="2">
        <v>46466.62</v>
      </c>
      <c r="AD928" s="2">
        <v>252319.92</v>
      </c>
      <c r="AE928" t="s">
        <v>3079</v>
      </c>
      <c r="AF928" t="s">
        <v>72</v>
      </c>
      <c r="AG928">
        <v>-6</v>
      </c>
      <c r="AH928" t="s">
        <v>117</v>
      </c>
      <c r="AI928" t="s">
        <v>74</v>
      </c>
      <c r="AJ928" t="s">
        <v>75</v>
      </c>
      <c r="AK928" t="s">
        <v>76</v>
      </c>
      <c r="AL928" t="s">
        <v>118</v>
      </c>
      <c r="AM928" t="s">
        <v>78</v>
      </c>
      <c r="AN928" t="s">
        <v>239</v>
      </c>
      <c r="AO928" t="s">
        <v>119</v>
      </c>
      <c r="AP928" t="e">
        <v>#N/A</v>
      </c>
      <c r="AQ928" t="s">
        <v>81</v>
      </c>
      <c r="AR928" t="str">
        <f t="shared" si="28"/>
        <v>60603714.STATAM</v>
      </c>
      <c r="AS928">
        <f t="shared" si="29"/>
        <v>5191143.8500000006</v>
      </c>
      <c r="AT928" t="s">
        <v>82</v>
      </c>
    </row>
    <row r="929" spans="1:46" x14ac:dyDescent="0.35">
      <c r="A929" t="s">
        <v>52</v>
      </c>
      <c r="B929" t="s">
        <v>53</v>
      </c>
      <c r="C929" t="s">
        <v>54</v>
      </c>
      <c r="D929" t="s">
        <v>55</v>
      </c>
      <c r="E929" t="s">
        <v>56</v>
      </c>
      <c r="F929" t="s">
        <v>3066</v>
      </c>
      <c r="G929" t="s">
        <v>3067</v>
      </c>
      <c r="H929" t="s">
        <v>56</v>
      </c>
      <c r="I929" t="s">
        <v>3068</v>
      </c>
      <c r="J929" t="s">
        <v>56</v>
      </c>
      <c r="K929" t="s">
        <v>62</v>
      </c>
      <c r="L929" t="s">
        <v>56</v>
      </c>
      <c r="M929" t="s">
        <v>56</v>
      </c>
      <c r="N929" t="s">
        <v>295</v>
      </c>
      <c r="O929" t="s">
        <v>245</v>
      </c>
      <c r="P929" t="s">
        <v>246</v>
      </c>
      <c r="Q929" t="s">
        <v>114</v>
      </c>
      <c r="R929" t="s">
        <v>248</v>
      </c>
      <c r="S929">
        <v>500000</v>
      </c>
      <c r="T929">
        <v>-10201066.689999999</v>
      </c>
      <c r="U929" t="s">
        <v>68</v>
      </c>
      <c r="V929" t="s">
        <v>3069</v>
      </c>
      <c r="W929" s="9">
        <v>60603714</v>
      </c>
      <c r="X929" t="s">
        <v>3070</v>
      </c>
      <c r="Y929" s="1">
        <v>46024</v>
      </c>
      <c r="Z929" s="1">
        <v>46084</v>
      </c>
      <c r="AA929" s="2">
        <v>1812.82</v>
      </c>
      <c r="AB929" s="2">
        <v>1539</v>
      </c>
      <c r="AC929" s="2">
        <v>273.82</v>
      </c>
      <c r="AD929" s="2">
        <v>1486.89</v>
      </c>
      <c r="AE929" t="s">
        <v>3080</v>
      </c>
      <c r="AF929" t="s">
        <v>72</v>
      </c>
      <c r="AG929">
        <v>-6</v>
      </c>
      <c r="AH929" t="s">
        <v>117</v>
      </c>
      <c r="AI929" t="s">
        <v>74</v>
      </c>
      <c r="AJ929" t="s">
        <v>75</v>
      </c>
      <c r="AK929" t="s">
        <v>76</v>
      </c>
      <c r="AL929" t="s">
        <v>118</v>
      </c>
      <c r="AM929" t="s">
        <v>78</v>
      </c>
      <c r="AN929" t="s">
        <v>239</v>
      </c>
      <c r="AO929" t="s">
        <v>119</v>
      </c>
      <c r="AP929" t="e">
        <v>#N/A</v>
      </c>
      <c r="AQ929" t="s">
        <v>81</v>
      </c>
      <c r="AR929" t="str">
        <f t="shared" si="28"/>
        <v>60603714.STATAM</v>
      </c>
      <c r="AS929">
        <f t="shared" si="29"/>
        <v>5191143.8500000006</v>
      </c>
      <c r="AT929" t="s">
        <v>82</v>
      </c>
    </row>
    <row r="930" spans="1:46" x14ac:dyDescent="0.35">
      <c r="A930" t="s">
        <v>52</v>
      </c>
      <c r="B930" t="s">
        <v>53</v>
      </c>
      <c r="C930" t="s">
        <v>54</v>
      </c>
      <c r="D930" t="s">
        <v>55</v>
      </c>
      <c r="E930" t="s">
        <v>56</v>
      </c>
      <c r="F930" t="s">
        <v>3066</v>
      </c>
      <c r="G930" t="s">
        <v>3067</v>
      </c>
      <c r="H930" t="s">
        <v>56</v>
      </c>
      <c r="I930" t="s">
        <v>3068</v>
      </c>
      <c r="J930" t="s">
        <v>56</v>
      </c>
      <c r="K930" t="s">
        <v>62</v>
      </c>
      <c r="L930" t="s">
        <v>56</v>
      </c>
      <c r="M930" t="s">
        <v>56</v>
      </c>
      <c r="N930" t="s">
        <v>806</v>
      </c>
      <c r="O930" t="s">
        <v>245</v>
      </c>
      <c r="P930" t="s">
        <v>246</v>
      </c>
      <c r="Q930" t="s">
        <v>114</v>
      </c>
      <c r="R930" t="s">
        <v>248</v>
      </c>
      <c r="S930">
        <v>500000</v>
      </c>
      <c r="T930">
        <v>-10201066.689999999</v>
      </c>
      <c r="U930" t="s">
        <v>68</v>
      </c>
      <c r="V930" t="s">
        <v>3069</v>
      </c>
      <c r="W930" s="9">
        <v>60603714</v>
      </c>
      <c r="X930" t="s">
        <v>3070</v>
      </c>
      <c r="Y930" s="1">
        <v>46024</v>
      </c>
      <c r="Z930" s="1">
        <v>46084</v>
      </c>
      <c r="AA930" s="2">
        <v>6413.79</v>
      </c>
      <c r="AB930" s="2">
        <v>5445</v>
      </c>
      <c r="AC930" s="2">
        <v>968.79</v>
      </c>
      <c r="AD930" s="2">
        <v>5260.65</v>
      </c>
      <c r="AE930" t="s">
        <v>3081</v>
      </c>
      <c r="AF930" t="s">
        <v>72</v>
      </c>
      <c r="AG930">
        <v>-6</v>
      </c>
      <c r="AH930" t="s">
        <v>117</v>
      </c>
      <c r="AI930" t="s">
        <v>74</v>
      </c>
      <c r="AJ930" t="s">
        <v>127</v>
      </c>
      <c r="AK930" t="s">
        <v>334</v>
      </c>
      <c r="AL930" t="s">
        <v>118</v>
      </c>
      <c r="AM930" t="s">
        <v>78</v>
      </c>
      <c r="AN930" t="s">
        <v>239</v>
      </c>
      <c r="AO930" t="s">
        <v>119</v>
      </c>
      <c r="AP930" t="e">
        <v>#N/A</v>
      </c>
      <c r="AQ930" t="s">
        <v>335</v>
      </c>
      <c r="AR930" t="str">
        <f t="shared" si="28"/>
        <v>60603714.SPMINAM</v>
      </c>
      <c r="AS930">
        <f t="shared" si="29"/>
        <v>3786928.5000000005</v>
      </c>
      <c r="AT930" t="s">
        <v>82</v>
      </c>
    </row>
    <row r="931" spans="1:46" x14ac:dyDescent="0.35">
      <c r="A931" t="s">
        <v>52</v>
      </c>
      <c r="B931" t="s">
        <v>53</v>
      </c>
      <c r="C931" t="s">
        <v>54</v>
      </c>
      <c r="D931" t="s">
        <v>55</v>
      </c>
      <c r="E931" t="s">
        <v>56</v>
      </c>
      <c r="F931" t="s">
        <v>3066</v>
      </c>
      <c r="G931" t="s">
        <v>3067</v>
      </c>
      <c r="H931" t="s">
        <v>56</v>
      </c>
      <c r="I931" t="s">
        <v>3068</v>
      </c>
      <c r="J931" t="s">
        <v>56</v>
      </c>
      <c r="K931" t="s">
        <v>62</v>
      </c>
      <c r="L931" t="s">
        <v>56</v>
      </c>
      <c r="M931" t="s">
        <v>56</v>
      </c>
      <c r="N931" t="s">
        <v>254</v>
      </c>
      <c r="O931" t="s">
        <v>245</v>
      </c>
      <c r="P931" t="s">
        <v>246</v>
      </c>
      <c r="Q931" t="s">
        <v>114</v>
      </c>
      <c r="R931" t="s">
        <v>248</v>
      </c>
      <c r="S931">
        <v>500000</v>
      </c>
      <c r="T931">
        <v>-10201066.689999999</v>
      </c>
      <c r="U931" t="s">
        <v>68</v>
      </c>
      <c r="V931" t="s">
        <v>3069</v>
      </c>
      <c r="W931" s="9">
        <v>60603714</v>
      </c>
      <c r="X931" t="s">
        <v>3070</v>
      </c>
      <c r="Y931" s="1">
        <v>46024</v>
      </c>
      <c r="Z931" s="1">
        <v>46084</v>
      </c>
      <c r="AA931" s="2">
        <v>337598.51</v>
      </c>
      <c r="AB931" s="2">
        <v>286605</v>
      </c>
      <c r="AC931" s="2">
        <v>50993.51</v>
      </c>
      <c r="AD931" s="2">
        <v>276901.5</v>
      </c>
      <c r="AE931" t="s">
        <v>3082</v>
      </c>
      <c r="AF931" t="s">
        <v>72</v>
      </c>
      <c r="AG931">
        <v>-6</v>
      </c>
      <c r="AH931" t="s">
        <v>117</v>
      </c>
      <c r="AI931" t="s">
        <v>74</v>
      </c>
      <c r="AJ931" t="s">
        <v>75</v>
      </c>
      <c r="AK931" t="s">
        <v>76</v>
      </c>
      <c r="AL931" t="s">
        <v>118</v>
      </c>
      <c r="AM931" t="s">
        <v>78</v>
      </c>
      <c r="AN931" t="s">
        <v>239</v>
      </c>
      <c r="AO931" t="s">
        <v>119</v>
      </c>
      <c r="AP931" t="e">
        <v>#N/A</v>
      </c>
      <c r="AQ931" t="s">
        <v>81</v>
      </c>
      <c r="AR931" t="str">
        <f t="shared" si="28"/>
        <v>60603714.STATAM</v>
      </c>
      <c r="AS931">
        <f t="shared" si="29"/>
        <v>5191143.8500000006</v>
      </c>
      <c r="AT931" t="s">
        <v>82</v>
      </c>
    </row>
    <row r="932" spans="1:46" x14ac:dyDescent="0.35">
      <c r="A932" t="s">
        <v>52</v>
      </c>
      <c r="B932" t="s">
        <v>53</v>
      </c>
      <c r="C932" t="s">
        <v>54</v>
      </c>
      <c r="D932" t="s">
        <v>55</v>
      </c>
      <c r="E932" t="s">
        <v>56</v>
      </c>
      <c r="F932" t="s">
        <v>3066</v>
      </c>
      <c r="G932" t="s">
        <v>3067</v>
      </c>
      <c r="H932" t="s">
        <v>56</v>
      </c>
      <c r="I932" t="s">
        <v>3068</v>
      </c>
      <c r="J932" t="s">
        <v>56</v>
      </c>
      <c r="K932" t="s">
        <v>62</v>
      </c>
      <c r="L932" t="s">
        <v>56</v>
      </c>
      <c r="M932" t="s">
        <v>56</v>
      </c>
      <c r="N932" t="s">
        <v>1183</v>
      </c>
      <c r="O932" t="s">
        <v>245</v>
      </c>
      <c r="P932" t="s">
        <v>246</v>
      </c>
      <c r="Q932" t="s">
        <v>114</v>
      </c>
      <c r="R932" t="s">
        <v>248</v>
      </c>
      <c r="S932">
        <v>500000</v>
      </c>
      <c r="T932">
        <v>-10201066.689999999</v>
      </c>
      <c r="U932" t="s">
        <v>68</v>
      </c>
      <c r="V932" t="s">
        <v>3069</v>
      </c>
      <c r="W932" s="9">
        <v>60603714</v>
      </c>
      <c r="X932" t="s">
        <v>3070</v>
      </c>
      <c r="Y932" s="1">
        <v>46024</v>
      </c>
      <c r="Z932" s="1">
        <v>46084</v>
      </c>
      <c r="AA932" s="2">
        <v>270815.01</v>
      </c>
      <c r="AB932" s="2">
        <v>229909</v>
      </c>
      <c r="AC932" s="2">
        <v>40906.01</v>
      </c>
      <c r="AD932" s="2">
        <v>222125.04</v>
      </c>
      <c r="AE932" t="s">
        <v>3083</v>
      </c>
      <c r="AF932" t="s">
        <v>72</v>
      </c>
      <c r="AG932">
        <v>-6</v>
      </c>
      <c r="AH932" t="s">
        <v>117</v>
      </c>
      <c r="AI932" t="s">
        <v>74</v>
      </c>
      <c r="AJ932" t="s">
        <v>75</v>
      </c>
      <c r="AK932" t="s">
        <v>76</v>
      </c>
      <c r="AL932" t="s">
        <v>118</v>
      </c>
      <c r="AM932" t="s">
        <v>78</v>
      </c>
      <c r="AN932" t="s">
        <v>239</v>
      </c>
      <c r="AO932" t="s">
        <v>119</v>
      </c>
      <c r="AP932" t="e">
        <v>#N/A</v>
      </c>
      <c r="AQ932" t="s">
        <v>81</v>
      </c>
      <c r="AR932" t="str">
        <f t="shared" si="28"/>
        <v>60603714.STATAM</v>
      </c>
      <c r="AS932">
        <f t="shared" si="29"/>
        <v>5191143.8500000006</v>
      </c>
      <c r="AT932" t="s">
        <v>82</v>
      </c>
    </row>
    <row r="933" spans="1:46" x14ac:dyDescent="0.35">
      <c r="A933" t="s">
        <v>52</v>
      </c>
      <c r="B933" t="s">
        <v>53</v>
      </c>
      <c r="C933" t="s">
        <v>54</v>
      </c>
      <c r="D933" t="s">
        <v>55</v>
      </c>
      <c r="E933" t="s">
        <v>56</v>
      </c>
      <c r="F933" t="s">
        <v>3066</v>
      </c>
      <c r="G933" t="s">
        <v>3067</v>
      </c>
      <c r="H933" t="s">
        <v>56</v>
      </c>
      <c r="I933" t="s">
        <v>3068</v>
      </c>
      <c r="J933" t="s">
        <v>56</v>
      </c>
      <c r="K933" t="s">
        <v>62</v>
      </c>
      <c r="L933" t="s">
        <v>56</v>
      </c>
      <c r="M933" t="s">
        <v>56</v>
      </c>
      <c r="N933" t="s">
        <v>1384</v>
      </c>
      <c r="O933" t="s">
        <v>245</v>
      </c>
      <c r="P933" t="s">
        <v>246</v>
      </c>
      <c r="Q933" t="s">
        <v>114</v>
      </c>
      <c r="R933" t="s">
        <v>248</v>
      </c>
      <c r="S933">
        <v>500000</v>
      </c>
      <c r="T933">
        <v>-10201066.689999999</v>
      </c>
      <c r="U933" t="s">
        <v>68</v>
      </c>
      <c r="V933" t="s">
        <v>3069</v>
      </c>
      <c r="W933" s="9">
        <v>60603714</v>
      </c>
      <c r="X933" t="s">
        <v>3070</v>
      </c>
      <c r="Y933" s="1">
        <v>46024</v>
      </c>
      <c r="Z933" s="1">
        <v>46084</v>
      </c>
      <c r="AA933" s="2">
        <v>41346.26</v>
      </c>
      <c r="AB933" s="2">
        <v>35101</v>
      </c>
      <c r="AC933" s="2">
        <v>6245.26</v>
      </c>
      <c r="AD933" s="2">
        <v>33912.6</v>
      </c>
      <c r="AE933" t="s">
        <v>3084</v>
      </c>
      <c r="AF933" t="s">
        <v>72</v>
      </c>
      <c r="AG933">
        <v>-6</v>
      </c>
      <c r="AH933" t="s">
        <v>117</v>
      </c>
      <c r="AI933" t="s">
        <v>74</v>
      </c>
      <c r="AJ933" t="s">
        <v>75</v>
      </c>
      <c r="AK933" t="s">
        <v>76</v>
      </c>
      <c r="AL933" t="s">
        <v>118</v>
      </c>
      <c r="AM933" t="s">
        <v>78</v>
      </c>
      <c r="AN933" t="s">
        <v>239</v>
      </c>
      <c r="AO933" t="s">
        <v>119</v>
      </c>
      <c r="AP933" t="e">
        <v>#N/A</v>
      </c>
      <c r="AQ933" t="s">
        <v>81</v>
      </c>
      <c r="AR933" t="str">
        <f t="shared" si="28"/>
        <v>60603714.STATAM</v>
      </c>
      <c r="AS933">
        <f t="shared" si="29"/>
        <v>5191143.8500000006</v>
      </c>
      <c r="AT933" t="s">
        <v>82</v>
      </c>
    </row>
    <row r="934" spans="1:46" x14ac:dyDescent="0.35">
      <c r="A934" t="s">
        <v>52</v>
      </c>
      <c r="B934" t="s">
        <v>53</v>
      </c>
      <c r="C934" t="s">
        <v>54</v>
      </c>
      <c r="D934" t="s">
        <v>55</v>
      </c>
      <c r="E934" t="s">
        <v>56</v>
      </c>
      <c r="F934" t="s">
        <v>3066</v>
      </c>
      <c r="G934" t="s">
        <v>3067</v>
      </c>
      <c r="H934" t="s">
        <v>56</v>
      </c>
      <c r="I934" t="s">
        <v>3068</v>
      </c>
      <c r="J934" t="s">
        <v>56</v>
      </c>
      <c r="K934" t="s">
        <v>62</v>
      </c>
      <c r="L934" t="s">
        <v>56</v>
      </c>
      <c r="M934" t="s">
        <v>56</v>
      </c>
      <c r="N934" t="s">
        <v>263</v>
      </c>
      <c r="O934" t="s">
        <v>245</v>
      </c>
      <c r="P934" t="s">
        <v>246</v>
      </c>
      <c r="Q934" t="s">
        <v>114</v>
      </c>
      <c r="R934" t="s">
        <v>248</v>
      </c>
      <c r="S934">
        <v>500000</v>
      </c>
      <c r="T934">
        <v>-10201066.689999999</v>
      </c>
      <c r="U934" t="s">
        <v>68</v>
      </c>
      <c r="V934" t="s">
        <v>3069</v>
      </c>
      <c r="W934" s="9">
        <v>60603714</v>
      </c>
      <c r="X934" t="s">
        <v>3070</v>
      </c>
      <c r="Y934" s="1">
        <v>46024</v>
      </c>
      <c r="Z934" s="1">
        <v>46084</v>
      </c>
      <c r="AA934" s="2">
        <v>202086.76</v>
      </c>
      <c r="AB934" s="2">
        <v>171562</v>
      </c>
      <c r="AC934" s="2">
        <v>30524.76</v>
      </c>
      <c r="AD934" s="2">
        <v>165753.48000000001</v>
      </c>
      <c r="AE934" t="s">
        <v>3085</v>
      </c>
      <c r="AF934" t="s">
        <v>72</v>
      </c>
      <c r="AG934">
        <v>-6</v>
      </c>
      <c r="AH934" t="s">
        <v>117</v>
      </c>
      <c r="AI934" t="s">
        <v>74</v>
      </c>
      <c r="AJ934" t="s">
        <v>75</v>
      </c>
      <c r="AK934" t="s">
        <v>76</v>
      </c>
      <c r="AL934" t="s">
        <v>118</v>
      </c>
      <c r="AM934" t="s">
        <v>78</v>
      </c>
      <c r="AN934" t="s">
        <v>239</v>
      </c>
      <c r="AO934" t="s">
        <v>119</v>
      </c>
      <c r="AP934" t="e">
        <v>#N/A</v>
      </c>
      <c r="AQ934" t="s">
        <v>81</v>
      </c>
      <c r="AR934" t="str">
        <f t="shared" si="28"/>
        <v>60603714.STATAM</v>
      </c>
      <c r="AS934">
        <f t="shared" si="29"/>
        <v>5191143.8500000006</v>
      </c>
      <c r="AT934" t="s">
        <v>82</v>
      </c>
    </row>
    <row r="935" spans="1:46" x14ac:dyDescent="0.35">
      <c r="A935" t="s">
        <v>52</v>
      </c>
      <c r="B935" t="s">
        <v>53</v>
      </c>
      <c r="C935" t="s">
        <v>54</v>
      </c>
      <c r="D935" t="s">
        <v>55</v>
      </c>
      <c r="E935" t="s">
        <v>56</v>
      </c>
      <c r="F935" t="s">
        <v>3066</v>
      </c>
      <c r="G935" t="s">
        <v>3067</v>
      </c>
      <c r="H935" t="s">
        <v>56</v>
      </c>
      <c r="I935" t="s">
        <v>3068</v>
      </c>
      <c r="J935" t="s">
        <v>56</v>
      </c>
      <c r="K935" t="s">
        <v>62</v>
      </c>
      <c r="L935" t="s">
        <v>56</v>
      </c>
      <c r="M935" t="s">
        <v>56</v>
      </c>
      <c r="N935" t="s">
        <v>789</v>
      </c>
      <c r="O935" t="s">
        <v>245</v>
      </c>
      <c r="P935" t="s">
        <v>246</v>
      </c>
      <c r="Q935" t="s">
        <v>114</v>
      </c>
      <c r="R935" t="s">
        <v>248</v>
      </c>
      <c r="S935">
        <v>500000</v>
      </c>
      <c r="T935">
        <v>-10201066.689999999</v>
      </c>
      <c r="U935" t="s">
        <v>68</v>
      </c>
      <c r="V935" t="s">
        <v>3069</v>
      </c>
      <c r="W935" s="9">
        <v>60603714</v>
      </c>
      <c r="X935" t="s">
        <v>3070</v>
      </c>
      <c r="Y935" s="1">
        <v>46024</v>
      </c>
      <c r="Z935" s="1">
        <v>46084</v>
      </c>
      <c r="AA935" s="2">
        <v>48398.48</v>
      </c>
      <c r="AB935" s="2">
        <v>41088</v>
      </c>
      <c r="AC935" s="2">
        <v>7310.48</v>
      </c>
      <c r="AD935" s="2">
        <v>39696.9</v>
      </c>
      <c r="AE935" t="s">
        <v>3086</v>
      </c>
      <c r="AF935" t="s">
        <v>72</v>
      </c>
      <c r="AG935">
        <v>-6</v>
      </c>
      <c r="AH935" t="s">
        <v>117</v>
      </c>
      <c r="AI935" t="s">
        <v>74</v>
      </c>
      <c r="AJ935" t="s">
        <v>127</v>
      </c>
      <c r="AK935" t="s">
        <v>334</v>
      </c>
      <c r="AL935" t="s">
        <v>118</v>
      </c>
      <c r="AM935" t="s">
        <v>78</v>
      </c>
      <c r="AN935" t="s">
        <v>239</v>
      </c>
      <c r="AO935" t="s">
        <v>119</v>
      </c>
      <c r="AP935" t="e">
        <v>#N/A</v>
      </c>
      <c r="AQ935" t="s">
        <v>335</v>
      </c>
      <c r="AR935" t="str">
        <f t="shared" si="28"/>
        <v>60603714.SPMINAM</v>
      </c>
      <c r="AS935">
        <f t="shared" si="29"/>
        <v>3786928.5000000005</v>
      </c>
      <c r="AT935" t="s">
        <v>82</v>
      </c>
    </row>
    <row r="936" spans="1:46" x14ac:dyDescent="0.35">
      <c r="A936" t="s">
        <v>52</v>
      </c>
      <c r="B936" t="s">
        <v>53</v>
      </c>
      <c r="C936" t="s">
        <v>54</v>
      </c>
      <c r="D936" t="s">
        <v>55</v>
      </c>
      <c r="E936" t="s">
        <v>56</v>
      </c>
      <c r="F936" t="s">
        <v>3066</v>
      </c>
      <c r="G936" t="s">
        <v>3067</v>
      </c>
      <c r="H936" t="s">
        <v>56</v>
      </c>
      <c r="I936" t="s">
        <v>3068</v>
      </c>
      <c r="J936" t="s">
        <v>56</v>
      </c>
      <c r="K936" t="s">
        <v>62</v>
      </c>
      <c r="L936" t="s">
        <v>56</v>
      </c>
      <c r="M936" t="s">
        <v>56</v>
      </c>
      <c r="N936" t="s">
        <v>252</v>
      </c>
      <c r="O936" t="s">
        <v>245</v>
      </c>
      <c r="P936" t="s">
        <v>246</v>
      </c>
      <c r="Q936" t="s">
        <v>114</v>
      </c>
      <c r="R936" t="s">
        <v>248</v>
      </c>
      <c r="S936">
        <v>500000</v>
      </c>
      <c r="T936">
        <v>-10201066.689999999</v>
      </c>
      <c r="U936" t="s">
        <v>68</v>
      </c>
      <c r="V936" t="s">
        <v>3069</v>
      </c>
      <c r="W936" s="9">
        <v>60603714</v>
      </c>
      <c r="X936" t="s">
        <v>3070</v>
      </c>
      <c r="Y936" s="1">
        <v>46024</v>
      </c>
      <c r="Z936" s="1">
        <v>46084</v>
      </c>
      <c r="AA936" s="2">
        <v>32621.39</v>
      </c>
      <c r="AB936" s="2">
        <v>27694</v>
      </c>
      <c r="AC936" s="2">
        <v>4927.3900000000003</v>
      </c>
      <c r="AD936" s="2">
        <v>26756.37</v>
      </c>
      <c r="AE936" t="s">
        <v>3087</v>
      </c>
      <c r="AF936" t="s">
        <v>72</v>
      </c>
      <c r="AG936">
        <v>-6</v>
      </c>
      <c r="AH936" t="s">
        <v>117</v>
      </c>
      <c r="AI936" t="s">
        <v>74</v>
      </c>
      <c r="AJ936" t="s">
        <v>75</v>
      </c>
      <c r="AK936" t="s">
        <v>76</v>
      </c>
      <c r="AL936" t="s">
        <v>118</v>
      </c>
      <c r="AM936" t="s">
        <v>78</v>
      </c>
      <c r="AN936" t="s">
        <v>239</v>
      </c>
      <c r="AO936" t="s">
        <v>119</v>
      </c>
      <c r="AP936" t="e">
        <v>#N/A</v>
      </c>
      <c r="AQ936" t="s">
        <v>81</v>
      </c>
      <c r="AR936" t="str">
        <f t="shared" si="28"/>
        <v>60603714.STATAM</v>
      </c>
      <c r="AS936">
        <f t="shared" si="29"/>
        <v>5191143.8500000006</v>
      </c>
      <c r="AT936" t="s">
        <v>82</v>
      </c>
    </row>
    <row r="937" spans="1:46" x14ac:dyDescent="0.35">
      <c r="A937" t="s">
        <v>52</v>
      </c>
      <c r="B937" t="s">
        <v>53</v>
      </c>
      <c r="C937" t="s">
        <v>54</v>
      </c>
      <c r="D937" t="s">
        <v>55</v>
      </c>
      <c r="E937" t="s">
        <v>56</v>
      </c>
      <c r="F937" t="s">
        <v>3066</v>
      </c>
      <c r="G937" t="s">
        <v>3067</v>
      </c>
      <c r="H937" t="s">
        <v>56</v>
      </c>
      <c r="I937" t="s">
        <v>3068</v>
      </c>
      <c r="J937" t="s">
        <v>56</v>
      </c>
      <c r="K937" t="s">
        <v>62</v>
      </c>
      <c r="L937" t="s">
        <v>56</v>
      </c>
      <c r="M937" t="s">
        <v>56</v>
      </c>
      <c r="N937" t="s">
        <v>337</v>
      </c>
      <c r="O937" t="s">
        <v>245</v>
      </c>
      <c r="P937" t="s">
        <v>246</v>
      </c>
      <c r="Q937" t="s">
        <v>114</v>
      </c>
      <c r="R937" t="s">
        <v>248</v>
      </c>
      <c r="S937">
        <v>500000</v>
      </c>
      <c r="T937">
        <v>-10201066.689999999</v>
      </c>
      <c r="U937" t="s">
        <v>68</v>
      </c>
      <c r="V937" t="s">
        <v>3069</v>
      </c>
      <c r="W937" s="9">
        <v>60603714</v>
      </c>
      <c r="X937" t="s">
        <v>3070</v>
      </c>
      <c r="Y937" s="1">
        <v>46024</v>
      </c>
      <c r="Z937" s="1">
        <v>46084</v>
      </c>
      <c r="AA937" s="2">
        <v>111265.39</v>
      </c>
      <c r="AB937" s="2">
        <v>94459</v>
      </c>
      <c r="AC937" s="2">
        <v>16806.39</v>
      </c>
      <c r="AD937" s="2">
        <v>91260.93</v>
      </c>
      <c r="AE937" t="s">
        <v>3088</v>
      </c>
      <c r="AF937" t="s">
        <v>72</v>
      </c>
      <c r="AG937">
        <v>-6</v>
      </c>
      <c r="AH937" t="s">
        <v>117</v>
      </c>
      <c r="AI937" t="s">
        <v>74</v>
      </c>
      <c r="AJ937" t="s">
        <v>127</v>
      </c>
      <c r="AK937" t="s">
        <v>334</v>
      </c>
      <c r="AL937" t="s">
        <v>118</v>
      </c>
      <c r="AM937" t="s">
        <v>78</v>
      </c>
      <c r="AN937" t="s">
        <v>239</v>
      </c>
      <c r="AO937" t="s">
        <v>119</v>
      </c>
      <c r="AP937" t="e">
        <v>#N/A</v>
      </c>
      <c r="AQ937" t="s">
        <v>335</v>
      </c>
      <c r="AR937" t="str">
        <f t="shared" si="28"/>
        <v>60603714.SPMINAM</v>
      </c>
      <c r="AS937">
        <f t="shared" si="29"/>
        <v>3786928.5000000005</v>
      </c>
      <c r="AT937" t="s">
        <v>82</v>
      </c>
    </row>
    <row r="938" spans="1:46" x14ac:dyDescent="0.35">
      <c r="A938" t="s">
        <v>52</v>
      </c>
      <c r="B938" t="s">
        <v>53</v>
      </c>
      <c r="C938" t="s">
        <v>54</v>
      </c>
      <c r="D938" t="s">
        <v>55</v>
      </c>
      <c r="E938" t="s">
        <v>56</v>
      </c>
      <c r="F938" t="s">
        <v>3066</v>
      </c>
      <c r="G938" t="s">
        <v>3089</v>
      </c>
      <c r="H938" t="s">
        <v>56</v>
      </c>
      <c r="I938" t="s">
        <v>3090</v>
      </c>
      <c r="J938" t="s">
        <v>56</v>
      </c>
      <c r="K938" t="s">
        <v>62</v>
      </c>
      <c r="L938" t="s">
        <v>56</v>
      </c>
      <c r="M938" t="s">
        <v>56</v>
      </c>
      <c r="N938" t="s">
        <v>331</v>
      </c>
      <c r="O938" t="s">
        <v>245</v>
      </c>
      <c r="P938" t="s">
        <v>246</v>
      </c>
      <c r="Q938" t="s">
        <v>114</v>
      </c>
      <c r="R938" t="s">
        <v>248</v>
      </c>
      <c r="S938">
        <v>500000</v>
      </c>
      <c r="T938">
        <v>-10201066.689999999</v>
      </c>
      <c r="U938" t="s">
        <v>68</v>
      </c>
      <c r="V938" t="s">
        <v>3069</v>
      </c>
      <c r="W938" s="9">
        <v>60603714</v>
      </c>
      <c r="X938" t="s">
        <v>3091</v>
      </c>
      <c r="Y938" s="1">
        <v>46024</v>
      </c>
      <c r="Z938" s="1">
        <v>46084</v>
      </c>
      <c r="AA938" s="2">
        <v>18290</v>
      </c>
      <c r="AB938" s="2">
        <v>15500</v>
      </c>
      <c r="AC938" s="2">
        <v>2790</v>
      </c>
      <c r="AD938" s="2">
        <v>18290</v>
      </c>
      <c r="AE938" t="s">
        <v>3092</v>
      </c>
      <c r="AF938" t="s">
        <v>72</v>
      </c>
      <c r="AG938">
        <v>-6</v>
      </c>
      <c r="AH938" t="s">
        <v>117</v>
      </c>
      <c r="AI938" t="s">
        <v>74</v>
      </c>
      <c r="AJ938" t="s">
        <v>127</v>
      </c>
      <c r="AK938" t="s">
        <v>334</v>
      </c>
      <c r="AL938" t="s">
        <v>118</v>
      </c>
      <c r="AM938" t="s">
        <v>78</v>
      </c>
      <c r="AN938" t="s">
        <v>239</v>
      </c>
      <c r="AO938" t="s">
        <v>119</v>
      </c>
      <c r="AP938" t="e">
        <v>#N/A</v>
      </c>
      <c r="AQ938" t="s">
        <v>335</v>
      </c>
      <c r="AR938" t="str">
        <f t="shared" si="28"/>
        <v>60603714.SPMINAM</v>
      </c>
      <c r="AS938">
        <f t="shared" si="29"/>
        <v>3786928.5000000005</v>
      </c>
      <c r="AT938" t="s">
        <v>82</v>
      </c>
    </row>
    <row r="939" spans="1:46" x14ac:dyDescent="0.35">
      <c r="A939" t="s">
        <v>52</v>
      </c>
      <c r="B939" t="s">
        <v>53</v>
      </c>
      <c r="C939" t="s">
        <v>54</v>
      </c>
      <c r="D939" t="s">
        <v>55</v>
      </c>
      <c r="E939" t="s">
        <v>56</v>
      </c>
      <c r="F939" t="s">
        <v>3066</v>
      </c>
      <c r="G939" t="s">
        <v>3093</v>
      </c>
      <c r="H939" t="s">
        <v>56</v>
      </c>
      <c r="I939" t="s">
        <v>3094</v>
      </c>
      <c r="J939" t="s">
        <v>56</v>
      </c>
      <c r="K939" t="s">
        <v>62</v>
      </c>
      <c r="L939" t="s">
        <v>56</v>
      </c>
      <c r="M939" t="s">
        <v>56</v>
      </c>
      <c r="N939" t="s">
        <v>331</v>
      </c>
      <c r="O939" t="s">
        <v>245</v>
      </c>
      <c r="P939" t="s">
        <v>246</v>
      </c>
      <c r="Q939" t="s">
        <v>114</v>
      </c>
      <c r="R939" t="s">
        <v>248</v>
      </c>
      <c r="S939">
        <v>500000</v>
      </c>
      <c r="T939">
        <v>-10201066.689999999</v>
      </c>
      <c r="U939" t="s">
        <v>68</v>
      </c>
      <c r="V939" t="s">
        <v>3069</v>
      </c>
      <c r="W939" s="9">
        <v>60603714</v>
      </c>
      <c r="X939" t="s">
        <v>3095</v>
      </c>
      <c r="Y939" s="1">
        <v>46024</v>
      </c>
      <c r="Z939" s="1">
        <v>46084</v>
      </c>
      <c r="AA939" s="2">
        <v>16085.76</v>
      </c>
      <c r="AB939" s="2">
        <v>13632</v>
      </c>
      <c r="AC939" s="2">
        <v>2453.7600000000002</v>
      </c>
      <c r="AD939" s="2">
        <v>16085.76</v>
      </c>
      <c r="AE939" t="s">
        <v>3096</v>
      </c>
      <c r="AF939" t="s">
        <v>72</v>
      </c>
      <c r="AG939">
        <v>-6</v>
      </c>
      <c r="AH939" t="s">
        <v>117</v>
      </c>
      <c r="AI939" t="s">
        <v>74</v>
      </c>
      <c r="AJ939" t="s">
        <v>127</v>
      </c>
      <c r="AK939" t="s">
        <v>334</v>
      </c>
      <c r="AL939" t="s">
        <v>118</v>
      </c>
      <c r="AM939" t="s">
        <v>78</v>
      </c>
      <c r="AN939" t="s">
        <v>239</v>
      </c>
      <c r="AO939" t="s">
        <v>119</v>
      </c>
      <c r="AP939" t="e">
        <v>#N/A</v>
      </c>
      <c r="AQ939" t="s">
        <v>335</v>
      </c>
      <c r="AR939" t="str">
        <f t="shared" si="28"/>
        <v>60603714.SPMINAM</v>
      </c>
      <c r="AS939">
        <f t="shared" si="29"/>
        <v>3786928.5000000005</v>
      </c>
      <c r="AT939" t="s">
        <v>82</v>
      </c>
    </row>
    <row r="940" spans="1:46" x14ac:dyDescent="0.35">
      <c r="A940" t="s">
        <v>52</v>
      </c>
      <c r="B940" t="s">
        <v>53</v>
      </c>
      <c r="C940" t="s">
        <v>54</v>
      </c>
      <c r="D940" t="s">
        <v>55</v>
      </c>
      <c r="E940" t="s">
        <v>56</v>
      </c>
      <c r="F940" t="s">
        <v>3066</v>
      </c>
      <c r="G940" t="s">
        <v>3097</v>
      </c>
      <c r="H940" t="s">
        <v>56</v>
      </c>
      <c r="I940" t="s">
        <v>3098</v>
      </c>
      <c r="J940" t="s">
        <v>56</v>
      </c>
      <c r="K940" t="s">
        <v>62</v>
      </c>
      <c r="L940" t="s">
        <v>56</v>
      </c>
      <c r="M940" t="s">
        <v>56</v>
      </c>
      <c r="N940" t="s">
        <v>263</v>
      </c>
      <c r="O940" t="s">
        <v>245</v>
      </c>
      <c r="P940" t="s">
        <v>246</v>
      </c>
      <c r="Q940" t="s">
        <v>114</v>
      </c>
      <c r="R940" t="s">
        <v>248</v>
      </c>
      <c r="S940">
        <v>500000</v>
      </c>
      <c r="T940">
        <v>-10201066.689999999</v>
      </c>
      <c r="U940" t="s">
        <v>68</v>
      </c>
      <c r="V940" t="s">
        <v>3069</v>
      </c>
      <c r="W940" s="9">
        <v>60603714</v>
      </c>
      <c r="X940" t="s">
        <v>3099</v>
      </c>
      <c r="Y940" s="1">
        <v>46024</v>
      </c>
      <c r="Z940" s="1">
        <v>46084</v>
      </c>
      <c r="AA940" s="2">
        <v>143485.95000000001</v>
      </c>
      <c r="AB940" s="2">
        <v>122190</v>
      </c>
      <c r="AC940" s="2">
        <v>21295.95</v>
      </c>
      <c r="AD940" s="2">
        <v>143485.95000000001</v>
      </c>
      <c r="AE940" t="s">
        <v>3100</v>
      </c>
      <c r="AF940" t="s">
        <v>72</v>
      </c>
      <c r="AG940">
        <v>-6</v>
      </c>
      <c r="AH940" t="s">
        <v>117</v>
      </c>
      <c r="AI940" t="s">
        <v>74</v>
      </c>
      <c r="AJ940" t="s">
        <v>75</v>
      </c>
      <c r="AK940" t="s">
        <v>76</v>
      </c>
      <c r="AL940" t="s">
        <v>118</v>
      </c>
      <c r="AM940" t="s">
        <v>78</v>
      </c>
      <c r="AN940" t="s">
        <v>239</v>
      </c>
      <c r="AO940" t="s">
        <v>119</v>
      </c>
      <c r="AP940" t="e">
        <v>#N/A</v>
      </c>
      <c r="AQ940" t="s">
        <v>81</v>
      </c>
      <c r="AR940" t="str">
        <f t="shared" si="28"/>
        <v>60603714.STATAM</v>
      </c>
      <c r="AS940">
        <f t="shared" si="29"/>
        <v>5191143.8500000006</v>
      </c>
      <c r="AT940" t="s">
        <v>82</v>
      </c>
    </row>
    <row r="941" spans="1:46" x14ac:dyDescent="0.35">
      <c r="A941" t="s">
        <v>52</v>
      </c>
      <c r="B941" t="s">
        <v>53</v>
      </c>
      <c r="C941" t="s">
        <v>54</v>
      </c>
      <c r="D941" t="s">
        <v>55</v>
      </c>
      <c r="E941" t="s">
        <v>56</v>
      </c>
      <c r="F941" t="s">
        <v>3066</v>
      </c>
      <c r="G941" t="s">
        <v>3097</v>
      </c>
      <c r="H941" t="s">
        <v>56</v>
      </c>
      <c r="I941" t="s">
        <v>3098</v>
      </c>
      <c r="J941" t="s">
        <v>56</v>
      </c>
      <c r="K941" t="s">
        <v>62</v>
      </c>
      <c r="L941" t="s">
        <v>56</v>
      </c>
      <c r="M941" t="s">
        <v>56</v>
      </c>
      <c r="N941" t="s">
        <v>261</v>
      </c>
      <c r="O941" t="s">
        <v>245</v>
      </c>
      <c r="P941" t="s">
        <v>246</v>
      </c>
      <c r="Q941" t="s">
        <v>114</v>
      </c>
      <c r="R941" t="s">
        <v>248</v>
      </c>
      <c r="S941">
        <v>500000</v>
      </c>
      <c r="T941">
        <v>-10201066.689999999</v>
      </c>
      <c r="U941" t="s">
        <v>68</v>
      </c>
      <c r="V941" t="s">
        <v>3069</v>
      </c>
      <c r="W941" s="9">
        <v>60603714</v>
      </c>
      <c r="X941" t="s">
        <v>3099</v>
      </c>
      <c r="Y941" s="1">
        <v>46024</v>
      </c>
      <c r="Z941" s="1">
        <v>46084</v>
      </c>
      <c r="AA941" s="2">
        <v>1681.58</v>
      </c>
      <c r="AB941" s="2">
        <v>1432</v>
      </c>
      <c r="AC941" s="2">
        <v>249.58</v>
      </c>
      <c r="AD941" s="2">
        <v>1681.58</v>
      </c>
      <c r="AE941" t="s">
        <v>3101</v>
      </c>
      <c r="AF941" t="s">
        <v>72</v>
      </c>
      <c r="AG941">
        <v>-6</v>
      </c>
      <c r="AH941" t="s">
        <v>117</v>
      </c>
      <c r="AI941" t="s">
        <v>74</v>
      </c>
      <c r="AJ941" t="s">
        <v>75</v>
      </c>
      <c r="AK941" t="s">
        <v>76</v>
      </c>
      <c r="AL941" t="s">
        <v>118</v>
      </c>
      <c r="AM941" t="s">
        <v>78</v>
      </c>
      <c r="AN941" t="s">
        <v>239</v>
      </c>
      <c r="AO941" t="s">
        <v>119</v>
      </c>
      <c r="AP941" t="e">
        <v>#N/A</v>
      </c>
      <c r="AQ941" t="s">
        <v>81</v>
      </c>
      <c r="AR941" t="str">
        <f t="shared" si="28"/>
        <v>60603714.STATAM</v>
      </c>
      <c r="AS941">
        <f t="shared" si="29"/>
        <v>5191143.8500000006</v>
      </c>
      <c r="AT941" t="s">
        <v>82</v>
      </c>
    </row>
    <row r="942" spans="1:46" x14ac:dyDescent="0.35">
      <c r="A942" t="s">
        <v>52</v>
      </c>
      <c r="B942" t="s">
        <v>53</v>
      </c>
      <c r="C942" t="s">
        <v>54</v>
      </c>
      <c r="D942" t="s">
        <v>55</v>
      </c>
      <c r="E942" t="s">
        <v>56</v>
      </c>
      <c r="F942" t="s">
        <v>3066</v>
      </c>
      <c r="G942" t="s">
        <v>3097</v>
      </c>
      <c r="H942" t="s">
        <v>56</v>
      </c>
      <c r="I942" t="s">
        <v>3098</v>
      </c>
      <c r="J942" t="s">
        <v>56</v>
      </c>
      <c r="K942" t="s">
        <v>62</v>
      </c>
      <c r="L942" t="s">
        <v>56</v>
      </c>
      <c r="M942" t="s">
        <v>56</v>
      </c>
      <c r="N942" t="s">
        <v>295</v>
      </c>
      <c r="O942" t="s">
        <v>245</v>
      </c>
      <c r="P942" t="s">
        <v>246</v>
      </c>
      <c r="Q942" t="s">
        <v>114</v>
      </c>
      <c r="R942" t="s">
        <v>248</v>
      </c>
      <c r="S942">
        <v>500000</v>
      </c>
      <c r="T942">
        <v>-10201066.689999999</v>
      </c>
      <c r="U942" t="s">
        <v>68</v>
      </c>
      <c r="V942" t="s">
        <v>3069</v>
      </c>
      <c r="W942" s="9">
        <v>60603714</v>
      </c>
      <c r="X942" t="s">
        <v>3099</v>
      </c>
      <c r="Y942" s="1">
        <v>46024</v>
      </c>
      <c r="Z942" s="1">
        <v>46084</v>
      </c>
      <c r="AA942" s="2">
        <v>803.21</v>
      </c>
      <c r="AB942" s="2">
        <v>684</v>
      </c>
      <c r="AC942" s="2">
        <v>119.21</v>
      </c>
      <c r="AD942" s="2">
        <v>803.21</v>
      </c>
      <c r="AE942" t="s">
        <v>3102</v>
      </c>
      <c r="AF942" t="s">
        <v>72</v>
      </c>
      <c r="AG942">
        <v>-6</v>
      </c>
      <c r="AH942" t="s">
        <v>117</v>
      </c>
      <c r="AI942" t="s">
        <v>74</v>
      </c>
      <c r="AJ942" t="s">
        <v>75</v>
      </c>
      <c r="AK942" t="s">
        <v>76</v>
      </c>
      <c r="AL942" t="s">
        <v>118</v>
      </c>
      <c r="AM942" t="s">
        <v>78</v>
      </c>
      <c r="AN942" t="s">
        <v>239</v>
      </c>
      <c r="AO942" t="s">
        <v>119</v>
      </c>
      <c r="AP942" t="e">
        <v>#N/A</v>
      </c>
      <c r="AQ942" t="s">
        <v>81</v>
      </c>
      <c r="AR942" t="str">
        <f t="shared" si="28"/>
        <v>60603714.STATAM</v>
      </c>
      <c r="AS942">
        <f t="shared" si="29"/>
        <v>5191143.8500000006</v>
      </c>
      <c r="AT942" t="s">
        <v>82</v>
      </c>
    </row>
    <row r="943" spans="1:46" x14ac:dyDescent="0.35">
      <c r="A943" t="s">
        <v>52</v>
      </c>
      <c r="B943" t="s">
        <v>53</v>
      </c>
      <c r="C943" t="s">
        <v>54</v>
      </c>
      <c r="D943" t="s">
        <v>55</v>
      </c>
      <c r="E943" t="s">
        <v>56</v>
      </c>
      <c r="F943" t="s">
        <v>3066</v>
      </c>
      <c r="G943" t="s">
        <v>3097</v>
      </c>
      <c r="H943" t="s">
        <v>56</v>
      </c>
      <c r="I943" t="s">
        <v>3098</v>
      </c>
      <c r="J943" t="s">
        <v>56</v>
      </c>
      <c r="K943" t="s">
        <v>62</v>
      </c>
      <c r="L943" t="s">
        <v>56</v>
      </c>
      <c r="M943" t="s">
        <v>56</v>
      </c>
      <c r="N943" t="s">
        <v>1189</v>
      </c>
      <c r="O943" t="s">
        <v>245</v>
      </c>
      <c r="P943" t="s">
        <v>246</v>
      </c>
      <c r="Q943" t="s">
        <v>114</v>
      </c>
      <c r="R943" t="s">
        <v>248</v>
      </c>
      <c r="S943">
        <v>500000</v>
      </c>
      <c r="T943">
        <v>-10201066.689999999</v>
      </c>
      <c r="U943" t="s">
        <v>68</v>
      </c>
      <c r="V943" t="s">
        <v>3069</v>
      </c>
      <c r="W943" s="9">
        <v>60603714</v>
      </c>
      <c r="X943" t="s">
        <v>3099</v>
      </c>
      <c r="Y943" s="1">
        <v>46024</v>
      </c>
      <c r="Z943" s="1">
        <v>46084</v>
      </c>
      <c r="AA943" s="2">
        <v>146972.41</v>
      </c>
      <c r="AB943" s="2">
        <v>125159</v>
      </c>
      <c r="AC943" s="2">
        <v>21813.41</v>
      </c>
      <c r="AD943" s="2">
        <v>146972.41</v>
      </c>
      <c r="AE943" t="s">
        <v>3103</v>
      </c>
      <c r="AF943" t="s">
        <v>72</v>
      </c>
      <c r="AG943">
        <v>-6</v>
      </c>
      <c r="AH943" t="s">
        <v>117</v>
      </c>
      <c r="AI943" t="s">
        <v>74</v>
      </c>
      <c r="AJ943" t="s">
        <v>75</v>
      </c>
      <c r="AK943" t="s">
        <v>76</v>
      </c>
      <c r="AL943" t="s">
        <v>118</v>
      </c>
      <c r="AM943" t="s">
        <v>78</v>
      </c>
      <c r="AN943" t="s">
        <v>239</v>
      </c>
      <c r="AO943" t="s">
        <v>119</v>
      </c>
      <c r="AP943" t="e">
        <v>#N/A</v>
      </c>
      <c r="AQ943" t="s">
        <v>81</v>
      </c>
      <c r="AR943" t="str">
        <f t="shared" si="28"/>
        <v>60603714.STATAM</v>
      </c>
      <c r="AS943">
        <f t="shared" si="29"/>
        <v>5191143.8500000006</v>
      </c>
      <c r="AT943" t="s">
        <v>82</v>
      </c>
    </row>
    <row r="944" spans="1:46" x14ac:dyDescent="0.35">
      <c r="A944" t="s">
        <v>52</v>
      </c>
      <c r="B944" t="s">
        <v>53</v>
      </c>
      <c r="C944" t="s">
        <v>54</v>
      </c>
      <c r="D944" t="s">
        <v>55</v>
      </c>
      <c r="E944" t="s">
        <v>56</v>
      </c>
      <c r="F944" t="s">
        <v>3066</v>
      </c>
      <c r="G944" t="s">
        <v>3097</v>
      </c>
      <c r="H944" t="s">
        <v>56</v>
      </c>
      <c r="I944" t="s">
        <v>3098</v>
      </c>
      <c r="J944" t="s">
        <v>56</v>
      </c>
      <c r="K944" t="s">
        <v>62</v>
      </c>
      <c r="L944" t="s">
        <v>56</v>
      </c>
      <c r="M944" t="s">
        <v>56</v>
      </c>
      <c r="N944" t="s">
        <v>244</v>
      </c>
      <c r="O944" t="s">
        <v>245</v>
      </c>
      <c r="P944" t="s">
        <v>246</v>
      </c>
      <c r="Q944" t="s">
        <v>114</v>
      </c>
      <c r="R944" t="s">
        <v>248</v>
      </c>
      <c r="S944">
        <v>500000</v>
      </c>
      <c r="T944">
        <v>-10201066.689999999</v>
      </c>
      <c r="U944" t="s">
        <v>68</v>
      </c>
      <c r="V944" t="s">
        <v>3069</v>
      </c>
      <c r="W944" s="9">
        <v>60603714</v>
      </c>
      <c r="X944" t="s">
        <v>3099</v>
      </c>
      <c r="Y944" s="1">
        <v>46024</v>
      </c>
      <c r="Z944" s="1">
        <v>46084</v>
      </c>
      <c r="AA944" s="2">
        <v>244358.26</v>
      </c>
      <c r="AB944" s="2">
        <v>208091</v>
      </c>
      <c r="AC944" s="2">
        <v>36267.26</v>
      </c>
      <c r="AD944" s="2">
        <v>244358.26</v>
      </c>
      <c r="AE944" t="s">
        <v>3104</v>
      </c>
      <c r="AF944" t="s">
        <v>72</v>
      </c>
      <c r="AG944">
        <v>-6</v>
      </c>
      <c r="AH944" t="s">
        <v>117</v>
      </c>
      <c r="AI944" t="s">
        <v>74</v>
      </c>
      <c r="AJ944" t="s">
        <v>75</v>
      </c>
      <c r="AK944" t="s">
        <v>76</v>
      </c>
      <c r="AL944" t="s">
        <v>118</v>
      </c>
      <c r="AM944" t="s">
        <v>78</v>
      </c>
      <c r="AN944" t="s">
        <v>239</v>
      </c>
      <c r="AO944" t="s">
        <v>119</v>
      </c>
      <c r="AP944" t="e">
        <v>#N/A</v>
      </c>
      <c r="AQ944" t="s">
        <v>81</v>
      </c>
      <c r="AR944" t="str">
        <f t="shared" si="28"/>
        <v>60603714.STATAM</v>
      </c>
      <c r="AS944">
        <f t="shared" si="29"/>
        <v>5191143.8500000006</v>
      </c>
      <c r="AT944" t="s">
        <v>82</v>
      </c>
    </row>
    <row r="945" spans="1:46" x14ac:dyDescent="0.35">
      <c r="A945" t="s">
        <v>52</v>
      </c>
      <c r="B945" t="s">
        <v>53</v>
      </c>
      <c r="C945" t="s">
        <v>54</v>
      </c>
      <c r="D945" t="s">
        <v>55</v>
      </c>
      <c r="E945" t="s">
        <v>56</v>
      </c>
      <c r="F945" t="s">
        <v>3066</v>
      </c>
      <c r="G945" t="s">
        <v>3097</v>
      </c>
      <c r="H945" t="s">
        <v>56</v>
      </c>
      <c r="I945" t="s">
        <v>3098</v>
      </c>
      <c r="J945" t="s">
        <v>56</v>
      </c>
      <c r="K945" t="s">
        <v>62</v>
      </c>
      <c r="L945" t="s">
        <v>56</v>
      </c>
      <c r="M945" t="s">
        <v>56</v>
      </c>
      <c r="N945" t="s">
        <v>1135</v>
      </c>
      <c r="O945" t="s">
        <v>245</v>
      </c>
      <c r="P945" t="s">
        <v>246</v>
      </c>
      <c r="Q945" t="s">
        <v>114</v>
      </c>
      <c r="R945" t="s">
        <v>248</v>
      </c>
      <c r="S945">
        <v>500000</v>
      </c>
      <c r="T945">
        <v>-10201066.689999999</v>
      </c>
      <c r="U945" t="s">
        <v>68</v>
      </c>
      <c r="V945" t="s">
        <v>3069</v>
      </c>
      <c r="W945" s="9">
        <v>60603714</v>
      </c>
      <c r="X945" t="s">
        <v>3099</v>
      </c>
      <c r="Y945" s="1">
        <v>46024</v>
      </c>
      <c r="Z945" s="1">
        <v>46084</v>
      </c>
      <c r="AA945" s="2">
        <v>159426.88</v>
      </c>
      <c r="AB945" s="2">
        <v>135765</v>
      </c>
      <c r="AC945" s="2">
        <v>23661.88</v>
      </c>
      <c r="AD945" s="2">
        <v>159426.88</v>
      </c>
      <c r="AE945" t="s">
        <v>3105</v>
      </c>
      <c r="AF945" t="s">
        <v>72</v>
      </c>
      <c r="AG945">
        <v>-6</v>
      </c>
      <c r="AH945" t="s">
        <v>117</v>
      </c>
      <c r="AI945" t="s">
        <v>74</v>
      </c>
      <c r="AJ945" t="s">
        <v>127</v>
      </c>
      <c r="AK945" t="s">
        <v>334</v>
      </c>
      <c r="AL945" t="s">
        <v>118</v>
      </c>
      <c r="AM945" t="s">
        <v>78</v>
      </c>
      <c r="AN945" t="s">
        <v>239</v>
      </c>
      <c r="AO945" t="s">
        <v>119</v>
      </c>
      <c r="AP945" t="e">
        <v>#N/A</v>
      </c>
      <c r="AQ945" t="s">
        <v>335</v>
      </c>
      <c r="AR945" t="str">
        <f t="shared" si="28"/>
        <v>60603714.SPMINAM</v>
      </c>
      <c r="AS945">
        <f t="shared" si="29"/>
        <v>3786928.5000000005</v>
      </c>
      <c r="AT945" t="s">
        <v>82</v>
      </c>
    </row>
    <row r="946" spans="1:46" x14ac:dyDescent="0.35">
      <c r="A946" t="s">
        <v>52</v>
      </c>
      <c r="B946" t="s">
        <v>53</v>
      </c>
      <c r="C946" t="s">
        <v>54</v>
      </c>
      <c r="D946" t="s">
        <v>55</v>
      </c>
      <c r="E946" t="s">
        <v>56</v>
      </c>
      <c r="F946" t="s">
        <v>3066</v>
      </c>
      <c r="G946" t="s">
        <v>3097</v>
      </c>
      <c r="H946" t="s">
        <v>56</v>
      </c>
      <c r="I946" t="s">
        <v>3098</v>
      </c>
      <c r="J946" t="s">
        <v>56</v>
      </c>
      <c r="K946" t="s">
        <v>62</v>
      </c>
      <c r="L946" t="s">
        <v>56</v>
      </c>
      <c r="M946" t="s">
        <v>56</v>
      </c>
      <c r="N946" t="s">
        <v>789</v>
      </c>
      <c r="O946" t="s">
        <v>245</v>
      </c>
      <c r="P946" t="s">
        <v>246</v>
      </c>
      <c r="Q946" t="s">
        <v>114</v>
      </c>
      <c r="R946" t="s">
        <v>248</v>
      </c>
      <c r="S946">
        <v>500000</v>
      </c>
      <c r="T946">
        <v>-10201066.689999999</v>
      </c>
      <c r="U946" t="s">
        <v>68</v>
      </c>
      <c r="V946" t="s">
        <v>3069</v>
      </c>
      <c r="W946" s="9">
        <v>60603714</v>
      </c>
      <c r="X946" t="s">
        <v>3099</v>
      </c>
      <c r="Y946" s="1">
        <v>46024</v>
      </c>
      <c r="Z946" s="1">
        <v>46084</v>
      </c>
      <c r="AA946" s="2">
        <v>130186</v>
      </c>
      <c r="AB946" s="2">
        <v>110864</v>
      </c>
      <c r="AC946" s="2">
        <v>19322</v>
      </c>
      <c r="AD946" s="2">
        <v>130186</v>
      </c>
      <c r="AE946" t="s">
        <v>3106</v>
      </c>
      <c r="AF946" t="s">
        <v>72</v>
      </c>
      <c r="AG946">
        <v>-6</v>
      </c>
      <c r="AH946" t="s">
        <v>117</v>
      </c>
      <c r="AI946" t="s">
        <v>74</v>
      </c>
      <c r="AJ946" t="s">
        <v>127</v>
      </c>
      <c r="AK946" t="s">
        <v>334</v>
      </c>
      <c r="AL946" t="s">
        <v>118</v>
      </c>
      <c r="AM946" t="s">
        <v>78</v>
      </c>
      <c r="AN946" t="s">
        <v>239</v>
      </c>
      <c r="AO946" t="s">
        <v>119</v>
      </c>
      <c r="AP946" t="e">
        <v>#N/A</v>
      </c>
      <c r="AQ946" t="s">
        <v>335</v>
      </c>
      <c r="AR946" t="str">
        <f t="shared" si="28"/>
        <v>60603714.SPMINAM</v>
      </c>
      <c r="AS946">
        <f t="shared" si="29"/>
        <v>3786928.5000000005</v>
      </c>
      <c r="AT946" t="s">
        <v>82</v>
      </c>
    </row>
    <row r="947" spans="1:46" x14ac:dyDescent="0.35">
      <c r="A947" t="s">
        <v>52</v>
      </c>
      <c r="B947" t="s">
        <v>53</v>
      </c>
      <c r="C947" t="s">
        <v>54</v>
      </c>
      <c r="D947" t="s">
        <v>55</v>
      </c>
      <c r="E947" t="s">
        <v>56</v>
      </c>
      <c r="F947" t="s">
        <v>3066</v>
      </c>
      <c r="G947" t="s">
        <v>3097</v>
      </c>
      <c r="H947" t="s">
        <v>56</v>
      </c>
      <c r="I947" t="s">
        <v>3098</v>
      </c>
      <c r="J947" t="s">
        <v>56</v>
      </c>
      <c r="K947" t="s">
        <v>62</v>
      </c>
      <c r="L947" t="s">
        <v>56</v>
      </c>
      <c r="M947" t="s">
        <v>56</v>
      </c>
      <c r="N947" t="s">
        <v>252</v>
      </c>
      <c r="O947" t="s">
        <v>245</v>
      </c>
      <c r="P947" t="s">
        <v>246</v>
      </c>
      <c r="Q947" t="s">
        <v>114</v>
      </c>
      <c r="R947" t="s">
        <v>248</v>
      </c>
      <c r="S947">
        <v>500000</v>
      </c>
      <c r="T947">
        <v>-10201066.689999999</v>
      </c>
      <c r="U947" t="s">
        <v>68</v>
      </c>
      <c r="V947" t="s">
        <v>3069</v>
      </c>
      <c r="W947" s="9">
        <v>60603714</v>
      </c>
      <c r="X947" t="s">
        <v>3099</v>
      </c>
      <c r="Y947" s="1">
        <v>46024</v>
      </c>
      <c r="Z947" s="1">
        <v>46084</v>
      </c>
      <c r="AA947" s="2">
        <v>19252.41</v>
      </c>
      <c r="AB947" s="2">
        <v>16395</v>
      </c>
      <c r="AC947" s="2">
        <v>2857.41</v>
      </c>
      <c r="AD947" s="2">
        <v>19252.41</v>
      </c>
      <c r="AE947" t="s">
        <v>3107</v>
      </c>
      <c r="AF947" t="s">
        <v>72</v>
      </c>
      <c r="AG947">
        <v>-6</v>
      </c>
      <c r="AH947" t="s">
        <v>117</v>
      </c>
      <c r="AI947" t="s">
        <v>74</v>
      </c>
      <c r="AJ947" t="s">
        <v>75</v>
      </c>
      <c r="AK947" t="s">
        <v>76</v>
      </c>
      <c r="AL947" t="s">
        <v>118</v>
      </c>
      <c r="AM947" t="s">
        <v>78</v>
      </c>
      <c r="AN947" t="s">
        <v>239</v>
      </c>
      <c r="AO947" t="s">
        <v>119</v>
      </c>
      <c r="AP947" t="e">
        <v>#N/A</v>
      </c>
      <c r="AQ947" t="s">
        <v>81</v>
      </c>
      <c r="AR947" t="str">
        <f t="shared" si="28"/>
        <v>60603714.STATAM</v>
      </c>
      <c r="AS947">
        <f t="shared" si="29"/>
        <v>5191143.8500000006</v>
      </c>
      <c r="AT947" t="s">
        <v>82</v>
      </c>
    </row>
    <row r="948" spans="1:46" x14ac:dyDescent="0.35">
      <c r="A948" t="s">
        <v>52</v>
      </c>
      <c r="B948" t="s">
        <v>53</v>
      </c>
      <c r="C948" t="s">
        <v>54</v>
      </c>
      <c r="D948" t="s">
        <v>55</v>
      </c>
      <c r="E948" t="s">
        <v>56</v>
      </c>
      <c r="F948" t="s">
        <v>3066</v>
      </c>
      <c r="G948" t="s">
        <v>3097</v>
      </c>
      <c r="H948" t="s">
        <v>56</v>
      </c>
      <c r="I948" t="s">
        <v>3098</v>
      </c>
      <c r="J948" t="s">
        <v>56</v>
      </c>
      <c r="K948" t="s">
        <v>62</v>
      </c>
      <c r="L948" t="s">
        <v>56</v>
      </c>
      <c r="M948" t="s">
        <v>56</v>
      </c>
      <c r="N948" t="s">
        <v>331</v>
      </c>
      <c r="O948" t="s">
        <v>245</v>
      </c>
      <c r="P948" t="s">
        <v>246</v>
      </c>
      <c r="Q948" t="s">
        <v>114</v>
      </c>
      <c r="R948" t="s">
        <v>248</v>
      </c>
      <c r="S948">
        <v>500000</v>
      </c>
      <c r="T948">
        <v>-10201066.689999999</v>
      </c>
      <c r="U948" t="s">
        <v>68</v>
      </c>
      <c r="V948" t="s">
        <v>3069</v>
      </c>
      <c r="W948" s="9">
        <v>60603714</v>
      </c>
      <c r="X948" t="s">
        <v>3099</v>
      </c>
      <c r="Y948" s="1">
        <v>46024</v>
      </c>
      <c r="Z948" s="1">
        <v>46084</v>
      </c>
      <c r="AA948" s="2">
        <v>114597.35</v>
      </c>
      <c r="AB948" s="2">
        <v>97589</v>
      </c>
      <c r="AC948" s="2">
        <v>17008.349999999999</v>
      </c>
      <c r="AD948" s="2">
        <v>114597.35</v>
      </c>
      <c r="AE948" t="s">
        <v>3108</v>
      </c>
      <c r="AF948" t="s">
        <v>72</v>
      </c>
      <c r="AG948">
        <v>-6</v>
      </c>
      <c r="AH948" t="s">
        <v>117</v>
      </c>
      <c r="AI948" t="s">
        <v>74</v>
      </c>
      <c r="AJ948" t="s">
        <v>127</v>
      </c>
      <c r="AK948" t="s">
        <v>334</v>
      </c>
      <c r="AL948" t="s">
        <v>118</v>
      </c>
      <c r="AM948" t="s">
        <v>78</v>
      </c>
      <c r="AN948" t="s">
        <v>239</v>
      </c>
      <c r="AO948" t="s">
        <v>119</v>
      </c>
      <c r="AP948" t="e">
        <v>#N/A</v>
      </c>
      <c r="AQ948" t="s">
        <v>335</v>
      </c>
      <c r="AR948" t="str">
        <f t="shared" si="28"/>
        <v>60603714.SPMINAM</v>
      </c>
      <c r="AS948">
        <f t="shared" si="29"/>
        <v>3786928.5000000005</v>
      </c>
      <c r="AT948" t="s">
        <v>82</v>
      </c>
    </row>
    <row r="949" spans="1:46" x14ac:dyDescent="0.35">
      <c r="A949" t="s">
        <v>52</v>
      </c>
      <c r="B949" t="s">
        <v>53</v>
      </c>
      <c r="C949" t="s">
        <v>54</v>
      </c>
      <c r="D949" t="s">
        <v>55</v>
      </c>
      <c r="E949" t="s">
        <v>56</v>
      </c>
      <c r="F949" t="s">
        <v>3066</v>
      </c>
      <c r="G949" t="s">
        <v>3097</v>
      </c>
      <c r="H949" t="s">
        <v>56</v>
      </c>
      <c r="I949" t="s">
        <v>3098</v>
      </c>
      <c r="J949" t="s">
        <v>56</v>
      </c>
      <c r="K949" t="s">
        <v>62</v>
      </c>
      <c r="L949" t="s">
        <v>56</v>
      </c>
      <c r="M949" t="s">
        <v>56</v>
      </c>
      <c r="N949" t="s">
        <v>682</v>
      </c>
      <c r="O949" t="s">
        <v>245</v>
      </c>
      <c r="P949" t="s">
        <v>246</v>
      </c>
      <c r="Q949" t="s">
        <v>114</v>
      </c>
      <c r="R949" t="s">
        <v>248</v>
      </c>
      <c r="S949">
        <v>500000</v>
      </c>
      <c r="T949">
        <v>-10201066.689999999</v>
      </c>
      <c r="U949" t="s">
        <v>68</v>
      </c>
      <c r="V949" t="s">
        <v>3069</v>
      </c>
      <c r="W949" s="9">
        <v>60603714</v>
      </c>
      <c r="X949" t="s">
        <v>3099</v>
      </c>
      <c r="Y949" s="1">
        <v>46024</v>
      </c>
      <c r="Z949" s="1">
        <v>46084</v>
      </c>
      <c r="AA949" s="2">
        <v>41173.97</v>
      </c>
      <c r="AB949" s="2">
        <v>35063</v>
      </c>
      <c r="AC949" s="2">
        <v>6110.97</v>
      </c>
      <c r="AD949" s="2">
        <v>41173.97</v>
      </c>
      <c r="AE949" t="s">
        <v>3109</v>
      </c>
      <c r="AF949" t="s">
        <v>72</v>
      </c>
      <c r="AG949">
        <v>-6</v>
      </c>
      <c r="AH949" t="s">
        <v>117</v>
      </c>
      <c r="AI949" t="s">
        <v>74</v>
      </c>
      <c r="AJ949" t="s">
        <v>127</v>
      </c>
      <c r="AK949" t="s">
        <v>334</v>
      </c>
      <c r="AL949" t="s">
        <v>118</v>
      </c>
      <c r="AM949" t="s">
        <v>78</v>
      </c>
      <c r="AN949" t="s">
        <v>239</v>
      </c>
      <c r="AO949" t="s">
        <v>119</v>
      </c>
      <c r="AP949" t="e">
        <v>#N/A</v>
      </c>
      <c r="AQ949" t="s">
        <v>335</v>
      </c>
      <c r="AR949" t="str">
        <f t="shared" si="28"/>
        <v>60603714.SPMINAM</v>
      </c>
      <c r="AS949">
        <f t="shared" si="29"/>
        <v>3786928.5000000005</v>
      </c>
      <c r="AT949" t="s">
        <v>82</v>
      </c>
    </row>
    <row r="950" spans="1:46" x14ac:dyDescent="0.35">
      <c r="A950" t="s">
        <v>52</v>
      </c>
      <c r="B950" t="s">
        <v>53</v>
      </c>
      <c r="C950" t="s">
        <v>54</v>
      </c>
      <c r="D950" t="s">
        <v>55</v>
      </c>
      <c r="E950" t="s">
        <v>56</v>
      </c>
      <c r="F950" t="s">
        <v>3066</v>
      </c>
      <c r="G950" t="s">
        <v>3097</v>
      </c>
      <c r="H950" t="s">
        <v>56</v>
      </c>
      <c r="I950" t="s">
        <v>3098</v>
      </c>
      <c r="J950" t="s">
        <v>56</v>
      </c>
      <c r="K950" t="s">
        <v>62</v>
      </c>
      <c r="L950" t="s">
        <v>56</v>
      </c>
      <c r="M950" t="s">
        <v>56</v>
      </c>
      <c r="N950" t="s">
        <v>1183</v>
      </c>
      <c r="O950" t="s">
        <v>245</v>
      </c>
      <c r="P950" t="s">
        <v>246</v>
      </c>
      <c r="Q950" t="s">
        <v>114</v>
      </c>
      <c r="R950" t="s">
        <v>248</v>
      </c>
      <c r="S950">
        <v>500000</v>
      </c>
      <c r="T950">
        <v>-10201066.689999999</v>
      </c>
      <c r="U950" t="s">
        <v>68</v>
      </c>
      <c r="V950" t="s">
        <v>3069</v>
      </c>
      <c r="W950" s="9">
        <v>60603714</v>
      </c>
      <c r="X950" t="s">
        <v>3099</v>
      </c>
      <c r="Y950" s="1">
        <v>46024</v>
      </c>
      <c r="Z950" s="1">
        <v>46084</v>
      </c>
      <c r="AA950" s="2">
        <v>305462.21000000002</v>
      </c>
      <c r="AB950" s="2">
        <v>260126</v>
      </c>
      <c r="AC950" s="2">
        <v>45336.21</v>
      </c>
      <c r="AD950" s="2">
        <v>305462.21000000002</v>
      </c>
      <c r="AE950" t="s">
        <v>3110</v>
      </c>
      <c r="AF950" t="s">
        <v>72</v>
      </c>
      <c r="AG950">
        <v>-6</v>
      </c>
      <c r="AH950" t="s">
        <v>117</v>
      </c>
      <c r="AI950" t="s">
        <v>74</v>
      </c>
      <c r="AJ950" t="s">
        <v>75</v>
      </c>
      <c r="AK950" t="s">
        <v>76</v>
      </c>
      <c r="AL950" t="s">
        <v>118</v>
      </c>
      <c r="AM950" t="s">
        <v>78</v>
      </c>
      <c r="AN950" t="s">
        <v>239</v>
      </c>
      <c r="AO950" t="s">
        <v>119</v>
      </c>
      <c r="AP950" t="e">
        <v>#N/A</v>
      </c>
      <c r="AQ950" t="s">
        <v>81</v>
      </c>
      <c r="AR950" t="str">
        <f t="shared" si="28"/>
        <v>60603714.STATAM</v>
      </c>
      <c r="AS950">
        <f t="shared" si="29"/>
        <v>5191143.8500000006</v>
      </c>
      <c r="AT950" t="s">
        <v>82</v>
      </c>
    </row>
    <row r="951" spans="1:46" x14ac:dyDescent="0.35">
      <c r="A951" t="s">
        <v>52</v>
      </c>
      <c r="B951" t="s">
        <v>53</v>
      </c>
      <c r="C951" t="s">
        <v>54</v>
      </c>
      <c r="D951" t="s">
        <v>55</v>
      </c>
      <c r="E951" t="s">
        <v>56</v>
      </c>
      <c r="F951" t="s">
        <v>3066</v>
      </c>
      <c r="G951" t="s">
        <v>3097</v>
      </c>
      <c r="H951" t="s">
        <v>56</v>
      </c>
      <c r="I951" t="s">
        <v>3098</v>
      </c>
      <c r="J951" t="s">
        <v>56</v>
      </c>
      <c r="K951" t="s">
        <v>62</v>
      </c>
      <c r="L951" t="s">
        <v>56</v>
      </c>
      <c r="M951" t="s">
        <v>56</v>
      </c>
      <c r="N951" t="s">
        <v>337</v>
      </c>
      <c r="O951" t="s">
        <v>245</v>
      </c>
      <c r="P951" t="s">
        <v>246</v>
      </c>
      <c r="Q951" t="s">
        <v>114</v>
      </c>
      <c r="R951" t="s">
        <v>248</v>
      </c>
      <c r="S951">
        <v>500000</v>
      </c>
      <c r="T951">
        <v>-10201066.689999999</v>
      </c>
      <c r="U951" t="s">
        <v>68</v>
      </c>
      <c r="V951" t="s">
        <v>3069</v>
      </c>
      <c r="W951" s="9">
        <v>60603714</v>
      </c>
      <c r="X951" t="s">
        <v>3099</v>
      </c>
      <c r="Y951" s="1">
        <v>46024</v>
      </c>
      <c r="Z951" s="1">
        <v>46084</v>
      </c>
      <c r="AA951" s="2">
        <v>22972.55</v>
      </c>
      <c r="AB951" s="2">
        <v>19563</v>
      </c>
      <c r="AC951" s="2">
        <v>3409.55</v>
      </c>
      <c r="AD951" s="2">
        <v>22972.55</v>
      </c>
      <c r="AE951" t="s">
        <v>3111</v>
      </c>
      <c r="AF951" t="s">
        <v>72</v>
      </c>
      <c r="AG951">
        <v>-6</v>
      </c>
      <c r="AH951" t="s">
        <v>117</v>
      </c>
      <c r="AI951" t="s">
        <v>74</v>
      </c>
      <c r="AJ951" t="s">
        <v>127</v>
      </c>
      <c r="AK951" t="s">
        <v>334</v>
      </c>
      <c r="AL951" t="s">
        <v>118</v>
      </c>
      <c r="AM951" t="s">
        <v>78</v>
      </c>
      <c r="AN951" t="s">
        <v>239</v>
      </c>
      <c r="AO951" t="s">
        <v>119</v>
      </c>
      <c r="AP951" t="e">
        <v>#N/A</v>
      </c>
      <c r="AQ951" t="s">
        <v>335</v>
      </c>
      <c r="AR951" t="str">
        <f t="shared" si="28"/>
        <v>60603714.SPMINAM</v>
      </c>
      <c r="AS951">
        <f t="shared" si="29"/>
        <v>3786928.5000000005</v>
      </c>
      <c r="AT951" t="s">
        <v>82</v>
      </c>
    </row>
    <row r="952" spans="1:46" x14ac:dyDescent="0.35">
      <c r="A952" t="s">
        <v>52</v>
      </c>
      <c r="B952" t="s">
        <v>53</v>
      </c>
      <c r="C952" t="s">
        <v>54</v>
      </c>
      <c r="D952" t="s">
        <v>55</v>
      </c>
      <c r="E952" t="s">
        <v>56</v>
      </c>
      <c r="F952" t="s">
        <v>3066</v>
      </c>
      <c r="G952" t="s">
        <v>3112</v>
      </c>
      <c r="H952" t="s">
        <v>403</v>
      </c>
      <c r="I952" t="s">
        <v>3113</v>
      </c>
      <c r="J952" t="s">
        <v>56</v>
      </c>
      <c r="K952" t="s">
        <v>62</v>
      </c>
      <c r="L952" t="s">
        <v>56</v>
      </c>
      <c r="M952" t="s">
        <v>56</v>
      </c>
      <c r="N952" t="s">
        <v>405</v>
      </c>
      <c r="O952" t="s">
        <v>245</v>
      </c>
      <c r="P952" t="s">
        <v>246</v>
      </c>
      <c r="Q952" t="s">
        <v>114</v>
      </c>
      <c r="R952" t="s">
        <v>248</v>
      </c>
      <c r="S952">
        <v>500000</v>
      </c>
      <c r="T952">
        <v>-10201066.689999999</v>
      </c>
      <c r="U952" t="s">
        <v>68</v>
      </c>
      <c r="V952" t="s">
        <v>3069</v>
      </c>
      <c r="W952" s="9">
        <v>60603714</v>
      </c>
      <c r="X952" t="s">
        <v>3114</v>
      </c>
      <c r="Y952" s="1">
        <v>46035</v>
      </c>
      <c r="Z952" s="1">
        <v>46095</v>
      </c>
      <c r="AA952" s="2">
        <v>177000</v>
      </c>
      <c r="AB952" s="2">
        <v>150000</v>
      </c>
      <c r="AC952" s="2">
        <v>27000</v>
      </c>
      <c r="AD952" s="2">
        <v>177000</v>
      </c>
      <c r="AE952" t="s">
        <v>3115</v>
      </c>
      <c r="AF952" t="s">
        <v>72</v>
      </c>
      <c r="AG952">
        <v>-17</v>
      </c>
      <c r="AH952" t="s">
        <v>117</v>
      </c>
      <c r="AI952" t="s">
        <v>74</v>
      </c>
      <c r="AJ952" t="s">
        <v>75</v>
      </c>
      <c r="AK952" t="s">
        <v>76</v>
      </c>
      <c r="AL952" t="s">
        <v>118</v>
      </c>
      <c r="AM952" t="s">
        <v>78</v>
      </c>
      <c r="AN952" t="s">
        <v>239</v>
      </c>
      <c r="AO952" t="s">
        <v>119</v>
      </c>
      <c r="AP952" t="e">
        <v>#N/A</v>
      </c>
      <c r="AQ952" t="s">
        <v>81</v>
      </c>
      <c r="AR952" t="str">
        <f t="shared" si="28"/>
        <v>60603714.STATAM</v>
      </c>
      <c r="AS952">
        <f t="shared" si="29"/>
        <v>5191143.8500000006</v>
      </c>
      <c r="AT952" t="s">
        <v>82</v>
      </c>
    </row>
    <row r="953" spans="1:46" x14ac:dyDescent="0.35">
      <c r="A953" t="s">
        <v>52</v>
      </c>
      <c r="B953" t="s">
        <v>53</v>
      </c>
      <c r="C953" t="s">
        <v>54</v>
      </c>
      <c r="D953" t="s">
        <v>55</v>
      </c>
      <c r="E953" t="s">
        <v>56</v>
      </c>
      <c r="F953" t="s">
        <v>3066</v>
      </c>
      <c r="G953" t="s">
        <v>3116</v>
      </c>
      <c r="H953" t="s">
        <v>56</v>
      </c>
      <c r="I953" t="s">
        <v>3117</v>
      </c>
      <c r="J953" t="s">
        <v>56</v>
      </c>
      <c r="K953" t="s">
        <v>62</v>
      </c>
      <c r="L953" t="s">
        <v>56</v>
      </c>
      <c r="M953" t="s">
        <v>56</v>
      </c>
      <c r="N953" t="s">
        <v>331</v>
      </c>
      <c r="O953" t="s">
        <v>245</v>
      </c>
      <c r="P953" t="s">
        <v>246</v>
      </c>
      <c r="Q953" t="s">
        <v>114</v>
      </c>
      <c r="R953" t="s">
        <v>248</v>
      </c>
      <c r="S953">
        <v>500000</v>
      </c>
      <c r="T953">
        <v>-10201066.689999999</v>
      </c>
      <c r="U953" t="s">
        <v>68</v>
      </c>
      <c r="V953" t="s">
        <v>3069</v>
      </c>
      <c r="W953" s="9">
        <v>60603714</v>
      </c>
      <c r="X953" t="s">
        <v>3118</v>
      </c>
      <c r="Y953" s="1">
        <v>46052</v>
      </c>
      <c r="Z953" s="1">
        <v>46112</v>
      </c>
      <c r="AA953" s="2">
        <v>50445</v>
      </c>
      <c r="AB953" s="2">
        <v>42750</v>
      </c>
      <c r="AC953" s="2">
        <v>7695</v>
      </c>
      <c r="AD953" s="2">
        <v>50445</v>
      </c>
      <c r="AE953" t="s">
        <v>3119</v>
      </c>
      <c r="AF953" t="s">
        <v>72</v>
      </c>
      <c r="AG953">
        <v>-34</v>
      </c>
      <c r="AH953" t="s">
        <v>117</v>
      </c>
      <c r="AI953" t="s">
        <v>74</v>
      </c>
      <c r="AJ953" t="s">
        <v>127</v>
      </c>
      <c r="AK953" t="s">
        <v>334</v>
      </c>
      <c r="AL953" t="s">
        <v>118</v>
      </c>
      <c r="AM953" t="s">
        <v>78</v>
      </c>
      <c r="AN953" t="s">
        <v>239</v>
      </c>
      <c r="AO953" t="s">
        <v>119</v>
      </c>
      <c r="AP953" t="e">
        <v>#N/A</v>
      </c>
      <c r="AQ953" t="s">
        <v>335</v>
      </c>
      <c r="AR953" t="str">
        <f t="shared" si="28"/>
        <v>60603714.SPMINAM</v>
      </c>
      <c r="AS953">
        <f t="shared" si="29"/>
        <v>3786928.5000000005</v>
      </c>
      <c r="AT953" t="s">
        <v>82</v>
      </c>
    </row>
    <row r="954" spans="1:46" x14ac:dyDescent="0.35">
      <c r="A954" t="s">
        <v>52</v>
      </c>
      <c r="B954" t="s">
        <v>53</v>
      </c>
      <c r="C954" t="s">
        <v>54</v>
      </c>
      <c r="D954" t="s">
        <v>55</v>
      </c>
      <c r="E954" t="s">
        <v>56</v>
      </c>
      <c r="F954" t="s">
        <v>3066</v>
      </c>
      <c r="G954" t="s">
        <v>3120</v>
      </c>
      <c r="H954" t="s">
        <v>56</v>
      </c>
      <c r="I954" t="s">
        <v>3121</v>
      </c>
      <c r="J954" t="s">
        <v>56</v>
      </c>
      <c r="K954" t="s">
        <v>62</v>
      </c>
      <c r="L954" t="s">
        <v>56</v>
      </c>
      <c r="M954" t="s">
        <v>56</v>
      </c>
      <c r="N954" t="s">
        <v>261</v>
      </c>
      <c r="O954" t="s">
        <v>245</v>
      </c>
      <c r="P954" t="s">
        <v>246</v>
      </c>
      <c r="Q954" t="s">
        <v>114</v>
      </c>
      <c r="R954" t="s">
        <v>248</v>
      </c>
      <c r="S954">
        <v>500000</v>
      </c>
      <c r="T954">
        <v>-10201066.689999999</v>
      </c>
      <c r="U954" t="s">
        <v>68</v>
      </c>
      <c r="V954" t="s">
        <v>3069</v>
      </c>
      <c r="W954" s="9">
        <v>60603714</v>
      </c>
      <c r="X954" t="s">
        <v>3122</v>
      </c>
      <c r="Y954" s="1">
        <v>46052</v>
      </c>
      <c r="Z954" s="1">
        <v>46112</v>
      </c>
      <c r="AA954" s="2">
        <v>33984</v>
      </c>
      <c r="AB954" s="2">
        <v>28800</v>
      </c>
      <c r="AC954" s="2">
        <v>5184</v>
      </c>
      <c r="AD954" s="2">
        <v>33984</v>
      </c>
      <c r="AE954" t="s">
        <v>3123</v>
      </c>
      <c r="AF954" t="s">
        <v>72</v>
      </c>
      <c r="AG954">
        <v>-34</v>
      </c>
      <c r="AH954" t="s">
        <v>117</v>
      </c>
      <c r="AI954" t="s">
        <v>74</v>
      </c>
      <c r="AJ954" t="s">
        <v>75</v>
      </c>
      <c r="AK954" t="s">
        <v>76</v>
      </c>
      <c r="AL954" t="s">
        <v>118</v>
      </c>
      <c r="AM954" t="s">
        <v>78</v>
      </c>
      <c r="AN954" t="s">
        <v>239</v>
      </c>
      <c r="AO954" t="s">
        <v>119</v>
      </c>
      <c r="AP954" t="e">
        <v>#N/A</v>
      </c>
      <c r="AQ954" t="s">
        <v>81</v>
      </c>
      <c r="AR954" t="str">
        <f t="shared" si="28"/>
        <v>60603714.STATAM</v>
      </c>
      <c r="AS954">
        <f t="shared" si="29"/>
        <v>5191143.8500000006</v>
      </c>
      <c r="AT954" t="s">
        <v>82</v>
      </c>
    </row>
    <row r="955" spans="1:46" x14ac:dyDescent="0.35">
      <c r="A955" t="s">
        <v>52</v>
      </c>
      <c r="B955" t="s">
        <v>53</v>
      </c>
      <c r="C955" t="s">
        <v>54</v>
      </c>
      <c r="D955" t="s">
        <v>55</v>
      </c>
      <c r="E955" t="s">
        <v>56</v>
      </c>
      <c r="F955" t="s">
        <v>3066</v>
      </c>
      <c r="G955" t="s">
        <v>3124</v>
      </c>
      <c r="H955" t="s">
        <v>56</v>
      </c>
      <c r="I955" t="s">
        <v>3125</v>
      </c>
      <c r="J955" t="s">
        <v>56</v>
      </c>
      <c r="K955" t="s">
        <v>62</v>
      </c>
      <c r="L955" t="s">
        <v>56</v>
      </c>
      <c r="M955" t="s">
        <v>56</v>
      </c>
      <c r="N955" t="s">
        <v>254</v>
      </c>
      <c r="O955" t="s">
        <v>245</v>
      </c>
      <c r="P955" t="s">
        <v>246</v>
      </c>
      <c r="Q955" t="s">
        <v>114</v>
      </c>
      <c r="R955" t="s">
        <v>248</v>
      </c>
      <c r="S955">
        <v>500000</v>
      </c>
      <c r="T955">
        <v>-10201066.689999999</v>
      </c>
      <c r="U955" t="s">
        <v>68</v>
      </c>
      <c r="V955" t="s">
        <v>3069</v>
      </c>
      <c r="W955" s="9">
        <v>60603714</v>
      </c>
      <c r="X955" t="s">
        <v>3126</v>
      </c>
      <c r="Y955" s="1">
        <v>46052</v>
      </c>
      <c r="Z955" s="1">
        <v>46112</v>
      </c>
      <c r="AA955" s="2">
        <v>786996.65</v>
      </c>
      <c r="AB955" s="2">
        <v>667936.27</v>
      </c>
      <c r="AC955" s="2">
        <v>119060.38</v>
      </c>
      <c r="AD955" s="2">
        <v>786996.65</v>
      </c>
      <c r="AE955" t="s">
        <v>3127</v>
      </c>
      <c r="AF955" t="s">
        <v>72</v>
      </c>
      <c r="AG955">
        <v>-34</v>
      </c>
      <c r="AH955" t="s">
        <v>117</v>
      </c>
      <c r="AI955" t="s">
        <v>74</v>
      </c>
      <c r="AJ955" t="s">
        <v>75</v>
      </c>
      <c r="AK955" t="s">
        <v>76</v>
      </c>
      <c r="AL955" t="s">
        <v>118</v>
      </c>
      <c r="AM955" t="s">
        <v>78</v>
      </c>
      <c r="AN955" t="s">
        <v>239</v>
      </c>
      <c r="AO955" t="s">
        <v>119</v>
      </c>
      <c r="AP955" t="e">
        <v>#N/A</v>
      </c>
      <c r="AQ955" t="s">
        <v>81</v>
      </c>
      <c r="AR955" t="str">
        <f t="shared" si="28"/>
        <v>60603714.STATAM</v>
      </c>
      <c r="AS955">
        <f t="shared" si="29"/>
        <v>5191143.8500000006</v>
      </c>
      <c r="AT955" t="s">
        <v>82</v>
      </c>
    </row>
    <row r="956" spans="1:46" x14ac:dyDescent="0.35">
      <c r="A956" t="s">
        <v>52</v>
      </c>
      <c r="B956" t="s">
        <v>53</v>
      </c>
      <c r="C956" t="s">
        <v>54</v>
      </c>
      <c r="D956" t="s">
        <v>55</v>
      </c>
      <c r="E956" t="s">
        <v>56</v>
      </c>
      <c r="F956" t="s">
        <v>3066</v>
      </c>
      <c r="G956" t="s">
        <v>3124</v>
      </c>
      <c r="H956" t="s">
        <v>56</v>
      </c>
      <c r="I956" t="s">
        <v>3125</v>
      </c>
      <c r="J956" t="s">
        <v>56</v>
      </c>
      <c r="K956" t="s">
        <v>62</v>
      </c>
      <c r="L956" t="s">
        <v>56</v>
      </c>
      <c r="M956" t="s">
        <v>56</v>
      </c>
      <c r="N956" t="s">
        <v>252</v>
      </c>
      <c r="O956" t="s">
        <v>245</v>
      </c>
      <c r="P956" t="s">
        <v>246</v>
      </c>
      <c r="Q956" t="s">
        <v>114</v>
      </c>
      <c r="R956" t="s">
        <v>248</v>
      </c>
      <c r="S956">
        <v>500000</v>
      </c>
      <c r="T956">
        <v>-10201066.689999999</v>
      </c>
      <c r="U956" t="s">
        <v>68</v>
      </c>
      <c r="V956" t="s">
        <v>3069</v>
      </c>
      <c r="W956" s="9">
        <v>60603714</v>
      </c>
      <c r="X956" t="s">
        <v>3126</v>
      </c>
      <c r="Y956" s="1">
        <v>46052</v>
      </c>
      <c r="Z956" s="1">
        <v>46112</v>
      </c>
      <c r="AA956" s="2">
        <v>212733.01</v>
      </c>
      <c r="AB956" s="2">
        <v>180549.81</v>
      </c>
      <c r="AC956" s="2">
        <v>32183.200000000001</v>
      </c>
      <c r="AD956" s="2">
        <v>212733.01</v>
      </c>
      <c r="AE956" t="s">
        <v>3128</v>
      </c>
      <c r="AF956" t="s">
        <v>72</v>
      </c>
      <c r="AG956">
        <v>-34</v>
      </c>
      <c r="AH956" t="s">
        <v>117</v>
      </c>
      <c r="AI956" t="s">
        <v>74</v>
      </c>
      <c r="AJ956" t="s">
        <v>75</v>
      </c>
      <c r="AK956" t="s">
        <v>76</v>
      </c>
      <c r="AL956" t="s">
        <v>118</v>
      </c>
      <c r="AM956" t="s">
        <v>78</v>
      </c>
      <c r="AN956" t="s">
        <v>239</v>
      </c>
      <c r="AO956" t="s">
        <v>119</v>
      </c>
      <c r="AP956" t="e">
        <v>#N/A</v>
      </c>
      <c r="AQ956" t="s">
        <v>81</v>
      </c>
      <c r="AR956" t="str">
        <f t="shared" si="28"/>
        <v>60603714.STATAM</v>
      </c>
      <c r="AS956">
        <f t="shared" si="29"/>
        <v>5191143.8500000006</v>
      </c>
      <c r="AT956" t="s">
        <v>82</v>
      </c>
    </row>
    <row r="957" spans="1:46" x14ac:dyDescent="0.35">
      <c r="A957" t="s">
        <v>52</v>
      </c>
      <c r="B957" t="s">
        <v>53</v>
      </c>
      <c r="C957" t="s">
        <v>54</v>
      </c>
      <c r="D957" t="s">
        <v>55</v>
      </c>
      <c r="E957" t="s">
        <v>56</v>
      </c>
      <c r="F957" t="s">
        <v>3066</v>
      </c>
      <c r="G957" t="s">
        <v>3124</v>
      </c>
      <c r="H957" t="s">
        <v>56</v>
      </c>
      <c r="I957" t="s">
        <v>3125</v>
      </c>
      <c r="J957" t="s">
        <v>56</v>
      </c>
      <c r="K957" t="s">
        <v>62</v>
      </c>
      <c r="L957" t="s">
        <v>56</v>
      </c>
      <c r="M957" t="s">
        <v>56</v>
      </c>
      <c r="N957" t="s">
        <v>295</v>
      </c>
      <c r="O957" t="s">
        <v>245</v>
      </c>
      <c r="P957" t="s">
        <v>246</v>
      </c>
      <c r="Q957" t="s">
        <v>114</v>
      </c>
      <c r="R957" t="s">
        <v>248</v>
      </c>
      <c r="S957">
        <v>500000</v>
      </c>
      <c r="T957">
        <v>-10201066.689999999</v>
      </c>
      <c r="U957" t="s">
        <v>68</v>
      </c>
      <c r="V957" t="s">
        <v>3069</v>
      </c>
      <c r="W957" s="9">
        <v>60603714</v>
      </c>
      <c r="X957" t="s">
        <v>3126</v>
      </c>
      <c r="Y957" s="1">
        <v>46052</v>
      </c>
      <c r="Z957" s="1">
        <v>46112</v>
      </c>
      <c r="AA957" s="2">
        <v>312.99</v>
      </c>
      <c r="AB957" s="2">
        <v>265.64</v>
      </c>
      <c r="AC957" s="2">
        <v>47.35</v>
      </c>
      <c r="AD957" s="2">
        <v>312.99</v>
      </c>
      <c r="AE957" t="s">
        <v>3129</v>
      </c>
      <c r="AF957" t="s">
        <v>72</v>
      </c>
      <c r="AG957">
        <v>-34</v>
      </c>
      <c r="AH957" t="s">
        <v>117</v>
      </c>
      <c r="AI957" t="s">
        <v>74</v>
      </c>
      <c r="AJ957" t="s">
        <v>75</v>
      </c>
      <c r="AK957" t="s">
        <v>76</v>
      </c>
      <c r="AL957" t="s">
        <v>118</v>
      </c>
      <c r="AM957" t="s">
        <v>78</v>
      </c>
      <c r="AN957" t="s">
        <v>239</v>
      </c>
      <c r="AO957" t="s">
        <v>119</v>
      </c>
      <c r="AP957" t="e">
        <v>#N/A</v>
      </c>
      <c r="AQ957" t="s">
        <v>81</v>
      </c>
      <c r="AR957" t="str">
        <f t="shared" si="28"/>
        <v>60603714.STATAM</v>
      </c>
      <c r="AS957">
        <f t="shared" si="29"/>
        <v>5191143.8500000006</v>
      </c>
      <c r="AT957" t="s">
        <v>82</v>
      </c>
    </row>
    <row r="958" spans="1:46" x14ac:dyDescent="0.35">
      <c r="A958" t="s">
        <v>52</v>
      </c>
      <c r="B958" t="s">
        <v>53</v>
      </c>
      <c r="C958" t="s">
        <v>54</v>
      </c>
      <c r="D958" t="s">
        <v>55</v>
      </c>
      <c r="E958" t="s">
        <v>56</v>
      </c>
      <c r="F958" t="s">
        <v>3066</v>
      </c>
      <c r="G958" t="s">
        <v>3124</v>
      </c>
      <c r="H958" t="s">
        <v>56</v>
      </c>
      <c r="I958" t="s">
        <v>3125</v>
      </c>
      <c r="J958" t="s">
        <v>56</v>
      </c>
      <c r="K958" t="s">
        <v>62</v>
      </c>
      <c r="L958" t="s">
        <v>56</v>
      </c>
      <c r="M958" t="s">
        <v>56</v>
      </c>
      <c r="N958" t="s">
        <v>1189</v>
      </c>
      <c r="O958" t="s">
        <v>245</v>
      </c>
      <c r="P958" t="s">
        <v>246</v>
      </c>
      <c r="Q958" t="s">
        <v>114</v>
      </c>
      <c r="R958" t="s">
        <v>248</v>
      </c>
      <c r="S958">
        <v>500000</v>
      </c>
      <c r="T958">
        <v>-10201066.689999999</v>
      </c>
      <c r="U958" t="s">
        <v>68</v>
      </c>
      <c r="V958" t="s">
        <v>3069</v>
      </c>
      <c r="W958" s="9">
        <v>60603714</v>
      </c>
      <c r="X958" t="s">
        <v>3126</v>
      </c>
      <c r="Y958" s="1">
        <v>46052</v>
      </c>
      <c r="Z958" s="1">
        <v>46112</v>
      </c>
      <c r="AA958" s="2">
        <v>167606</v>
      </c>
      <c r="AB958" s="2">
        <v>142249.81</v>
      </c>
      <c r="AC958" s="2">
        <v>25356.19</v>
      </c>
      <c r="AD958" s="2">
        <v>167606</v>
      </c>
      <c r="AE958" t="s">
        <v>3130</v>
      </c>
      <c r="AF958" t="s">
        <v>72</v>
      </c>
      <c r="AG958">
        <v>-34</v>
      </c>
      <c r="AH958" t="s">
        <v>117</v>
      </c>
      <c r="AI958" t="s">
        <v>74</v>
      </c>
      <c r="AJ958" t="s">
        <v>75</v>
      </c>
      <c r="AK958" t="s">
        <v>76</v>
      </c>
      <c r="AL958" t="s">
        <v>118</v>
      </c>
      <c r="AM958" t="s">
        <v>78</v>
      </c>
      <c r="AN958" t="s">
        <v>239</v>
      </c>
      <c r="AO958" t="s">
        <v>119</v>
      </c>
      <c r="AP958" t="e">
        <v>#N/A</v>
      </c>
      <c r="AQ958" t="s">
        <v>81</v>
      </c>
      <c r="AR958" t="str">
        <f t="shared" si="28"/>
        <v>60603714.STATAM</v>
      </c>
      <c r="AS958">
        <f t="shared" si="29"/>
        <v>5191143.8500000006</v>
      </c>
      <c r="AT958" t="s">
        <v>82</v>
      </c>
    </row>
    <row r="959" spans="1:46" x14ac:dyDescent="0.35">
      <c r="A959" t="s">
        <v>52</v>
      </c>
      <c r="B959" t="s">
        <v>53</v>
      </c>
      <c r="C959" t="s">
        <v>54</v>
      </c>
      <c r="D959" t="s">
        <v>55</v>
      </c>
      <c r="E959" t="s">
        <v>56</v>
      </c>
      <c r="F959" t="s">
        <v>3066</v>
      </c>
      <c r="G959" t="s">
        <v>3124</v>
      </c>
      <c r="H959" t="s">
        <v>56</v>
      </c>
      <c r="I959" t="s">
        <v>3125</v>
      </c>
      <c r="J959" t="s">
        <v>56</v>
      </c>
      <c r="K959" t="s">
        <v>62</v>
      </c>
      <c r="L959" t="s">
        <v>56</v>
      </c>
      <c r="M959" t="s">
        <v>56</v>
      </c>
      <c r="N959" t="s">
        <v>331</v>
      </c>
      <c r="O959" t="s">
        <v>245</v>
      </c>
      <c r="P959" t="s">
        <v>246</v>
      </c>
      <c r="Q959" t="s">
        <v>114</v>
      </c>
      <c r="R959" t="s">
        <v>248</v>
      </c>
      <c r="S959">
        <v>500000</v>
      </c>
      <c r="T959">
        <v>-10201066.689999999</v>
      </c>
      <c r="U959" t="s">
        <v>68</v>
      </c>
      <c r="V959" t="s">
        <v>3069</v>
      </c>
      <c r="W959" s="9">
        <v>60603714</v>
      </c>
      <c r="X959" t="s">
        <v>3126</v>
      </c>
      <c r="Y959" s="1">
        <v>46052</v>
      </c>
      <c r="Z959" s="1">
        <v>46112</v>
      </c>
      <c r="AA959" s="2">
        <v>1883113.81</v>
      </c>
      <c r="AB959" s="2">
        <v>1598227.92</v>
      </c>
      <c r="AC959" s="2">
        <v>284885.89</v>
      </c>
      <c r="AD959" s="2">
        <v>1883113.81</v>
      </c>
      <c r="AE959" t="s">
        <v>3131</v>
      </c>
      <c r="AF959" t="s">
        <v>72</v>
      </c>
      <c r="AG959">
        <v>-34</v>
      </c>
      <c r="AH959" t="s">
        <v>117</v>
      </c>
      <c r="AI959" t="s">
        <v>74</v>
      </c>
      <c r="AJ959" t="s">
        <v>127</v>
      </c>
      <c r="AK959" t="s">
        <v>334</v>
      </c>
      <c r="AL959" t="s">
        <v>118</v>
      </c>
      <c r="AM959" t="s">
        <v>78</v>
      </c>
      <c r="AN959" t="s">
        <v>239</v>
      </c>
      <c r="AO959" t="s">
        <v>119</v>
      </c>
      <c r="AP959" t="e">
        <v>#N/A</v>
      </c>
      <c r="AQ959" t="s">
        <v>335</v>
      </c>
      <c r="AR959" t="str">
        <f t="shared" si="28"/>
        <v>60603714.SPMINAM</v>
      </c>
      <c r="AS959">
        <f t="shared" si="29"/>
        <v>3786928.5000000005</v>
      </c>
      <c r="AT959" t="s">
        <v>82</v>
      </c>
    </row>
    <row r="960" spans="1:46" x14ac:dyDescent="0.35">
      <c r="A960" t="s">
        <v>52</v>
      </c>
      <c r="B960" t="s">
        <v>53</v>
      </c>
      <c r="C960" t="s">
        <v>54</v>
      </c>
      <c r="D960" t="s">
        <v>55</v>
      </c>
      <c r="E960" t="s">
        <v>56</v>
      </c>
      <c r="F960" t="s">
        <v>3066</v>
      </c>
      <c r="G960" t="s">
        <v>3124</v>
      </c>
      <c r="H960" t="s">
        <v>56</v>
      </c>
      <c r="I960" t="s">
        <v>3125</v>
      </c>
      <c r="J960" t="s">
        <v>56</v>
      </c>
      <c r="K960" t="s">
        <v>62</v>
      </c>
      <c r="L960" t="s">
        <v>56</v>
      </c>
      <c r="M960" t="s">
        <v>56</v>
      </c>
      <c r="N960" t="s">
        <v>1135</v>
      </c>
      <c r="O960" t="s">
        <v>245</v>
      </c>
      <c r="P960" t="s">
        <v>246</v>
      </c>
      <c r="Q960" t="s">
        <v>114</v>
      </c>
      <c r="R960" t="s">
        <v>248</v>
      </c>
      <c r="S960">
        <v>500000</v>
      </c>
      <c r="T960">
        <v>-10201066.689999999</v>
      </c>
      <c r="U960" t="s">
        <v>68</v>
      </c>
      <c r="V960" t="s">
        <v>3069</v>
      </c>
      <c r="W960" s="9">
        <v>60603714</v>
      </c>
      <c r="X960" t="s">
        <v>3126</v>
      </c>
      <c r="Y960" s="1">
        <v>46052</v>
      </c>
      <c r="Z960" s="1">
        <v>46112</v>
      </c>
      <c r="AA960" s="2">
        <v>8225.3700000000008</v>
      </c>
      <c r="AB960" s="2">
        <v>6981</v>
      </c>
      <c r="AC960" s="2">
        <v>1244.3699999999999</v>
      </c>
      <c r="AD960" s="2">
        <v>8225.3700000000008</v>
      </c>
      <c r="AE960" t="s">
        <v>3132</v>
      </c>
      <c r="AF960" t="s">
        <v>72</v>
      </c>
      <c r="AG960">
        <v>-34</v>
      </c>
      <c r="AH960" t="s">
        <v>117</v>
      </c>
      <c r="AI960" t="s">
        <v>74</v>
      </c>
      <c r="AJ960" t="s">
        <v>127</v>
      </c>
      <c r="AK960" t="s">
        <v>334</v>
      </c>
      <c r="AL960" t="s">
        <v>118</v>
      </c>
      <c r="AM960" t="s">
        <v>78</v>
      </c>
      <c r="AN960" t="s">
        <v>239</v>
      </c>
      <c r="AO960" t="s">
        <v>119</v>
      </c>
      <c r="AP960" t="e">
        <v>#N/A</v>
      </c>
      <c r="AQ960" t="s">
        <v>335</v>
      </c>
      <c r="AR960" t="str">
        <f t="shared" si="28"/>
        <v>60603714.SPMINAM</v>
      </c>
      <c r="AS960">
        <f t="shared" si="29"/>
        <v>3786928.5000000005</v>
      </c>
      <c r="AT960" t="s">
        <v>82</v>
      </c>
    </row>
    <row r="961" spans="1:46" x14ac:dyDescent="0.35">
      <c r="A961" t="s">
        <v>52</v>
      </c>
      <c r="B961" t="s">
        <v>53</v>
      </c>
      <c r="C961" t="s">
        <v>54</v>
      </c>
      <c r="D961" t="s">
        <v>55</v>
      </c>
      <c r="E961" t="s">
        <v>56</v>
      </c>
      <c r="F961" t="s">
        <v>3066</v>
      </c>
      <c r="G961" t="s">
        <v>3124</v>
      </c>
      <c r="H961" t="s">
        <v>56</v>
      </c>
      <c r="I961" t="s">
        <v>3125</v>
      </c>
      <c r="J961" t="s">
        <v>56</v>
      </c>
      <c r="K961" t="s">
        <v>62</v>
      </c>
      <c r="L961" t="s">
        <v>56</v>
      </c>
      <c r="M961" t="s">
        <v>56</v>
      </c>
      <c r="N961" t="s">
        <v>261</v>
      </c>
      <c r="O961" t="s">
        <v>245</v>
      </c>
      <c r="P961" t="s">
        <v>246</v>
      </c>
      <c r="Q961" t="s">
        <v>114</v>
      </c>
      <c r="R961" t="s">
        <v>248</v>
      </c>
      <c r="S961">
        <v>500000</v>
      </c>
      <c r="T961">
        <v>-10201066.689999999</v>
      </c>
      <c r="U961" t="s">
        <v>68</v>
      </c>
      <c r="V961" t="s">
        <v>3069</v>
      </c>
      <c r="W961" s="9">
        <v>60603714</v>
      </c>
      <c r="X961" t="s">
        <v>3126</v>
      </c>
      <c r="Y961" s="1">
        <v>46052</v>
      </c>
      <c r="Z961" s="1">
        <v>46112</v>
      </c>
      <c r="AA961" s="2">
        <v>625056.35</v>
      </c>
      <c r="AB961" s="2">
        <v>530495.03</v>
      </c>
      <c r="AC961" s="2">
        <v>94561.32</v>
      </c>
      <c r="AD961" s="2">
        <v>625056.35</v>
      </c>
      <c r="AE961" t="s">
        <v>3133</v>
      </c>
      <c r="AF961" t="s">
        <v>72</v>
      </c>
      <c r="AG961">
        <v>-34</v>
      </c>
      <c r="AH961" t="s">
        <v>117</v>
      </c>
      <c r="AI961" t="s">
        <v>74</v>
      </c>
      <c r="AJ961" t="s">
        <v>75</v>
      </c>
      <c r="AK961" t="s">
        <v>76</v>
      </c>
      <c r="AL961" t="s">
        <v>118</v>
      </c>
      <c r="AM961" t="s">
        <v>78</v>
      </c>
      <c r="AN961" t="s">
        <v>239</v>
      </c>
      <c r="AO961" t="s">
        <v>119</v>
      </c>
      <c r="AP961" t="e">
        <v>#N/A</v>
      </c>
      <c r="AQ961" t="s">
        <v>81</v>
      </c>
      <c r="AR961" t="str">
        <f t="shared" si="28"/>
        <v>60603714.STATAM</v>
      </c>
      <c r="AS961">
        <f t="shared" si="29"/>
        <v>5191143.8500000006</v>
      </c>
      <c r="AT961" t="s">
        <v>82</v>
      </c>
    </row>
    <row r="962" spans="1:46" x14ac:dyDescent="0.35">
      <c r="A962" t="s">
        <v>52</v>
      </c>
      <c r="B962" t="s">
        <v>53</v>
      </c>
      <c r="C962" t="s">
        <v>54</v>
      </c>
      <c r="D962" t="s">
        <v>55</v>
      </c>
      <c r="E962" t="s">
        <v>56</v>
      </c>
      <c r="F962" t="s">
        <v>3066</v>
      </c>
      <c r="G962" t="s">
        <v>3124</v>
      </c>
      <c r="H962" t="s">
        <v>56</v>
      </c>
      <c r="I962" t="s">
        <v>3125</v>
      </c>
      <c r="J962" t="s">
        <v>56</v>
      </c>
      <c r="K962" t="s">
        <v>62</v>
      </c>
      <c r="L962" t="s">
        <v>56</v>
      </c>
      <c r="M962" t="s">
        <v>56</v>
      </c>
      <c r="N962" t="s">
        <v>337</v>
      </c>
      <c r="O962" t="s">
        <v>245</v>
      </c>
      <c r="P962" t="s">
        <v>246</v>
      </c>
      <c r="Q962" t="s">
        <v>114</v>
      </c>
      <c r="R962" t="s">
        <v>248</v>
      </c>
      <c r="S962">
        <v>500000</v>
      </c>
      <c r="T962">
        <v>-10201066.689999999</v>
      </c>
      <c r="U962" t="s">
        <v>68</v>
      </c>
      <c r="V962" t="s">
        <v>3069</v>
      </c>
      <c r="W962" s="9">
        <v>60603714</v>
      </c>
      <c r="X962" t="s">
        <v>3126</v>
      </c>
      <c r="Y962" s="1">
        <v>46052</v>
      </c>
      <c r="Z962" s="1">
        <v>46112</v>
      </c>
      <c r="AA962" s="2">
        <v>176374.8</v>
      </c>
      <c r="AB962" s="2">
        <v>149692.03</v>
      </c>
      <c r="AC962" s="2">
        <v>26682.77</v>
      </c>
      <c r="AD962" s="2">
        <v>176374.8</v>
      </c>
      <c r="AE962" t="s">
        <v>3134</v>
      </c>
      <c r="AF962" t="s">
        <v>72</v>
      </c>
      <c r="AG962">
        <v>-34</v>
      </c>
      <c r="AH962" t="s">
        <v>117</v>
      </c>
      <c r="AI962" t="s">
        <v>74</v>
      </c>
      <c r="AJ962" t="s">
        <v>127</v>
      </c>
      <c r="AK962" t="s">
        <v>334</v>
      </c>
      <c r="AL962" t="s">
        <v>118</v>
      </c>
      <c r="AM962" t="s">
        <v>78</v>
      </c>
      <c r="AN962" t="s">
        <v>239</v>
      </c>
      <c r="AO962" t="s">
        <v>119</v>
      </c>
      <c r="AP962" t="e">
        <v>#N/A</v>
      </c>
      <c r="AQ962" t="s">
        <v>335</v>
      </c>
      <c r="AR962" t="str">
        <f t="shared" si="28"/>
        <v>60603714.SPMINAM</v>
      </c>
      <c r="AS962">
        <f t="shared" si="29"/>
        <v>3786928.5000000005</v>
      </c>
      <c r="AT962" t="s">
        <v>82</v>
      </c>
    </row>
    <row r="963" spans="1:46" x14ac:dyDescent="0.35">
      <c r="A963" t="s">
        <v>52</v>
      </c>
      <c r="B963" t="s">
        <v>53</v>
      </c>
      <c r="C963" t="s">
        <v>54</v>
      </c>
      <c r="D963" t="s">
        <v>55</v>
      </c>
      <c r="E963" t="s">
        <v>56</v>
      </c>
      <c r="F963" t="s">
        <v>3066</v>
      </c>
      <c r="G963" t="s">
        <v>3124</v>
      </c>
      <c r="H963" t="s">
        <v>56</v>
      </c>
      <c r="I963" t="s">
        <v>3125</v>
      </c>
      <c r="J963" t="s">
        <v>56</v>
      </c>
      <c r="K963" t="s">
        <v>62</v>
      </c>
      <c r="L963" t="s">
        <v>56</v>
      </c>
      <c r="M963" t="s">
        <v>56</v>
      </c>
      <c r="N963" t="s">
        <v>1183</v>
      </c>
      <c r="O963" t="s">
        <v>245</v>
      </c>
      <c r="P963" t="s">
        <v>246</v>
      </c>
      <c r="Q963" t="s">
        <v>114</v>
      </c>
      <c r="R963" t="s">
        <v>248</v>
      </c>
      <c r="S963">
        <v>500000</v>
      </c>
      <c r="T963">
        <v>-10201066.689999999</v>
      </c>
      <c r="U963" t="s">
        <v>68</v>
      </c>
      <c r="V963" t="s">
        <v>3069</v>
      </c>
      <c r="W963" s="9">
        <v>60603714</v>
      </c>
      <c r="X963" t="s">
        <v>3126</v>
      </c>
      <c r="Y963" s="1">
        <v>46052</v>
      </c>
      <c r="Z963" s="1">
        <v>46112</v>
      </c>
      <c r="AA963" s="2">
        <v>440811.44</v>
      </c>
      <c r="AB963" s="2">
        <v>374123.51</v>
      </c>
      <c r="AC963" s="2">
        <v>66687.929999999993</v>
      </c>
      <c r="AD963" s="2">
        <v>440811.44</v>
      </c>
      <c r="AE963" t="s">
        <v>3135</v>
      </c>
      <c r="AF963" t="s">
        <v>72</v>
      </c>
      <c r="AG963">
        <v>-34</v>
      </c>
      <c r="AH963" t="s">
        <v>117</v>
      </c>
      <c r="AI963" t="s">
        <v>74</v>
      </c>
      <c r="AJ963" t="s">
        <v>75</v>
      </c>
      <c r="AK963" t="s">
        <v>76</v>
      </c>
      <c r="AL963" t="s">
        <v>118</v>
      </c>
      <c r="AM963" t="s">
        <v>78</v>
      </c>
      <c r="AN963" t="s">
        <v>239</v>
      </c>
      <c r="AO963" t="s">
        <v>119</v>
      </c>
      <c r="AP963" t="e">
        <v>#N/A</v>
      </c>
      <c r="AQ963" t="s">
        <v>81</v>
      </c>
      <c r="AR963" t="str">
        <f t="shared" si="28"/>
        <v>60603714.STATAM</v>
      </c>
      <c r="AS963">
        <f t="shared" si="29"/>
        <v>5191143.8500000006</v>
      </c>
      <c r="AT963" t="s">
        <v>82</v>
      </c>
    </row>
    <row r="964" spans="1:46" x14ac:dyDescent="0.35">
      <c r="A964" t="s">
        <v>52</v>
      </c>
      <c r="B964" t="s">
        <v>53</v>
      </c>
      <c r="C964" t="s">
        <v>54</v>
      </c>
      <c r="D964" t="s">
        <v>55</v>
      </c>
      <c r="E964" t="s">
        <v>56</v>
      </c>
      <c r="F964" t="s">
        <v>3066</v>
      </c>
      <c r="G964" t="s">
        <v>3124</v>
      </c>
      <c r="H964" t="s">
        <v>56</v>
      </c>
      <c r="I964" t="s">
        <v>3125</v>
      </c>
      <c r="J964" t="s">
        <v>56</v>
      </c>
      <c r="K964" t="s">
        <v>62</v>
      </c>
      <c r="L964" t="s">
        <v>56</v>
      </c>
      <c r="M964" t="s">
        <v>56</v>
      </c>
      <c r="N964" t="s">
        <v>682</v>
      </c>
      <c r="O964" t="s">
        <v>245</v>
      </c>
      <c r="P964" t="s">
        <v>246</v>
      </c>
      <c r="Q964" t="s">
        <v>114</v>
      </c>
      <c r="R964" t="s">
        <v>248</v>
      </c>
      <c r="S964">
        <v>500000</v>
      </c>
      <c r="T964">
        <v>-10201066.689999999</v>
      </c>
      <c r="U964" t="s">
        <v>68</v>
      </c>
      <c r="V964" t="s">
        <v>3069</v>
      </c>
      <c r="W964" s="9">
        <v>60603714</v>
      </c>
      <c r="X964" t="s">
        <v>3126</v>
      </c>
      <c r="Y964" s="1">
        <v>46052</v>
      </c>
      <c r="Z964" s="1">
        <v>46112</v>
      </c>
      <c r="AA964" s="2">
        <v>60370.5</v>
      </c>
      <c r="AB964" s="2">
        <v>51237.38</v>
      </c>
      <c r="AC964" s="2">
        <v>9133.1200000000008</v>
      </c>
      <c r="AD964" s="2">
        <v>60370.5</v>
      </c>
      <c r="AE964" t="s">
        <v>3136</v>
      </c>
      <c r="AF964" t="s">
        <v>72</v>
      </c>
      <c r="AG964">
        <v>-34</v>
      </c>
      <c r="AH964" t="s">
        <v>117</v>
      </c>
      <c r="AI964" t="s">
        <v>74</v>
      </c>
      <c r="AJ964" t="s">
        <v>127</v>
      </c>
      <c r="AK964" t="s">
        <v>334</v>
      </c>
      <c r="AL964" t="s">
        <v>118</v>
      </c>
      <c r="AM964" t="s">
        <v>78</v>
      </c>
      <c r="AN964" t="s">
        <v>239</v>
      </c>
      <c r="AO964" t="s">
        <v>119</v>
      </c>
      <c r="AP964" t="e">
        <v>#N/A</v>
      </c>
      <c r="AQ964" t="s">
        <v>335</v>
      </c>
      <c r="AR964" t="str">
        <f t="shared" si="28"/>
        <v>60603714.SPMINAM</v>
      </c>
      <c r="AS964">
        <f t="shared" si="29"/>
        <v>3786928.5000000005</v>
      </c>
      <c r="AT964" t="s">
        <v>82</v>
      </c>
    </row>
    <row r="965" spans="1:46" x14ac:dyDescent="0.35">
      <c r="A965" t="s">
        <v>52</v>
      </c>
      <c r="B965" t="s">
        <v>53</v>
      </c>
      <c r="C965" t="s">
        <v>54</v>
      </c>
      <c r="D965" t="s">
        <v>55</v>
      </c>
      <c r="E965" t="s">
        <v>56</v>
      </c>
      <c r="F965" t="s">
        <v>3066</v>
      </c>
      <c r="G965" t="s">
        <v>3137</v>
      </c>
      <c r="H965" t="s">
        <v>56</v>
      </c>
      <c r="I965" t="s">
        <v>3138</v>
      </c>
      <c r="J965" t="s">
        <v>56</v>
      </c>
      <c r="K965" t="s">
        <v>62</v>
      </c>
      <c r="L965" t="s">
        <v>56</v>
      </c>
      <c r="M965" t="s">
        <v>56</v>
      </c>
      <c r="N965" t="s">
        <v>331</v>
      </c>
      <c r="O965" t="s">
        <v>245</v>
      </c>
      <c r="P965" t="s">
        <v>246</v>
      </c>
      <c r="Q965" t="s">
        <v>114</v>
      </c>
      <c r="R965" t="s">
        <v>248</v>
      </c>
      <c r="S965">
        <v>500000</v>
      </c>
      <c r="T965">
        <v>-10201066.689999999</v>
      </c>
      <c r="U965" t="s">
        <v>68</v>
      </c>
      <c r="V965" t="s">
        <v>3069</v>
      </c>
      <c r="W965" s="9">
        <v>60603714</v>
      </c>
      <c r="X965" t="s">
        <v>3139</v>
      </c>
      <c r="Y965" s="1">
        <v>46052</v>
      </c>
      <c r="Z965" s="1">
        <v>46112</v>
      </c>
      <c r="AA965" s="2">
        <v>1863.22</v>
      </c>
      <c r="AB965" s="2">
        <v>1579</v>
      </c>
      <c r="AC965" s="2">
        <v>284.22000000000003</v>
      </c>
      <c r="AD965" s="2">
        <v>1863.22</v>
      </c>
      <c r="AE965" t="s">
        <v>3140</v>
      </c>
      <c r="AF965" t="s">
        <v>72</v>
      </c>
      <c r="AG965">
        <v>-34</v>
      </c>
      <c r="AH965" t="s">
        <v>117</v>
      </c>
      <c r="AI965" t="s">
        <v>74</v>
      </c>
      <c r="AJ965" t="s">
        <v>127</v>
      </c>
      <c r="AK965" t="s">
        <v>334</v>
      </c>
      <c r="AL965" t="s">
        <v>118</v>
      </c>
      <c r="AM965" t="s">
        <v>78</v>
      </c>
      <c r="AN965" t="s">
        <v>239</v>
      </c>
      <c r="AO965" t="s">
        <v>119</v>
      </c>
      <c r="AP965" t="e">
        <v>#N/A</v>
      </c>
      <c r="AQ965" t="s">
        <v>335</v>
      </c>
      <c r="AR965" t="str">
        <f t="shared" si="28"/>
        <v>60603714.SPMINAM</v>
      </c>
      <c r="AS965">
        <f t="shared" si="29"/>
        <v>3786928.5000000005</v>
      </c>
      <c r="AT965" t="s">
        <v>82</v>
      </c>
    </row>
    <row r="966" spans="1:46" x14ac:dyDescent="0.35">
      <c r="A966" t="s">
        <v>52</v>
      </c>
      <c r="B966" t="s">
        <v>53</v>
      </c>
      <c r="C966" t="s">
        <v>54</v>
      </c>
      <c r="D966" t="s">
        <v>55</v>
      </c>
      <c r="E966" t="s">
        <v>56</v>
      </c>
      <c r="F966" t="s">
        <v>3066</v>
      </c>
      <c r="G966" t="s">
        <v>3112</v>
      </c>
      <c r="H966" t="s">
        <v>403</v>
      </c>
      <c r="I966" t="s">
        <v>3141</v>
      </c>
      <c r="J966" t="s">
        <v>56</v>
      </c>
      <c r="K966" t="s">
        <v>62</v>
      </c>
      <c r="L966" t="s">
        <v>56</v>
      </c>
      <c r="M966" t="s">
        <v>56</v>
      </c>
      <c r="N966" t="s">
        <v>405</v>
      </c>
      <c r="O966" t="s">
        <v>245</v>
      </c>
      <c r="P966" t="s">
        <v>246</v>
      </c>
      <c r="Q966" t="s">
        <v>114</v>
      </c>
      <c r="R966" t="s">
        <v>248</v>
      </c>
      <c r="S966">
        <v>500000</v>
      </c>
      <c r="T966">
        <v>-10201066.689999999</v>
      </c>
      <c r="U966" t="s">
        <v>68</v>
      </c>
      <c r="V966" t="s">
        <v>3069</v>
      </c>
      <c r="W966" s="9">
        <v>60603714</v>
      </c>
      <c r="X966" t="s">
        <v>3142</v>
      </c>
      <c r="Y966" s="1">
        <v>46059</v>
      </c>
      <c r="Z966" s="1">
        <v>46119</v>
      </c>
      <c r="AA966" s="2">
        <v>177000</v>
      </c>
      <c r="AB966" s="2">
        <v>150000</v>
      </c>
      <c r="AC966" s="2">
        <v>27000</v>
      </c>
      <c r="AD966" s="2">
        <v>177000</v>
      </c>
      <c r="AE966" t="s">
        <v>3143</v>
      </c>
      <c r="AF966" t="s">
        <v>72</v>
      </c>
      <c r="AG966">
        <v>-41</v>
      </c>
      <c r="AH966" t="s">
        <v>117</v>
      </c>
      <c r="AI966" t="s">
        <v>74</v>
      </c>
      <c r="AJ966" t="s">
        <v>75</v>
      </c>
      <c r="AK966" t="s">
        <v>76</v>
      </c>
      <c r="AL966" t="s">
        <v>118</v>
      </c>
      <c r="AM966" t="s">
        <v>78</v>
      </c>
      <c r="AN966" t="s">
        <v>239</v>
      </c>
      <c r="AO966" t="s">
        <v>119</v>
      </c>
      <c r="AP966" t="e">
        <v>#N/A</v>
      </c>
      <c r="AQ966" t="s">
        <v>81</v>
      </c>
      <c r="AR966" t="str">
        <f t="shared" si="28"/>
        <v>60603714.STATAM</v>
      </c>
      <c r="AS966">
        <f t="shared" si="29"/>
        <v>5191143.8500000006</v>
      </c>
      <c r="AT966" t="s">
        <v>82</v>
      </c>
    </row>
    <row r="967" spans="1:46" x14ac:dyDescent="0.35">
      <c r="A967" t="s">
        <v>52</v>
      </c>
      <c r="B967" t="s">
        <v>53</v>
      </c>
      <c r="C967" t="s">
        <v>54</v>
      </c>
      <c r="D967" t="s">
        <v>55</v>
      </c>
      <c r="E967" t="s">
        <v>56</v>
      </c>
      <c r="F967" t="s">
        <v>3144</v>
      </c>
      <c r="G967" t="s">
        <v>3145</v>
      </c>
      <c r="H967" t="s">
        <v>59</v>
      </c>
      <c r="I967" t="s">
        <v>3146</v>
      </c>
      <c r="J967" t="s">
        <v>61</v>
      </c>
      <c r="K967" t="s">
        <v>62</v>
      </c>
      <c r="L967" t="s">
        <v>56</v>
      </c>
      <c r="M967" t="s">
        <v>56</v>
      </c>
      <c r="N967" t="s">
        <v>63</v>
      </c>
      <c r="O967" t="s">
        <v>64</v>
      </c>
      <c r="P967" t="s">
        <v>65</v>
      </c>
      <c r="Q967" t="s">
        <v>3147</v>
      </c>
      <c r="R967" t="s">
        <v>67</v>
      </c>
      <c r="S967">
        <v>4000000</v>
      </c>
      <c r="T967">
        <v>1625009.85</v>
      </c>
      <c r="U967" t="s">
        <v>68</v>
      </c>
      <c r="V967" t="s">
        <v>3148</v>
      </c>
      <c r="W967" s="9">
        <v>60604107</v>
      </c>
      <c r="X967" t="s">
        <v>3149</v>
      </c>
      <c r="Y967" s="1">
        <v>46041</v>
      </c>
      <c r="Z967" s="1">
        <v>46071</v>
      </c>
      <c r="AA967" s="2">
        <v>1869546.26</v>
      </c>
      <c r="AB967" s="2">
        <v>1584361.24</v>
      </c>
      <c r="AC967" s="2">
        <v>285185.02</v>
      </c>
      <c r="AD967" s="2">
        <v>990505.93</v>
      </c>
      <c r="AE967" t="s">
        <v>3150</v>
      </c>
      <c r="AF967" t="s">
        <v>72</v>
      </c>
      <c r="AG967">
        <v>7</v>
      </c>
      <c r="AH967" t="s">
        <v>73</v>
      </c>
      <c r="AI967" t="s">
        <v>74</v>
      </c>
      <c r="AJ967" t="s">
        <v>75</v>
      </c>
      <c r="AK967" t="s">
        <v>76</v>
      </c>
      <c r="AL967" t="s">
        <v>77</v>
      </c>
      <c r="AM967" t="s">
        <v>78</v>
      </c>
      <c r="AN967" t="s">
        <v>79</v>
      </c>
      <c r="AO967" t="s">
        <v>80</v>
      </c>
      <c r="AP967" t="e">
        <v>#N/A</v>
      </c>
      <c r="AQ967" t="s">
        <v>81</v>
      </c>
      <c r="AR967" t="str">
        <f t="shared" si="28"/>
        <v>60604107.STATAM</v>
      </c>
      <c r="AS967">
        <f t="shared" si="29"/>
        <v>2374990.15</v>
      </c>
      <c r="AT967" t="s">
        <v>82</v>
      </c>
    </row>
    <row r="968" spans="1:46" x14ac:dyDescent="0.35">
      <c r="A968" t="s">
        <v>52</v>
      </c>
      <c r="B968" t="s">
        <v>53</v>
      </c>
      <c r="C968" t="s">
        <v>54</v>
      </c>
      <c r="D968" t="s">
        <v>55</v>
      </c>
      <c r="E968" t="s">
        <v>56</v>
      </c>
      <c r="F968" t="s">
        <v>3144</v>
      </c>
      <c r="G968" t="s">
        <v>3145</v>
      </c>
      <c r="H968" t="s">
        <v>59</v>
      </c>
      <c r="I968" t="s">
        <v>3146</v>
      </c>
      <c r="J968" t="s">
        <v>61</v>
      </c>
      <c r="K968" t="s">
        <v>62</v>
      </c>
      <c r="L968" t="s">
        <v>56</v>
      </c>
      <c r="M968" t="s">
        <v>56</v>
      </c>
      <c r="N968" t="s">
        <v>63</v>
      </c>
      <c r="O968" t="s">
        <v>64</v>
      </c>
      <c r="P968" t="s">
        <v>65</v>
      </c>
      <c r="Q968" t="s">
        <v>3147</v>
      </c>
      <c r="R968" t="s">
        <v>67</v>
      </c>
      <c r="S968">
        <v>4000000</v>
      </c>
      <c r="T968">
        <v>1625009.85</v>
      </c>
      <c r="U968" t="s">
        <v>68</v>
      </c>
      <c r="V968" t="s">
        <v>3148</v>
      </c>
      <c r="W968" s="9">
        <v>60604107</v>
      </c>
      <c r="X968" t="s">
        <v>3151</v>
      </c>
      <c r="Y968" s="1">
        <v>46073</v>
      </c>
      <c r="Z968" s="1">
        <v>46103</v>
      </c>
      <c r="AA968" s="2">
        <v>1384484.22</v>
      </c>
      <c r="AB968" s="2">
        <v>1173291.72</v>
      </c>
      <c r="AC968" s="2">
        <v>211192.5</v>
      </c>
      <c r="AD968" s="2">
        <v>1384484.22</v>
      </c>
      <c r="AE968" t="s">
        <v>3152</v>
      </c>
      <c r="AF968" t="s">
        <v>72</v>
      </c>
      <c r="AG968">
        <v>-25</v>
      </c>
      <c r="AH968" t="s">
        <v>117</v>
      </c>
      <c r="AI968" t="s">
        <v>74</v>
      </c>
      <c r="AJ968" t="s">
        <v>75</v>
      </c>
      <c r="AK968" t="s">
        <v>76</v>
      </c>
      <c r="AL968" t="s">
        <v>118</v>
      </c>
      <c r="AM968" t="s">
        <v>78</v>
      </c>
      <c r="AN968" t="s">
        <v>79</v>
      </c>
      <c r="AO968" t="s">
        <v>119</v>
      </c>
      <c r="AP968" t="e">
        <v>#N/A</v>
      </c>
      <c r="AQ968" t="s">
        <v>81</v>
      </c>
      <c r="AR968" t="str">
        <f t="shared" ref="AR968:AR1031" si="30">W968&amp;"."&amp;AQ968</f>
        <v>60604107.STATAM</v>
      </c>
      <c r="AS968">
        <f t="shared" ref="AS968:AS1031" si="31">SUMIFS(AD:AD,AQ:AQ,AQ968,W:W,W968)</f>
        <v>2374990.15</v>
      </c>
      <c r="AT968" t="s">
        <v>82</v>
      </c>
    </row>
    <row r="969" spans="1:46" x14ac:dyDescent="0.35">
      <c r="A969" t="s">
        <v>52</v>
      </c>
      <c r="B969" t="s">
        <v>53</v>
      </c>
      <c r="C969" t="s">
        <v>54</v>
      </c>
      <c r="D969" t="s">
        <v>55</v>
      </c>
      <c r="E969" t="s">
        <v>56</v>
      </c>
      <c r="F969" t="s">
        <v>3153</v>
      </c>
      <c r="G969" t="s">
        <v>56</v>
      </c>
      <c r="H969" t="s">
        <v>56</v>
      </c>
      <c r="I969" t="s">
        <v>3154</v>
      </c>
      <c r="J969" t="s">
        <v>61</v>
      </c>
      <c r="K969" t="s">
        <v>62</v>
      </c>
      <c r="L969" t="s">
        <v>56</v>
      </c>
      <c r="M969" t="s">
        <v>56</v>
      </c>
      <c r="N969" t="s">
        <v>56</v>
      </c>
      <c r="O969" t="s">
        <v>1950</v>
      </c>
      <c r="P969" t="s">
        <v>1951</v>
      </c>
      <c r="Q969" t="s">
        <v>87</v>
      </c>
      <c r="R969" t="s">
        <v>248</v>
      </c>
      <c r="S969">
        <v>500000</v>
      </c>
      <c r="T969">
        <v>543702.81000000006</v>
      </c>
      <c r="U969" t="s">
        <v>68</v>
      </c>
      <c r="V969" t="s">
        <v>3155</v>
      </c>
      <c r="W969" s="9">
        <v>60601863</v>
      </c>
      <c r="X969" t="s">
        <v>3156</v>
      </c>
      <c r="Y969" s="1">
        <v>45770</v>
      </c>
      <c r="Z969" s="1">
        <v>45770</v>
      </c>
      <c r="AA969" s="2">
        <v>-49109</v>
      </c>
      <c r="AB969" s="2">
        <v>-49109</v>
      </c>
      <c r="AC969" s="2">
        <v>0</v>
      </c>
      <c r="AD969" s="2">
        <v>-43702.81</v>
      </c>
      <c r="AE969" t="s">
        <v>3156</v>
      </c>
      <c r="AF969" t="s">
        <v>72</v>
      </c>
      <c r="AG969">
        <v>308</v>
      </c>
      <c r="AH969" t="s">
        <v>101</v>
      </c>
      <c r="AI969" t="s">
        <v>74</v>
      </c>
      <c r="AJ969" t="s">
        <v>75</v>
      </c>
      <c r="AK969" t="s">
        <v>76</v>
      </c>
      <c r="AL969" t="s">
        <v>77</v>
      </c>
      <c r="AM969" t="s">
        <v>78</v>
      </c>
      <c r="AN969" t="s">
        <v>979</v>
      </c>
      <c r="AO969" t="s">
        <v>80</v>
      </c>
      <c r="AP969" t="e">
        <v>#N/A</v>
      </c>
      <c r="AQ969" t="s">
        <v>81</v>
      </c>
      <c r="AR969" t="str">
        <f t="shared" si="30"/>
        <v>60601863.STATAM</v>
      </c>
      <c r="AS969">
        <f t="shared" si="31"/>
        <v>-43702.81</v>
      </c>
      <c r="AT969" t="s">
        <v>93</v>
      </c>
    </row>
    <row r="970" spans="1:46" x14ac:dyDescent="0.35">
      <c r="A970" t="s">
        <v>52</v>
      </c>
      <c r="B970" t="s">
        <v>53</v>
      </c>
      <c r="C970" t="s">
        <v>54</v>
      </c>
      <c r="D970" t="s">
        <v>55</v>
      </c>
      <c r="E970" t="s">
        <v>56</v>
      </c>
      <c r="F970" t="s">
        <v>3157</v>
      </c>
      <c r="G970" t="s">
        <v>56</v>
      </c>
      <c r="H970" t="s">
        <v>56</v>
      </c>
      <c r="I970" t="s">
        <v>3158</v>
      </c>
      <c r="J970" t="s">
        <v>61</v>
      </c>
      <c r="K970" t="s">
        <v>640</v>
      </c>
      <c r="L970" t="s">
        <v>56</v>
      </c>
      <c r="M970" t="s">
        <v>56</v>
      </c>
      <c r="N970" t="s">
        <v>56</v>
      </c>
      <c r="O970" t="s">
        <v>435</v>
      </c>
      <c r="P970" t="s">
        <v>436</v>
      </c>
      <c r="Q970" t="s">
        <v>87</v>
      </c>
      <c r="R970" t="s">
        <v>88</v>
      </c>
      <c r="T970">
        <v>3.38</v>
      </c>
      <c r="U970" t="s">
        <v>68</v>
      </c>
      <c r="V970" t="s">
        <v>3159</v>
      </c>
      <c r="W970" s="9">
        <v>60603969</v>
      </c>
      <c r="X970" t="s">
        <v>3160</v>
      </c>
      <c r="Y970" s="1">
        <v>46073</v>
      </c>
      <c r="Z970" s="1">
        <v>46073</v>
      </c>
      <c r="AA970" s="2">
        <v>-167461.98000000001</v>
      </c>
      <c r="AB970" s="2">
        <v>-167461.98000000001</v>
      </c>
      <c r="AC970" s="2">
        <v>0</v>
      </c>
      <c r="AD970" s="2">
        <v>-20114.080000000002</v>
      </c>
      <c r="AE970" t="s">
        <v>3160</v>
      </c>
      <c r="AF970" t="s">
        <v>72</v>
      </c>
      <c r="AG970">
        <v>5</v>
      </c>
      <c r="AH970" t="s">
        <v>73</v>
      </c>
      <c r="AI970" t="s">
        <v>74</v>
      </c>
      <c r="AJ970" t="s">
        <v>75</v>
      </c>
      <c r="AK970" t="s">
        <v>76</v>
      </c>
      <c r="AL970" t="s">
        <v>77</v>
      </c>
      <c r="AM970" t="s">
        <v>78</v>
      </c>
      <c r="AN970" t="s">
        <v>104</v>
      </c>
      <c r="AO970" t="s">
        <v>80</v>
      </c>
      <c r="AP970" t="s">
        <v>46</v>
      </c>
      <c r="AQ970" t="s">
        <v>81</v>
      </c>
      <c r="AR970" t="str">
        <f t="shared" si="30"/>
        <v>60603969.STATAM</v>
      </c>
      <c r="AS970">
        <f t="shared" si="31"/>
        <v>-20114.080000000002</v>
      </c>
      <c r="AT970" t="s">
        <v>93</v>
      </c>
    </row>
    <row r="971" spans="1:46" x14ac:dyDescent="0.35">
      <c r="A971" t="s">
        <v>52</v>
      </c>
      <c r="B971" t="s">
        <v>53</v>
      </c>
      <c r="C971" t="s">
        <v>1223</v>
      </c>
      <c r="D971" t="s">
        <v>55</v>
      </c>
      <c r="E971" t="s">
        <v>56</v>
      </c>
      <c r="F971" t="s">
        <v>3161</v>
      </c>
      <c r="G971" t="s">
        <v>3162</v>
      </c>
      <c r="H971" t="s">
        <v>403</v>
      </c>
      <c r="I971" t="s">
        <v>3163</v>
      </c>
      <c r="J971" t="s">
        <v>61</v>
      </c>
      <c r="K971" t="s">
        <v>62</v>
      </c>
      <c r="L971" t="s">
        <v>56</v>
      </c>
      <c r="M971" t="s">
        <v>56</v>
      </c>
      <c r="N971" t="s">
        <v>405</v>
      </c>
      <c r="O971" t="s">
        <v>974</v>
      </c>
      <c r="P971" t="s">
        <v>975</v>
      </c>
      <c r="Q971" t="s">
        <v>87</v>
      </c>
      <c r="R971" t="s">
        <v>88</v>
      </c>
      <c r="T971">
        <v>-151040</v>
      </c>
      <c r="U971" t="s">
        <v>68</v>
      </c>
      <c r="V971" t="s">
        <v>3164</v>
      </c>
      <c r="W971" s="9">
        <v>20000040</v>
      </c>
      <c r="X971" t="s">
        <v>3165</v>
      </c>
      <c r="Y971" s="1">
        <v>46028</v>
      </c>
      <c r="Z971" s="1">
        <v>46028</v>
      </c>
      <c r="AA971" s="2">
        <v>75520</v>
      </c>
      <c r="AB971" s="2">
        <v>64000</v>
      </c>
      <c r="AC971" s="2">
        <v>11520</v>
      </c>
      <c r="AD971" s="2">
        <v>75520</v>
      </c>
      <c r="AE971" t="s">
        <v>3166</v>
      </c>
      <c r="AF971" t="s">
        <v>72</v>
      </c>
      <c r="AG971">
        <v>50</v>
      </c>
      <c r="AH971" t="s">
        <v>236</v>
      </c>
      <c r="AI971" t="s">
        <v>74</v>
      </c>
      <c r="AJ971" t="s">
        <v>75</v>
      </c>
      <c r="AK971" t="s">
        <v>76</v>
      </c>
      <c r="AL971" t="s">
        <v>77</v>
      </c>
      <c r="AM971" t="s">
        <v>78</v>
      </c>
      <c r="AN971" t="s">
        <v>979</v>
      </c>
      <c r="AO971" t="s">
        <v>80</v>
      </c>
      <c r="AP971" t="e">
        <v>#N/A</v>
      </c>
      <c r="AQ971" t="s">
        <v>81</v>
      </c>
      <c r="AR971" t="str">
        <f t="shared" si="30"/>
        <v>20000040.STATAM</v>
      </c>
      <c r="AS971">
        <f t="shared" si="31"/>
        <v>75520</v>
      </c>
      <c r="AT971" t="s">
        <v>82</v>
      </c>
    </row>
    <row r="972" spans="1:46" x14ac:dyDescent="0.35">
      <c r="A972" t="s">
        <v>52</v>
      </c>
      <c r="B972" t="s">
        <v>53</v>
      </c>
      <c r="C972" t="s">
        <v>1223</v>
      </c>
      <c r="D972" t="s">
        <v>55</v>
      </c>
      <c r="E972" t="s">
        <v>56</v>
      </c>
      <c r="F972" t="s">
        <v>3161</v>
      </c>
      <c r="G972" t="s">
        <v>3167</v>
      </c>
      <c r="H972" t="s">
        <v>403</v>
      </c>
      <c r="I972" t="s">
        <v>3168</v>
      </c>
      <c r="J972" t="s">
        <v>61</v>
      </c>
      <c r="K972" t="s">
        <v>62</v>
      </c>
      <c r="L972" t="s">
        <v>56</v>
      </c>
      <c r="M972" t="s">
        <v>56</v>
      </c>
      <c r="N972" t="s">
        <v>2435</v>
      </c>
      <c r="O972" t="s">
        <v>974</v>
      </c>
      <c r="P972" t="s">
        <v>975</v>
      </c>
      <c r="Q972" t="s">
        <v>87</v>
      </c>
      <c r="R972" t="s">
        <v>88</v>
      </c>
      <c r="T972">
        <v>-151040</v>
      </c>
      <c r="U972" t="s">
        <v>68</v>
      </c>
      <c r="V972" t="s">
        <v>3164</v>
      </c>
      <c r="W972" s="9">
        <v>20000040</v>
      </c>
      <c r="X972" t="s">
        <v>3169</v>
      </c>
      <c r="Y972" s="1">
        <v>46028</v>
      </c>
      <c r="Z972" s="1">
        <v>46028</v>
      </c>
      <c r="AA972" s="2">
        <v>75520</v>
      </c>
      <c r="AB972" s="2">
        <v>64000</v>
      </c>
      <c r="AC972" s="2">
        <v>11520</v>
      </c>
      <c r="AD972" s="2">
        <v>75520</v>
      </c>
      <c r="AE972" t="s">
        <v>3170</v>
      </c>
      <c r="AF972" t="s">
        <v>72</v>
      </c>
      <c r="AG972">
        <v>50</v>
      </c>
      <c r="AH972" t="s">
        <v>236</v>
      </c>
      <c r="AI972" t="s">
        <v>74</v>
      </c>
      <c r="AJ972" t="s">
        <v>127</v>
      </c>
      <c r="AK972" t="s">
        <v>334</v>
      </c>
      <c r="AL972" t="s">
        <v>77</v>
      </c>
      <c r="AM972" t="s">
        <v>78</v>
      </c>
      <c r="AN972" t="s">
        <v>979</v>
      </c>
      <c r="AO972" t="s">
        <v>80</v>
      </c>
      <c r="AP972" t="e">
        <v>#N/A</v>
      </c>
      <c r="AQ972" t="s">
        <v>335</v>
      </c>
      <c r="AR972" t="str">
        <f t="shared" si="30"/>
        <v>20000040.SPMINAM</v>
      </c>
      <c r="AS972">
        <f t="shared" si="31"/>
        <v>75520</v>
      </c>
      <c r="AT972" t="s">
        <v>82</v>
      </c>
    </row>
    <row r="973" spans="1:46" x14ac:dyDescent="0.35">
      <c r="A973" t="s">
        <v>52</v>
      </c>
      <c r="B973" t="s">
        <v>53</v>
      </c>
      <c r="C973" t="s">
        <v>54</v>
      </c>
      <c r="D973" t="s">
        <v>55</v>
      </c>
      <c r="E973" t="s">
        <v>56</v>
      </c>
      <c r="F973" t="s">
        <v>3171</v>
      </c>
      <c r="G973" t="s">
        <v>3172</v>
      </c>
      <c r="H973" t="s">
        <v>59</v>
      </c>
      <c r="I973" t="s">
        <v>3173</v>
      </c>
      <c r="J973" t="s">
        <v>3174</v>
      </c>
      <c r="K973" t="s">
        <v>62</v>
      </c>
      <c r="L973" t="s">
        <v>56</v>
      </c>
      <c r="M973" t="s">
        <v>56</v>
      </c>
      <c r="N973" t="s">
        <v>63</v>
      </c>
      <c r="O973" t="s">
        <v>3175</v>
      </c>
      <c r="P973" t="s">
        <v>3176</v>
      </c>
      <c r="Q973" t="s">
        <v>3177</v>
      </c>
      <c r="R973" t="s">
        <v>88</v>
      </c>
      <c r="T973">
        <v>-21027163.010000002</v>
      </c>
      <c r="U973" t="s">
        <v>68</v>
      </c>
      <c r="V973" t="s">
        <v>3178</v>
      </c>
      <c r="W973" s="9">
        <v>60602700</v>
      </c>
      <c r="X973" t="s">
        <v>3179</v>
      </c>
      <c r="Y973" s="1">
        <v>44362</v>
      </c>
      <c r="Z973" s="1">
        <v>44422</v>
      </c>
      <c r="AA973" s="2">
        <v>1119590.46</v>
      </c>
      <c r="AB973" s="2">
        <v>948805.48</v>
      </c>
      <c r="AC973" s="2">
        <v>170784.98</v>
      </c>
      <c r="AD973" s="2">
        <v>18976</v>
      </c>
      <c r="AE973" t="s">
        <v>3180</v>
      </c>
      <c r="AF973" t="s">
        <v>72</v>
      </c>
      <c r="AG973">
        <v>1656</v>
      </c>
      <c r="AH973" t="s">
        <v>473</v>
      </c>
      <c r="AI973" t="s">
        <v>74</v>
      </c>
      <c r="AJ973" t="s">
        <v>75</v>
      </c>
      <c r="AK973" t="s">
        <v>76</v>
      </c>
      <c r="AL973" t="s">
        <v>77</v>
      </c>
      <c r="AM973" t="s">
        <v>78</v>
      </c>
      <c r="AN973" t="s">
        <v>79</v>
      </c>
      <c r="AO973" t="s">
        <v>80</v>
      </c>
      <c r="AP973" t="e">
        <v>#N/A</v>
      </c>
      <c r="AQ973" t="s">
        <v>81</v>
      </c>
      <c r="AR973" t="str">
        <f t="shared" si="30"/>
        <v>60602700.STATAM</v>
      </c>
      <c r="AS973">
        <f t="shared" si="31"/>
        <v>21027163.009999998</v>
      </c>
      <c r="AT973" t="s">
        <v>82</v>
      </c>
    </row>
    <row r="974" spans="1:46" x14ac:dyDescent="0.35">
      <c r="A974" t="s">
        <v>52</v>
      </c>
      <c r="B974" t="s">
        <v>53</v>
      </c>
      <c r="C974" t="s">
        <v>54</v>
      </c>
      <c r="D974" t="s">
        <v>55</v>
      </c>
      <c r="E974" t="s">
        <v>56</v>
      </c>
      <c r="F974" t="s">
        <v>3171</v>
      </c>
      <c r="G974" t="s">
        <v>3172</v>
      </c>
      <c r="H974" t="s">
        <v>59</v>
      </c>
      <c r="I974" t="s">
        <v>3173</v>
      </c>
      <c r="J974" t="s">
        <v>3174</v>
      </c>
      <c r="K974" t="s">
        <v>62</v>
      </c>
      <c r="L974" t="s">
        <v>56</v>
      </c>
      <c r="M974" t="s">
        <v>56</v>
      </c>
      <c r="N974" t="s">
        <v>63</v>
      </c>
      <c r="O974" t="s">
        <v>3175</v>
      </c>
      <c r="P974" t="s">
        <v>3176</v>
      </c>
      <c r="Q974" t="s">
        <v>3177</v>
      </c>
      <c r="R974" t="s">
        <v>88</v>
      </c>
      <c r="T974">
        <v>-21027163.010000002</v>
      </c>
      <c r="U974" t="s">
        <v>68</v>
      </c>
      <c r="V974" t="s">
        <v>3178</v>
      </c>
      <c r="W974" s="9">
        <v>60602700</v>
      </c>
      <c r="X974" t="s">
        <v>3181</v>
      </c>
      <c r="Y974" s="1">
        <v>44599</v>
      </c>
      <c r="Z974" s="1">
        <v>44659</v>
      </c>
      <c r="AA974" s="2">
        <v>2039921.35</v>
      </c>
      <c r="AB974" s="2">
        <v>1728746.91</v>
      </c>
      <c r="AC974" s="2">
        <v>311174.44</v>
      </c>
      <c r="AD974" s="2">
        <v>894161.13</v>
      </c>
      <c r="AE974" t="s">
        <v>3182</v>
      </c>
      <c r="AF974" t="s">
        <v>72</v>
      </c>
      <c r="AG974">
        <v>1419</v>
      </c>
      <c r="AH974" t="s">
        <v>473</v>
      </c>
      <c r="AI974" t="s">
        <v>74</v>
      </c>
      <c r="AJ974" t="s">
        <v>75</v>
      </c>
      <c r="AK974" t="s">
        <v>76</v>
      </c>
      <c r="AL974" t="s">
        <v>77</v>
      </c>
      <c r="AM974" t="s">
        <v>78</v>
      </c>
      <c r="AN974" t="s">
        <v>79</v>
      </c>
      <c r="AO974" t="s">
        <v>80</v>
      </c>
      <c r="AP974" t="e">
        <v>#N/A</v>
      </c>
      <c r="AQ974" t="s">
        <v>81</v>
      </c>
      <c r="AR974" t="str">
        <f t="shared" si="30"/>
        <v>60602700.STATAM</v>
      </c>
      <c r="AS974">
        <f t="shared" si="31"/>
        <v>21027163.009999998</v>
      </c>
      <c r="AT974" t="s">
        <v>82</v>
      </c>
    </row>
    <row r="975" spans="1:46" x14ac:dyDescent="0.35">
      <c r="A975" t="s">
        <v>52</v>
      </c>
      <c r="B975" t="s">
        <v>53</v>
      </c>
      <c r="C975" t="s">
        <v>54</v>
      </c>
      <c r="D975" t="s">
        <v>55</v>
      </c>
      <c r="E975" t="s">
        <v>56</v>
      </c>
      <c r="F975" t="s">
        <v>3171</v>
      </c>
      <c r="G975" t="s">
        <v>3172</v>
      </c>
      <c r="H975" t="s">
        <v>59</v>
      </c>
      <c r="I975" t="s">
        <v>3183</v>
      </c>
      <c r="J975" t="s">
        <v>3174</v>
      </c>
      <c r="K975" t="s">
        <v>62</v>
      </c>
      <c r="L975" t="s">
        <v>56</v>
      </c>
      <c r="M975" t="s">
        <v>56</v>
      </c>
      <c r="N975" t="s">
        <v>63</v>
      </c>
      <c r="O975" t="s">
        <v>3175</v>
      </c>
      <c r="P975" t="s">
        <v>3176</v>
      </c>
      <c r="Q975" t="s">
        <v>3177</v>
      </c>
      <c r="R975" t="s">
        <v>88</v>
      </c>
      <c r="T975">
        <v>-21027163.010000002</v>
      </c>
      <c r="U975" t="s">
        <v>68</v>
      </c>
      <c r="V975" t="s">
        <v>3178</v>
      </c>
      <c r="W975" s="9">
        <v>60602700</v>
      </c>
      <c r="X975" t="s">
        <v>3184</v>
      </c>
      <c r="Y975" s="1">
        <v>44629</v>
      </c>
      <c r="Z975" s="1">
        <v>44689</v>
      </c>
      <c r="AA975" s="2">
        <v>957422.62</v>
      </c>
      <c r="AB975" s="2">
        <v>811375.1</v>
      </c>
      <c r="AC975" s="2">
        <v>146047.51999999999</v>
      </c>
      <c r="AD975" s="2">
        <v>957422.62</v>
      </c>
      <c r="AE975" t="s">
        <v>3185</v>
      </c>
      <c r="AF975" t="s">
        <v>72</v>
      </c>
      <c r="AG975">
        <v>1389</v>
      </c>
      <c r="AH975" t="s">
        <v>473</v>
      </c>
      <c r="AI975" t="s">
        <v>74</v>
      </c>
      <c r="AJ975" t="s">
        <v>75</v>
      </c>
      <c r="AK975" t="s">
        <v>76</v>
      </c>
      <c r="AL975" t="s">
        <v>77</v>
      </c>
      <c r="AM975" t="s">
        <v>78</v>
      </c>
      <c r="AN975" t="s">
        <v>79</v>
      </c>
      <c r="AO975" t="s">
        <v>80</v>
      </c>
      <c r="AP975" t="e">
        <v>#N/A</v>
      </c>
      <c r="AQ975" t="s">
        <v>81</v>
      </c>
      <c r="AR975" t="str">
        <f t="shared" si="30"/>
        <v>60602700.STATAM</v>
      </c>
      <c r="AS975">
        <f t="shared" si="31"/>
        <v>21027163.009999998</v>
      </c>
      <c r="AT975" t="s">
        <v>82</v>
      </c>
    </row>
    <row r="976" spans="1:46" x14ac:dyDescent="0.35">
      <c r="A976" t="s">
        <v>52</v>
      </c>
      <c r="B976" t="s">
        <v>53</v>
      </c>
      <c r="C976" t="s">
        <v>54</v>
      </c>
      <c r="D976" t="s">
        <v>55</v>
      </c>
      <c r="E976" t="s">
        <v>56</v>
      </c>
      <c r="F976" t="s">
        <v>3171</v>
      </c>
      <c r="G976" t="s">
        <v>3172</v>
      </c>
      <c r="H976" t="s">
        <v>59</v>
      </c>
      <c r="I976" t="s">
        <v>3183</v>
      </c>
      <c r="J976" t="s">
        <v>3174</v>
      </c>
      <c r="K976" t="s">
        <v>62</v>
      </c>
      <c r="L976" t="s">
        <v>56</v>
      </c>
      <c r="M976" t="s">
        <v>56</v>
      </c>
      <c r="N976" t="s">
        <v>63</v>
      </c>
      <c r="O976" t="s">
        <v>3175</v>
      </c>
      <c r="P976" t="s">
        <v>3176</v>
      </c>
      <c r="Q976" t="s">
        <v>3177</v>
      </c>
      <c r="R976" t="s">
        <v>88</v>
      </c>
      <c r="T976">
        <v>-21027163.010000002</v>
      </c>
      <c r="U976" t="s">
        <v>68</v>
      </c>
      <c r="V976" t="s">
        <v>3178</v>
      </c>
      <c r="W976" s="9">
        <v>60602700</v>
      </c>
      <c r="X976" t="s">
        <v>3186</v>
      </c>
      <c r="Y976" s="1">
        <v>44629</v>
      </c>
      <c r="Z976" s="1">
        <v>44689</v>
      </c>
      <c r="AA976" s="2">
        <v>1024736.76</v>
      </c>
      <c r="AB976" s="2">
        <v>868420.98</v>
      </c>
      <c r="AC976" s="2">
        <v>156315.78</v>
      </c>
      <c r="AD976" s="2">
        <v>1024736.76</v>
      </c>
      <c r="AE976" t="s">
        <v>3187</v>
      </c>
      <c r="AF976" t="s">
        <v>72</v>
      </c>
      <c r="AG976">
        <v>1389</v>
      </c>
      <c r="AH976" t="s">
        <v>473</v>
      </c>
      <c r="AI976" t="s">
        <v>74</v>
      </c>
      <c r="AJ976" t="s">
        <v>75</v>
      </c>
      <c r="AK976" t="s">
        <v>76</v>
      </c>
      <c r="AL976" t="s">
        <v>77</v>
      </c>
      <c r="AM976" t="s">
        <v>78</v>
      </c>
      <c r="AN976" t="s">
        <v>79</v>
      </c>
      <c r="AO976" t="s">
        <v>80</v>
      </c>
      <c r="AP976" t="e">
        <v>#N/A</v>
      </c>
      <c r="AQ976" t="s">
        <v>81</v>
      </c>
      <c r="AR976" t="str">
        <f t="shared" si="30"/>
        <v>60602700.STATAM</v>
      </c>
      <c r="AS976">
        <f t="shared" si="31"/>
        <v>21027163.009999998</v>
      </c>
      <c r="AT976" t="s">
        <v>82</v>
      </c>
    </row>
    <row r="977" spans="1:46" x14ac:dyDescent="0.35">
      <c r="A977" t="s">
        <v>52</v>
      </c>
      <c r="B977" t="s">
        <v>53</v>
      </c>
      <c r="C977" t="s">
        <v>54</v>
      </c>
      <c r="D977" t="s">
        <v>55</v>
      </c>
      <c r="E977" t="s">
        <v>56</v>
      </c>
      <c r="F977" t="s">
        <v>3171</v>
      </c>
      <c r="G977" t="s">
        <v>3172</v>
      </c>
      <c r="H977" t="s">
        <v>59</v>
      </c>
      <c r="I977" t="s">
        <v>3183</v>
      </c>
      <c r="J977" t="s">
        <v>3174</v>
      </c>
      <c r="K977" t="s">
        <v>62</v>
      </c>
      <c r="L977" t="s">
        <v>56</v>
      </c>
      <c r="M977" t="s">
        <v>56</v>
      </c>
      <c r="N977" t="s">
        <v>63</v>
      </c>
      <c r="O977" t="s">
        <v>3175</v>
      </c>
      <c r="P977" t="s">
        <v>3176</v>
      </c>
      <c r="Q977" t="s">
        <v>3177</v>
      </c>
      <c r="R977" t="s">
        <v>88</v>
      </c>
      <c r="T977">
        <v>-21027163.010000002</v>
      </c>
      <c r="U977" t="s">
        <v>68</v>
      </c>
      <c r="V977" t="s">
        <v>3178</v>
      </c>
      <c r="W977" s="9">
        <v>60602700</v>
      </c>
      <c r="X977" t="s">
        <v>3188</v>
      </c>
      <c r="Y977" s="1">
        <v>44662</v>
      </c>
      <c r="Z977" s="1">
        <v>44722</v>
      </c>
      <c r="AA977" s="2">
        <v>1800637.47</v>
      </c>
      <c r="AB977" s="2">
        <v>1525963.95</v>
      </c>
      <c r="AC977" s="2">
        <v>274673.52</v>
      </c>
      <c r="AD977" s="2">
        <v>1800637.47</v>
      </c>
      <c r="AE977" t="s">
        <v>3189</v>
      </c>
      <c r="AF977" t="s">
        <v>72</v>
      </c>
      <c r="AG977">
        <v>1356</v>
      </c>
      <c r="AH977" t="s">
        <v>473</v>
      </c>
      <c r="AI977" t="s">
        <v>74</v>
      </c>
      <c r="AJ977" t="s">
        <v>75</v>
      </c>
      <c r="AK977" t="s">
        <v>76</v>
      </c>
      <c r="AL977" t="s">
        <v>77</v>
      </c>
      <c r="AM977" t="s">
        <v>78</v>
      </c>
      <c r="AN977" t="s">
        <v>79</v>
      </c>
      <c r="AO977" t="s">
        <v>80</v>
      </c>
      <c r="AP977" t="e">
        <v>#N/A</v>
      </c>
      <c r="AQ977" t="s">
        <v>81</v>
      </c>
      <c r="AR977" t="str">
        <f t="shared" si="30"/>
        <v>60602700.STATAM</v>
      </c>
      <c r="AS977">
        <f t="shared" si="31"/>
        <v>21027163.009999998</v>
      </c>
      <c r="AT977" t="s">
        <v>82</v>
      </c>
    </row>
    <row r="978" spans="1:46" x14ac:dyDescent="0.35">
      <c r="A978" t="s">
        <v>52</v>
      </c>
      <c r="B978" t="s">
        <v>53</v>
      </c>
      <c r="C978" t="s">
        <v>54</v>
      </c>
      <c r="D978" t="s">
        <v>55</v>
      </c>
      <c r="E978" t="s">
        <v>56</v>
      </c>
      <c r="F978" t="s">
        <v>3171</v>
      </c>
      <c r="G978" t="s">
        <v>3172</v>
      </c>
      <c r="H978" t="s">
        <v>59</v>
      </c>
      <c r="I978" t="s">
        <v>3183</v>
      </c>
      <c r="J978" t="s">
        <v>3174</v>
      </c>
      <c r="K978" t="s">
        <v>62</v>
      </c>
      <c r="L978" t="s">
        <v>56</v>
      </c>
      <c r="M978" t="s">
        <v>56</v>
      </c>
      <c r="N978" t="s">
        <v>63</v>
      </c>
      <c r="O978" t="s">
        <v>3175</v>
      </c>
      <c r="P978" t="s">
        <v>3176</v>
      </c>
      <c r="Q978" t="s">
        <v>3177</v>
      </c>
      <c r="R978" t="s">
        <v>88</v>
      </c>
      <c r="T978">
        <v>-21027163.010000002</v>
      </c>
      <c r="U978" t="s">
        <v>68</v>
      </c>
      <c r="V978" t="s">
        <v>3178</v>
      </c>
      <c r="W978" s="9">
        <v>60602700</v>
      </c>
      <c r="X978" t="s">
        <v>3190</v>
      </c>
      <c r="Y978" s="1">
        <v>44692</v>
      </c>
      <c r="Z978" s="1">
        <v>44752</v>
      </c>
      <c r="AA978" s="2">
        <v>1785014.92</v>
      </c>
      <c r="AB978" s="2">
        <v>1512724.5</v>
      </c>
      <c r="AC978" s="2">
        <v>272290.42</v>
      </c>
      <c r="AD978" s="2">
        <v>1785014.92</v>
      </c>
      <c r="AE978" t="s">
        <v>3191</v>
      </c>
      <c r="AF978" t="s">
        <v>72</v>
      </c>
      <c r="AG978">
        <v>1326</v>
      </c>
      <c r="AH978" t="s">
        <v>473</v>
      </c>
      <c r="AI978" t="s">
        <v>74</v>
      </c>
      <c r="AJ978" t="s">
        <v>75</v>
      </c>
      <c r="AK978" t="s">
        <v>76</v>
      </c>
      <c r="AL978" t="s">
        <v>77</v>
      </c>
      <c r="AM978" t="s">
        <v>78</v>
      </c>
      <c r="AN978" t="s">
        <v>79</v>
      </c>
      <c r="AO978" t="s">
        <v>80</v>
      </c>
      <c r="AP978" t="e">
        <v>#N/A</v>
      </c>
      <c r="AQ978" t="s">
        <v>81</v>
      </c>
      <c r="AR978" t="str">
        <f t="shared" si="30"/>
        <v>60602700.STATAM</v>
      </c>
      <c r="AS978">
        <f t="shared" si="31"/>
        <v>21027163.009999998</v>
      </c>
      <c r="AT978" t="s">
        <v>82</v>
      </c>
    </row>
    <row r="979" spans="1:46" x14ac:dyDescent="0.35">
      <c r="A979" t="s">
        <v>52</v>
      </c>
      <c r="B979" t="s">
        <v>53</v>
      </c>
      <c r="C979" t="s">
        <v>54</v>
      </c>
      <c r="D979" t="s">
        <v>55</v>
      </c>
      <c r="E979" t="s">
        <v>56</v>
      </c>
      <c r="F979" t="s">
        <v>3171</v>
      </c>
      <c r="G979" t="s">
        <v>3172</v>
      </c>
      <c r="H979" t="s">
        <v>59</v>
      </c>
      <c r="I979" t="s">
        <v>3183</v>
      </c>
      <c r="J979" t="s">
        <v>3174</v>
      </c>
      <c r="K979" t="s">
        <v>62</v>
      </c>
      <c r="L979" t="s">
        <v>56</v>
      </c>
      <c r="M979" t="s">
        <v>56</v>
      </c>
      <c r="N979" t="s">
        <v>63</v>
      </c>
      <c r="O979" t="s">
        <v>3175</v>
      </c>
      <c r="P979" t="s">
        <v>3176</v>
      </c>
      <c r="Q979" t="s">
        <v>3177</v>
      </c>
      <c r="R979" t="s">
        <v>88</v>
      </c>
      <c r="T979">
        <v>-21027163.010000002</v>
      </c>
      <c r="U979" t="s">
        <v>68</v>
      </c>
      <c r="V979" t="s">
        <v>3178</v>
      </c>
      <c r="W979" s="9">
        <v>60602700</v>
      </c>
      <c r="X979" t="s">
        <v>3192</v>
      </c>
      <c r="Y979" s="1">
        <v>44722</v>
      </c>
      <c r="Z979" s="1">
        <v>44782</v>
      </c>
      <c r="AA979" s="2">
        <v>1459723.88</v>
      </c>
      <c r="AB979" s="2">
        <v>1237054.1399999999</v>
      </c>
      <c r="AC979" s="2">
        <v>222669.74</v>
      </c>
      <c r="AD979" s="2">
        <v>1459723.88</v>
      </c>
      <c r="AE979" t="s">
        <v>3193</v>
      </c>
      <c r="AF979" t="s">
        <v>72</v>
      </c>
      <c r="AG979">
        <v>1296</v>
      </c>
      <c r="AH979" t="s">
        <v>473</v>
      </c>
      <c r="AI979" t="s">
        <v>74</v>
      </c>
      <c r="AJ979" t="s">
        <v>75</v>
      </c>
      <c r="AK979" t="s">
        <v>76</v>
      </c>
      <c r="AL979" t="s">
        <v>77</v>
      </c>
      <c r="AM979" t="s">
        <v>78</v>
      </c>
      <c r="AN979" t="s">
        <v>79</v>
      </c>
      <c r="AO979" t="s">
        <v>80</v>
      </c>
      <c r="AP979" t="e">
        <v>#N/A</v>
      </c>
      <c r="AQ979" t="s">
        <v>81</v>
      </c>
      <c r="AR979" t="str">
        <f t="shared" si="30"/>
        <v>60602700.STATAM</v>
      </c>
      <c r="AS979">
        <f t="shared" si="31"/>
        <v>21027163.009999998</v>
      </c>
      <c r="AT979" t="s">
        <v>82</v>
      </c>
    </row>
    <row r="980" spans="1:46" x14ac:dyDescent="0.35">
      <c r="A980" t="s">
        <v>52</v>
      </c>
      <c r="B980" t="s">
        <v>53</v>
      </c>
      <c r="C980" t="s">
        <v>54</v>
      </c>
      <c r="D980" t="s">
        <v>55</v>
      </c>
      <c r="E980" t="s">
        <v>56</v>
      </c>
      <c r="F980" t="s">
        <v>3171</v>
      </c>
      <c r="G980" t="s">
        <v>3172</v>
      </c>
      <c r="H980" t="s">
        <v>59</v>
      </c>
      <c r="I980" t="s">
        <v>3183</v>
      </c>
      <c r="J980" t="s">
        <v>3174</v>
      </c>
      <c r="K980" t="s">
        <v>62</v>
      </c>
      <c r="L980" t="s">
        <v>56</v>
      </c>
      <c r="M980" t="s">
        <v>56</v>
      </c>
      <c r="N980" t="s">
        <v>63</v>
      </c>
      <c r="O980" t="s">
        <v>3175</v>
      </c>
      <c r="P980" t="s">
        <v>3176</v>
      </c>
      <c r="Q980" t="s">
        <v>3177</v>
      </c>
      <c r="R980" t="s">
        <v>88</v>
      </c>
      <c r="T980">
        <v>-21027163.010000002</v>
      </c>
      <c r="U980" t="s">
        <v>68</v>
      </c>
      <c r="V980" t="s">
        <v>3178</v>
      </c>
      <c r="W980" s="9">
        <v>60602700</v>
      </c>
      <c r="X980" t="s">
        <v>3194</v>
      </c>
      <c r="Y980" s="1">
        <v>44755</v>
      </c>
      <c r="Z980" s="1">
        <v>44815</v>
      </c>
      <c r="AA980" s="2">
        <v>1411930.7</v>
      </c>
      <c r="AB980" s="2">
        <v>1196551.44</v>
      </c>
      <c r="AC980" s="2">
        <v>215379.26</v>
      </c>
      <c r="AD980" s="2">
        <v>1411930.7</v>
      </c>
      <c r="AE980" t="s">
        <v>3195</v>
      </c>
      <c r="AF980" t="s">
        <v>72</v>
      </c>
      <c r="AG980">
        <v>1263</v>
      </c>
      <c r="AH980" t="s">
        <v>473</v>
      </c>
      <c r="AI980" t="s">
        <v>74</v>
      </c>
      <c r="AJ980" t="s">
        <v>75</v>
      </c>
      <c r="AK980" t="s">
        <v>76</v>
      </c>
      <c r="AL980" t="s">
        <v>77</v>
      </c>
      <c r="AM980" t="s">
        <v>78</v>
      </c>
      <c r="AN980" t="s">
        <v>79</v>
      </c>
      <c r="AO980" t="s">
        <v>80</v>
      </c>
      <c r="AP980" t="e">
        <v>#N/A</v>
      </c>
      <c r="AQ980" t="s">
        <v>81</v>
      </c>
      <c r="AR980" t="str">
        <f t="shared" si="30"/>
        <v>60602700.STATAM</v>
      </c>
      <c r="AS980">
        <f t="shared" si="31"/>
        <v>21027163.009999998</v>
      </c>
      <c r="AT980" t="s">
        <v>82</v>
      </c>
    </row>
    <row r="981" spans="1:46" x14ac:dyDescent="0.35">
      <c r="A981" t="s">
        <v>52</v>
      </c>
      <c r="B981" t="s">
        <v>53</v>
      </c>
      <c r="C981" t="s">
        <v>54</v>
      </c>
      <c r="D981" t="s">
        <v>55</v>
      </c>
      <c r="E981" t="s">
        <v>56</v>
      </c>
      <c r="F981" t="s">
        <v>3171</v>
      </c>
      <c r="G981" t="s">
        <v>3172</v>
      </c>
      <c r="H981" t="s">
        <v>59</v>
      </c>
      <c r="I981" t="s">
        <v>3183</v>
      </c>
      <c r="J981" t="s">
        <v>3174</v>
      </c>
      <c r="K981" t="s">
        <v>62</v>
      </c>
      <c r="L981" t="s">
        <v>56</v>
      </c>
      <c r="M981" t="s">
        <v>56</v>
      </c>
      <c r="N981" t="s">
        <v>63</v>
      </c>
      <c r="O981" t="s">
        <v>3175</v>
      </c>
      <c r="P981" t="s">
        <v>3176</v>
      </c>
      <c r="Q981" t="s">
        <v>3177</v>
      </c>
      <c r="R981" t="s">
        <v>88</v>
      </c>
      <c r="T981">
        <v>-21027163.010000002</v>
      </c>
      <c r="U981" t="s">
        <v>68</v>
      </c>
      <c r="V981" t="s">
        <v>3178</v>
      </c>
      <c r="W981" s="9">
        <v>60602700</v>
      </c>
      <c r="X981" t="s">
        <v>3196</v>
      </c>
      <c r="Y981" s="1">
        <v>44781</v>
      </c>
      <c r="Z981" s="1">
        <v>44841</v>
      </c>
      <c r="AA981" s="2">
        <v>1786944.78</v>
      </c>
      <c r="AB981" s="2">
        <v>1514359.98</v>
      </c>
      <c r="AC981" s="2">
        <v>272584.8</v>
      </c>
      <c r="AD981" s="2">
        <v>1786944.78</v>
      </c>
      <c r="AE981" t="s">
        <v>3197</v>
      </c>
      <c r="AF981" t="s">
        <v>72</v>
      </c>
      <c r="AG981">
        <v>1237</v>
      </c>
      <c r="AH981" t="s">
        <v>473</v>
      </c>
      <c r="AI981" t="s">
        <v>74</v>
      </c>
      <c r="AJ981" t="s">
        <v>75</v>
      </c>
      <c r="AK981" t="s">
        <v>76</v>
      </c>
      <c r="AL981" t="s">
        <v>77</v>
      </c>
      <c r="AM981" t="s">
        <v>78</v>
      </c>
      <c r="AN981" t="s">
        <v>79</v>
      </c>
      <c r="AO981" t="s">
        <v>80</v>
      </c>
      <c r="AP981" t="e">
        <v>#N/A</v>
      </c>
      <c r="AQ981" t="s">
        <v>81</v>
      </c>
      <c r="AR981" t="str">
        <f t="shared" si="30"/>
        <v>60602700.STATAM</v>
      </c>
      <c r="AS981">
        <f t="shared" si="31"/>
        <v>21027163.009999998</v>
      </c>
      <c r="AT981" t="s">
        <v>82</v>
      </c>
    </row>
    <row r="982" spans="1:46" x14ac:dyDescent="0.35">
      <c r="A982" t="s">
        <v>52</v>
      </c>
      <c r="B982" t="s">
        <v>53</v>
      </c>
      <c r="C982" t="s">
        <v>54</v>
      </c>
      <c r="D982" t="s">
        <v>55</v>
      </c>
      <c r="E982" t="s">
        <v>56</v>
      </c>
      <c r="F982" t="s">
        <v>3171</v>
      </c>
      <c r="G982" t="s">
        <v>3172</v>
      </c>
      <c r="H982" t="s">
        <v>59</v>
      </c>
      <c r="I982" t="s">
        <v>3183</v>
      </c>
      <c r="J982" t="s">
        <v>3174</v>
      </c>
      <c r="K982" t="s">
        <v>62</v>
      </c>
      <c r="L982" t="s">
        <v>56</v>
      </c>
      <c r="M982" t="s">
        <v>56</v>
      </c>
      <c r="N982" t="s">
        <v>63</v>
      </c>
      <c r="O982" t="s">
        <v>3175</v>
      </c>
      <c r="P982" t="s">
        <v>3176</v>
      </c>
      <c r="Q982" t="s">
        <v>3177</v>
      </c>
      <c r="R982" t="s">
        <v>88</v>
      </c>
      <c r="T982">
        <v>-21027163.010000002</v>
      </c>
      <c r="U982" t="s">
        <v>68</v>
      </c>
      <c r="V982" t="s">
        <v>3178</v>
      </c>
      <c r="W982" s="9">
        <v>60602700</v>
      </c>
      <c r="X982" t="s">
        <v>3198</v>
      </c>
      <c r="Y982" s="1">
        <v>44816</v>
      </c>
      <c r="Z982" s="1">
        <v>44876</v>
      </c>
      <c r="AA982" s="2">
        <v>1441077.92</v>
      </c>
      <c r="AB982" s="2">
        <v>1221252.48</v>
      </c>
      <c r="AC982" s="2">
        <v>219825.44</v>
      </c>
      <c r="AD982" s="2">
        <v>1441077.92</v>
      </c>
      <c r="AE982" t="s">
        <v>3199</v>
      </c>
      <c r="AF982" t="s">
        <v>72</v>
      </c>
      <c r="AG982">
        <v>1202</v>
      </c>
      <c r="AH982" t="s">
        <v>473</v>
      </c>
      <c r="AI982" t="s">
        <v>74</v>
      </c>
      <c r="AJ982" t="s">
        <v>75</v>
      </c>
      <c r="AK982" t="s">
        <v>76</v>
      </c>
      <c r="AL982" t="s">
        <v>77</v>
      </c>
      <c r="AM982" t="s">
        <v>78</v>
      </c>
      <c r="AN982" t="s">
        <v>79</v>
      </c>
      <c r="AO982" t="s">
        <v>80</v>
      </c>
      <c r="AP982" t="e">
        <v>#N/A</v>
      </c>
      <c r="AQ982" t="s">
        <v>81</v>
      </c>
      <c r="AR982" t="str">
        <f t="shared" si="30"/>
        <v>60602700.STATAM</v>
      </c>
      <c r="AS982">
        <f t="shared" si="31"/>
        <v>21027163.009999998</v>
      </c>
      <c r="AT982" t="s">
        <v>82</v>
      </c>
    </row>
    <row r="983" spans="1:46" x14ac:dyDescent="0.35">
      <c r="A983" t="s">
        <v>52</v>
      </c>
      <c r="B983" t="s">
        <v>53</v>
      </c>
      <c r="C983" t="s">
        <v>54</v>
      </c>
      <c r="D983" t="s">
        <v>55</v>
      </c>
      <c r="E983" t="s">
        <v>56</v>
      </c>
      <c r="F983" t="s">
        <v>3171</v>
      </c>
      <c r="G983" t="s">
        <v>3172</v>
      </c>
      <c r="H983" t="s">
        <v>59</v>
      </c>
      <c r="I983" t="s">
        <v>3183</v>
      </c>
      <c r="J983" t="s">
        <v>3174</v>
      </c>
      <c r="K983" t="s">
        <v>62</v>
      </c>
      <c r="L983" t="s">
        <v>56</v>
      </c>
      <c r="M983" t="s">
        <v>56</v>
      </c>
      <c r="N983" t="s">
        <v>63</v>
      </c>
      <c r="O983" t="s">
        <v>3175</v>
      </c>
      <c r="P983" t="s">
        <v>3176</v>
      </c>
      <c r="Q983" t="s">
        <v>3177</v>
      </c>
      <c r="R983" t="s">
        <v>88</v>
      </c>
      <c r="T983">
        <v>-21027163.010000002</v>
      </c>
      <c r="U983" t="s">
        <v>68</v>
      </c>
      <c r="V983" t="s">
        <v>3178</v>
      </c>
      <c r="W983" s="9">
        <v>60602700</v>
      </c>
      <c r="X983" t="s">
        <v>3200</v>
      </c>
      <c r="Y983" s="1">
        <v>44844</v>
      </c>
      <c r="Z983" s="1">
        <v>44904</v>
      </c>
      <c r="AA983" s="2">
        <v>1711701.55</v>
      </c>
      <c r="AB983" s="2">
        <v>1450594.53</v>
      </c>
      <c r="AC983" s="2">
        <v>261107.02</v>
      </c>
      <c r="AD983" s="2">
        <v>1711701.55</v>
      </c>
      <c r="AE983" t="s">
        <v>3201</v>
      </c>
      <c r="AF983" t="s">
        <v>72</v>
      </c>
      <c r="AG983">
        <v>1174</v>
      </c>
      <c r="AH983" t="s">
        <v>473</v>
      </c>
      <c r="AI983" t="s">
        <v>74</v>
      </c>
      <c r="AJ983" t="s">
        <v>75</v>
      </c>
      <c r="AK983" t="s">
        <v>76</v>
      </c>
      <c r="AL983" t="s">
        <v>77</v>
      </c>
      <c r="AM983" t="s">
        <v>78</v>
      </c>
      <c r="AN983" t="s">
        <v>79</v>
      </c>
      <c r="AO983" t="s">
        <v>80</v>
      </c>
      <c r="AP983" t="e">
        <v>#N/A</v>
      </c>
      <c r="AQ983" t="s">
        <v>81</v>
      </c>
      <c r="AR983" t="str">
        <f t="shared" si="30"/>
        <v>60602700.STATAM</v>
      </c>
      <c r="AS983">
        <f t="shared" si="31"/>
        <v>21027163.009999998</v>
      </c>
      <c r="AT983" t="s">
        <v>82</v>
      </c>
    </row>
    <row r="984" spans="1:46" x14ac:dyDescent="0.35">
      <c r="A984" t="s">
        <v>52</v>
      </c>
      <c r="B984" t="s">
        <v>53</v>
      </c>
      <c r="C984" t="s">
        <v>54</v>
      </c>
      <c r="D984" t="s">
        <v>55</v>
      </c>
      <c r="E984" t="s">
        <v>56</v>
      </c>
      <c r="F984" t="s">
        <v>3171</v>
      </c>
      <c r="G984" t="s">
        <v>3172</v>
      </c>
      <c r="H984" t="s">
        <v>59</v>
      </c>
      <c r="I984" t="s">
        <v>3183</v>
      </c>
      <c r="J984" t="s">
        <v>3174</v>
      </c>
      <c r="K984" t="s">
        <v>62</v>
      </c>
      <c r="L984" t="s">
        <v>56</v>
      </c>
      <c r="M984" t="s">
        <v>56</v>
      </c>
      <c r="N984" t="s">
        <v>63</v>
      </c>
      <c r="O984" t="s">
        <v>3175</v>
      </c>
      <c r="P984" t="s">
        <v>3176</v>
      </c>
      <c r="Q984" t="s">
        <v>3177</v>
      </c>
      <c r="R984" t="s">
        <v>88</v>
      </c>
      <c r="T984">
        <v>-21027163.010000002</v>
      </c>
      <c r="U984" t="s">
        <v>68</v>
      </c>
      <c r="V984" t="s">
        <v>3178</v>
      </c>
      <c r="W984" s="9">
        <v>60602700</v>
      </c>
      <c r="X984" t="s">
        <v>3202</v>
      </c>
      <c r="Y984" s="1">
        <v>44875</v>
      </c>
      <c r="Z984" s="1">
        <v>44935</v>
      </c>
      <c r="AA984" s="2">
        <v>1925822.3</v>
      </c>
      <c r="AB984" s="2">
        <v>1632052.8</v>
      </c>
      <c r="AC984" s="2">
        <v>293769.5</v>
      </c>
      <c r="AD984" s="2">
        <v>1925822.3</v>
      </c>
      <c r="AE984" t="s">
        <v>3203</v>
      </c>
      <c r="AF984" t="s">
        <v>72</v>
      </c>
      <c r="AG984">
        <v>1143</v>
      </c>
      <c r="AH984" t="s">
        <v>473</v>
      </c>
      <c r="AI984" t="s">
        <v>74</v>
      </c>
      <c r="AJ984" t="s">
        <v>75</v>
      </c>
      <c r="AK984" t="s">
        <v>76</v>
      </c>
      <c r="AL984" t="s">
        <v>77</v>
      </c>
      <c r="AM984" t="s">
        <v>78</v>
      </c>
      <c r="AN984" t="s">
        <v>79</v>
      </c>
      <c r="AO984" t="s">
        <v>80</v>
      </c>
      <c r="AP984" t="e">
        <v>#N/A</v>
      </c>
      <c r="AQ984" t="s">
        <v>81</v>
      </c>
      <c r="AR984" t="str">
        <f t="shared" si="30"/>
        <v>60602700.STATAM</v>
      </c>
      <c r="AS984">
        <f t="shared" si="31"/>
        <v>21027163.009999998</v>
      </c>
      <c r="AT984" t="s">
        <v>82</v>
      </c>
    </row>
    <row r="985" spans="1:46" x14ac:dyDescent="0.35">
      <c r="A985" t="s">
        <v>52</v>
      </c>
      <c r="B985" t="s">
        <v>53</v>
      </c>
      <c r="C985" t="s">
        <v>54</v>
      </c>
      <c r="D985" t="s">
        <v>55</v>
      </c>
      <c r="E985" t="s">
        <v>56</v>
      </c>
      <c r="F985" t="s">
        <v>3171</v>
      </c>
      <c r="G985" t="s">
        <v>3172</v>
      </c>
      <c r="H985" t="s">
        <v>59</v>
      </c>
      <c r="I985" t="s">
        <v>3183</v>
      </c>
      <c r="J985" t="s">
        <v>3174</v>
      </c>
      <c r="K985" t="s">
        <v>62</v>
      </c>
      <c r="L985" t="s">
        <v>56</v>
      </c>
      <c r="M985" t="s">
        <v>56</v>
      </c>
      <c r="N985" t="s">
        <v>63</v>
      </c>
      <c r="O985" t="s">
        <v>3175</v>
      </c>
      <c r="P985" t="s">
        <v>3176</v>
      </c>
      <c r="Q985" t="s">
        <v>3177</v>
      </c>
      <c r="R985" t="s">
        <v>88</v>
      </c>
      <c r="T985">
        <v>-21027163.010000002</v>
      </c>
      <c r="U985" t="s">
        <v>68</v>
      </c>
      <c r="V985" t="s">
        <v>3178</v>
      </c>
      <c r="W985" s="9">
        <v>60602700</v>
      </c>
      <c r="X985" t="s">
        <v>3204</v>
      </c>
      <c r="Y985" s="1">
        <v>44907</v>
      </c>
      <c r="Z985" s="1">
        <v>44967</v>
      </c>
      <c r="AA985" s="2">
        <v>1769124.73</v>
      </c>
      <c r="AB985" s="2">
        <v>1499258.25</v>
      </c>
      <c r="AC985" s="2">
        <v>269866.48</v>
      </c>
      <c r="AD985" s="2">
        <v>1769124.73</v>
      </c>
      <c r="AE985" t="s">
        <v>3205</v>
      </c>
      <c r="AF985" t="s">
        <v>72</v>
      </c>
      <c r="AG985">
        <v>1111</v>
      </c>
      <c r="AH985" t="s">
        <v>473</v>
      </c>
      <c r="AI985" t="s">
        <v>74</v>
      </c>
      <c r="AJ985" t="s">
        <v>75</v>
      </c>
      <c r="AK985" t="s">
        <v>76</v>
      </c>
      <c r="AL985" t="s">
        <v>77</v>
      </c>
      <c r="AM985" t="s">
        <v>78</v>
      </c>
      <c r="AN985" t="s">
        <v>79</v>
      </c>
      <c r="AO985" t="s">
        <v>80</v>
      </c>
      <c r="AP985" t="e">
        <v>#N/A</v>
      </c>
      <c r="AQ985" t="s">
        <v>81</v>
      </c>
      <c r="AR985" t="str">
        <f t="shared" si="30"/>
        <v>60602700.STATAM</v>
      </c>
      <c r="AS985">
        <f t="shared" si="31"/>
        <v>21027163.009999998</v>
      </c>
      <c r="AT985" t="s">
        <v>82</v>
      </c>
    </row>
    <row r="986" spans="1:46" x14ac:dyDescent="0.35">
      <c r="A986" t="s">
        <v>52</v>
      </c>
      <c r="B986" t="s">
        <v>53</v>
      </c>
      <c r="C986" t="s">
        <v>54</v>
      </c>
      <c r="D986" t="s">
        <v>55</v>
      </c>
      <c r="E986" t="s">
        <v>56</v>
      </c>
      <c r="F986" t="s">
        <v>3171</v>
      </c>
      <c r="G986" t="s">
        <v>3172</v>
      </c>
      <c r="H986" t="s">
        <v>59</v>
      </c>
      <c r="I986" t="s">
        <v>3183</v>
      </c>
      <c r="J986" t="s">
        <v>3174</v>
      </c>
      <c r="K986" t="s">
        <v>62</v>
      </c>
      <c r="L986" t="s">
        <v>56</v>
      </c>
      <c r="M986" t="s">
        <v>56</v>
      </c>
      <c r="N986" t="s">
        <v>63</v>
      </c>
      <c r="O986" t="s">
        <v>3175</v>
      </c>
      <c r="P986" t="s">
        <v>3176</v>
      </c>
      <c r="Q986" t="s">
        <v>3177</v>
      </c>
      <c r="R986" t="s">
        <v>88</v>
      </c>
      <c r="T986">
        <v>-21027163.010000002</v>
      </c>
      <c r="U986" t="s">
        <v>68</v>
      </c>
      <c r="V986" t="s">
        <v>3178</v>
      </c>
      <c r="W986" s="9">
        <v>60602700</v>
      </c>
      <c r="X986" t="s">
        <v>3206</v>
      </c>
      <c r="Y986" s="1">
        <v>44937</v>
      </c>
      <c r="Z986" s="1">
        <v>44997</v>
      </c>
      <c r="AA986" s="2">
        <v>1388859.29</v>
      </c>
      <c r="AB986" s="2">
        <v>1176999.3899999999</v>
      </c>
      <c r="AC986" s="2">
        <v>211859.9</v>
      </c>
      <c r="AD986" s="2">
        <v>1388859.29</v>
      </c>
      <c r="AE986" t="s">
        <v>3207</v>
      </c>
      <c r="AF986" t="s">
        <v>72</v>
      </c>
      <c r="AG986">
        <v>1081</v>
      </c>
      <c r="AH986" t="s">
        <v>473</v>
      </c>
      <c r="AI986" t="s">
        <v>74</v>
      </c>
      <c r="AJ986" t="s">
        <v>75</v>
      </c>
      <c r="AK986" t="s">
        <v>76</v>
      </c>
      <c r="AL986" t="s">
        <v>77</v>
      </c>
      <c r="AM986" t="s">
        <v>78</v>
      </c>
      <c r="AN986" t="s">
        <v>79</v>
      </c>
      <c r="AO986" t="s">
        <v>80</v>
      </c>
      <c r="AP986" t="e">
        <v>#N/A</v>
      </c>
      <c r="AQ986" t="s">
        <v>81</v>
      </c>
      <c r="AR986" t="str">
        <f t="shared" si="30"/>
        <v>60602700.STATAM</v>
      </c>
      <c r="AS986">
        <f t="shared" si="31"/>
        <v>21027163.009999998</v>
      </c>
      <c r="AT986" t="s">
        <v>82</v>
      </c>
    </row>
    <row r="987" spans="1:46" x14ac:dyDescent="0.35">
      <c r="A987" t="s">
        <v>52</v>
      </c>
      <c r="B987" t="s">
        <v>53</v>
      </c>
      <c r="C987" t="s">
        <v>54</v>
      </c>
      <c r="D987" t="s">
        <v>55</v>
      </c>
      <c r="E987" t="s">
        <v>56</v>
      </c>
      <c r="F987" t="s">
        <v>3171</v>
      </c>
      <c r="G987" t="s">
        <v>3172</v>
      </c>
      <c r="H987" t="s">
        <v>59</v>
      </c>
      <c r="I987" t="s">
        <v>3183</v>
      </c>
      <c r="J987" t="s">
        <v>3174</v>
      </c>
      <c r="K987" t="s">
        <v>62</v>
      </c>
      <c r="L987" t="s">
        <v>56</v>
      </c>
      <c r="M987" t="s">
        <v>56</v>
      </c>
      <c r="N987" t="s">
        <v>63</v>
      </c>
      <c r="O987" t="s">
        <v>3175</v>
      </c>
      <c r="P987" t="s">
        <v>3176</v>
      </c>
      <c r="Q987" t="s">
        <v>3177</v>
      </c>
      <c r="R987" t="s">
        <v>88</v>
      </c>
      <c r="T987">
        <v>-21027163.010000002</v>
      </c>
      <c r="U987" t="s">
        <v>68</v>
      </c>
      <c r="V987" t="s">
        <v>3178</v>
      </c>
      <c r="W987" s="9">
        <v>60602700</v>
      </c>
      <c r="X987" t="s">
        <v>3208</v>
      </c>
      <c r="Y987" s="1">
        <v>44960</v>
      </c>
      <c r="Z987" s="1">
        <v>45020</v>
      </c>
      <c r="AA987" s="2">
        <v>1651028.96</v>
      </c>
      <c r="AB987" s="2">
        <v>1399177.08</v>
      </c>
      <c r="AC987" s="2">
        <v>251851.88</v>
      </c>
      <c r="AD987" s="2">
        <v>1651028.96</v>
      </c>
      <c r="AE987" t="s">
        <v>3209</v>
      </c>
      <c r="AF987" t="s">
        <v>72</v>
      </c>
      <c r="AG987">
        <v>1058</v>
      </c>
      <c r="AH987" t="s">
        <v>473</v>
      </c>
      <c r="AI987" t="s">
        <v>74</v>
      </c>
      <c r="AJ987" t="s">
        <v>75</v>
      </c>
      <c r="AK987" t="s">
        <v>76</v>
      </c>
      <c r="AL987" t="s">
        <v>77</v>
      </c>
      <c r="AM987" t="s">
        <v>78</v>
      </c>
      <c r="AN987" t="s">
        <v>79</v>
      </c>
      <c r="AO987" t="s">
        <v>80</v>
      </c>
      <c r="AP987" t="e">
        <v>#N/A</v>
      </c>
      <c r="AQ987" t="s">
        <v>81</v>
      </c>
      <c r="AR987" t="str">
        <f t="shared" si="30"/>
        <v>60602700.STATAM</v>
      </c>
      <c r="AS987">
        <f t="shared" si="31"/>
        <v>21027163.009999998</v>
      </c>
      <c r="AT987" t="s">
        <v>82</v>
      </c>
    </row>
    <row r="988" spans="1:46" x14ac:dyDescent="0.35">
      <c r="A988" t="s">
        <v>52</v>
      </c>
      <c r="B988" t="s">
        <v>53</v>
      </c>
      <c r="C988" t="s">
        <v>54</v>
      </c>
      <c r="D988" t="s">
        <v>55</v>
      </c>
      <c r="E988" t="s">
        <v>56</v>
      </c>
      <c r="F988" t="s">
        <v>3210</v>
      </c>
      <c r="G988" t="s">
        <v>3211</v>
      </c>
      <c r="H988" t="s">
        <v>56</v>
      </c>
      <c r="I988" t="s">
        <v>3212</v>
      </c>
      <c r="J988" t="s">
        <v>476</v>
      </c>
      <c r="K988" t="s">
        <v>62</v>
      </c>
      <c r="L988" t="s">
        <v>56</v>
      </c>
      <c r="M988" t="s">
        <v>56</v>
      </c>
      <c r="N988" t="s">
        <v>477</v>
      </c>
      <c r="O988" t="s">
        <v>974</v>
      </c>
      <c r="P988" t="s">
        <v>975</v>
      </c>
      <c r="Q988" t="s">
        <v>114</v>
      </c>
      <c r="R988" t="s">
        <v>248</v>
      </c>
      <c r="S988">
        <v>5000000</v>
      </c>
      <c r="T988">
        <v>4916062.22</v>
      </c>
      <c r="U988" t="s">
        <v>68</v>
      </c>
      <c r="V988" t="s">
        <v>3213</v>
      </c>
      <c r="W988" s="9">
        <v>60603036</v>
      </c>
      <c r="X988" t="s">
        <v>3214</v>
      </c>
      <c r="Y988" s="1">
        <v>46006</v>
      </c>
      <c r="Z988" s="1">
        <v>46066</v>
      </c>
      <c r="AA988" s="2">
        <v>79575.66</v>
      </c>
      <c r="AB988" s="2">
        <v>67437</v>
      </c>
      <c r="AC988" s="2">
        <v>12138.66</v>
      </c>
      <c r="AD988" s="2">
        <v>73428.7</v>
      </c>
      <c r="AE988" t="s">
        <v>3215</v>
      </c>
      <c r="AF988" t="s">
        <v>72</v>
      </c>
      <c r="AG988">
        <v>12</v>
      </c>
      <c r="AH988" t="s">
        <v>73</v>
      </c>
      <c r="AI988" t="s">
        <v>74</v>
      </c>
      <c r="AJ988" t="s">
        <v>237</v>
      </c>
      <c r="AK988" t="s">
        <v>383</v>
      </c>
      <c r="AL988" t="s">
        <v>77</v>
      </c>
      <c r="AM988" t="s">
        <v>78</v>
      </c>
      <c r="AN988" t="s">
        <v>979</v>
      </c>
      <c r="AO988" t="s">
        <v>80</v>
      </c>
      <c r="AP988" t="e">
        <v>#N/A</v>
      </c>
      <c r="AQ988" t="s">
        <v>383</v>
      </c>
      <c r="AR988" t="str">
        <f t="shared" si="30"/>
        <v>60603036.MOBILAM</v>
      </c>
      <c r="AS988">
        <f t="shared" si="31"/>
        <v>83937.78</v>
      </c>
      <c r="AT988" t="s">
        <v>82</v>
      </c>
    </row>
    <row r="989" spans="1:46" x14ac:dyDescent="0.35">
      <c r="A989" t="s">
        <v>52</v>
      </c>
      <c r="B989" t="s">
        <v>53</v>
      </c>
      <c r="C989" t="s">
        <v>54</v>
      </c>
      <c r="D989" t="s">
        <v>55</v>
      </c>
      <c r="E989" t="s">
        <v>56</v>
      </c>
      <c r="F989" t="s">
        <v>3210</v>
      </c>
      <c r="G989" t="s">
        <v>3211</v>
      </c>
      <c r="H989" t="s">
        <v>56</v>
      </c>
      <c r="I989" t="s">
        <v>3216</v>
      </c>
      <c r="J989" t="s">
        <v>476</v>
      </c>
      <c r="K989" t="s">
        <v>62</v>
      </c>
      <c r="L989" t="s">
        <v>56</v>
      </c>
      <c r="M989" t="s">
        <v>56</v>
      </c>
      <c r="N989" t="s">
        <v>477</v>
      </c>
      <c r="O989" t="s">
        <v>974</v>
      </c>
      <c r="P989" t="s">
        <v>975</v>
      </c>
      <c r="Q989" t="s">
        <v>114</v>
      </c>
      <c r="R989" t="s">
        <v>248</v>
      </c>
      <c r="S989">
        <v>5000000</v>
      </c>
      <c r="T989">
        <v>4916062.22</v>
      </c>
      <c r="U989" t="s">
        <v>68</v>
      </c>
      <c r="V989" t="s">
        <v>3213</v>
      </c>
      <c r="W989" s="9">
        <v>60603036</v>
      </c>
      <c r="X989" t="s">
        <v>3217</v>
      </c>
      <c r="Y989" s="1">
        <v>46007</v>
      </c>
      <c r="Z989" s="1">
        <v>46067</v>
      </c>
      <c r="AA989" s="2">
        <v>10509.08</v>
      </c>
      <c r="AB989" s="2">
        <v>8906</v>
      </c>
      <c r="AC989" s="2">
        <v>1603.08</v>
      </c>
      <c r="AD989" s="2">
        <v>10509.08</v>
      </c>
      <c r="AE989" t="s">
        <v>3218</v>
      </c>
      <c r="AF989" t="s">
        <v>72</v>
      </c>
      <c r="AG989">
        <v>11</v>
      </c>
      <c r="AH989" t="s">
        <v>73</v>
      </c>
      <c r="AI989" t="s">
        <v>74</v>
      </c>
      <c r="AJ989" t="s">
        <v>237</v>
      </c>
      <c r="AK989" t="s">
        <v>383</v>
      </c>
      <c r="AL989" t="s">
        <v>77</v>
      </c>
      <c r="AM989" t="s">
        <v>78</v>
      </c>
      <c r="AN989" t="s">
        <v>979</v>
      </c>
      <c r="AO989" t="s">
        <v>80</v>
      </c>
      <c r="AP989" t="e">
        <v>#N/A</v>
      </c>
      <c r="AQ989" t="s">
        <v>383</v>
      </c>
      <c r="AR989" t="str">
        <f t="shared" si="30"/>
        <v>60603036.MOBILAM</v>
      </c>
      <c r="AS989">
        <f t="shared" si="31"/>
        <v>83937.78</v>
      </c>
      <c r="AT989" t="s">
        <v>82</v>
      </c>
    </row>
    <row r="990" spans="1:46" x14ac:dyDescent="0.35">
      <c r="A990" t="s">
        <v>52</v>
      </c>
      <c r="B990" t="s">
        <v>53</v>
      </c>
      <c r="C990" t="s">
        <v>621</v>
      </c>
      <c r="D990" t="s">
        <v>55</v>
      </c>
      <c r="E990" t="s">
        <v>56</v>
      </c>
      <c r="F990" t="s">
        <v>3219</v>
      </c>
      <c r="G990" t="s">
        <v>56</v>
      </c>
      <c r="H990" t="s">
        <v>56</v>
      </c>
      <c r="I990" t="s">
        <v>3220</v>
      </c>
      <c r="J990" t="s">
        <v>61</v>
      </c>
      <c r="K990" t="s">
        <v>62</v>
      </c>
      <c r="L990" t="s">
        <v>56</v>
      </c>
      <c r="M990" t="s">
        <v>56</v>
      </c>
      <c r="N990" t="s">
        <v>624</v>
      </c>
      <c r="O990" t="s">
        <v>406</v>
      </c>
      <c r="P990" t="s">
        <v>407</v>
      </c>
      <c r="Q990" t="s">
        <v>87</v>
      </c>
      <c r="R990" t="s">
        <v>88</v>
      </c>
      <c r="T990">
        <v>2007.28</v>
      </c>
      <c r="U990" t="s">
        <v>68</v>
      </c>
      <c r="V990" t="s">
        <v>3221</v>
      </c>
      <c r="W990" s="9">
        <v>60604258</v>
      </c>
      <c r="X990" t="s">
        <v>3222</v>
      </c>
      <c r="Y990" s="1">
        <v>45919</v>
      </c>
      <c r="Z990" s="1">
        <v>45919</v>
      </c>
      <c r="AA990" s="2">
        <v>-6400</v>
      </c>
      <c r="AB990" s="2">
        <v>-6400</v>
      </c>
      <c r="AC990" s="2">
        <v>0</v>
      </c>
      <c r="AD990" s="2">
        <v>-2007.28</v>
      </c>
      <c r="AE990" t="s">
        <v>3223</v>
      </c>
      <c r="AF990" t="s">
        <v>72</v>
      </c>
      <c r="AG990">
        <v>159</v>
      </c>
      <c r="AH990" t="s">
        <v>91</v>
      </c>
      <c r="AI990" t="s">
        <v>74</v>
      </c>
      <c r="AJ990" t="s">
        <v>75</v>
      </c>
      <c r="AK990" t="s">
        <v>76</v>
      </c>
      <c r="AL990" t="s">
        <v>77</v>
      </c>
      <c r="AM990" t="s">
        <v>78</v>
      </c>
      <c r="AN990" t="s">
        <v>104</v>
      </c>
      <c r="AO990" t="s">
        <v>80</v>
      </c>
      <c r="AP990" t="e">
        <v>#N/A</v>
      </c>
      <c r="AQ990" t="s">
        <v>81</v>
      </c>
      <c r="AR990" t="str">
        <f t="shared" si="30"/>
        <v>60604258.STATAM</v>
      </c>
      <c r="AS990">
        <f t="shared" si="31"/>
        <v>-2007.28</v>
      </c>
      <c r="AT990" t="s">
        <v>93</v>
      </c>
    </row>
    <row r="991" spans="1:46" x14ac:dyDescent="0.35">
      <c r="A991" t="s">
        <v>52</v>
      </c>
      <c r="B991" t="s">
        <v>53</v>
      </c>
      <c r="C991" t="s">
        <v>54</v>
      </c>
      <c r="D991" t="s">
        <v>55</v>
      </c>
      <c r="E991" t="s">
        <v>56</v>
      </c>
      <c r="F991" t="s">
        <v>3224</v>
      </c>
      <c r="G991" t="s">
        <v>3225</v>
      </c>
      <c r="H991" t="s">
        <v>59</v>
      </c>
      <c r="I991" t="s">
        <v>3226</v>
      </c>
      <c r="J991" t="s">
        <v>61</v>
      </c>
      <c r="K991" t="s">
        <v>62</v>
      </c>
      <c r="L991" t="s">
        <v>56</v>
      </c>
      <c r="M991" t="s">
        <v>56</v>
      </c>
      <c r="N991" t="s">
        <v>377</v>
      </c>
      <c r="O991" t="s">
        <v>245</v>
      </c>
      <c r="P991" t="s">
        <v>246</v>
      </c>
      <c r="Q991" t="s">
        <v>3227</v>
      </c>
      <c r="R991" t="s">
        <v>379</v>
      </c>
      <c r="T991">
        <v>-1867888.09</v>
      </c>
      <c r="U991" t="s">
        <v>68</v>
      </c>
      <c r="V991" t="s">
        <v>3228</v>
      </c>
      <c r="W991" s="9">
        <v>60603745</v>
      </c>
      <c r="X991" t="s">
        <v>3229</v>
      </c>
      <c r="Y991" s="1">
        <v>46048</v>
      </c>
      <c r="Z991" s="1">
        <v>46093</v>
      </c>
      <c r="AA991" s="2">
        <v>1137677.22</v>
      </c>
      <c r="AB991" s="2">
        <v>964133.24</v>
      </c>
      <c r="AC991" s="2">
        <v>173543.98</v>
      </c>
      <c r="AD991" s="2">
        <v>945743.92</v>
      </c>
      <c r="AE991" t="s">
        <v>3230</v>
      </c>
      <c r="AF991" t="s">
        <v>72</v>
      </c>
      <c r="AG991">
        <v>-15</v>
      </c>
      <c r="AH991" t="s">
        <v>117</v>
      </c>
      <c r="AI991" t="s">
        <v>74</v>
      </c>
      <c r="AJ991" t="s">
        <v>237</v>
      </c>
      <c r="AK991" t="s">
        <v>383</v>
      </c>
      <c r="AL991" t="s">
        <v>118</v>
      </c>
      <c r="AM991" t="s">
        <v>78</v>
      </c>
      <c r="AN991" t="s">
        <v>239</v>
      </c>
      <c r="AO991" t="s">
        <v>119</v>
      </c>
      <c r="AP991" t="e">
        <v>#N/A</v>
      </c>
      <c r="AQ991" t="s">
        <v>383</v>
      </c>
      <c r="AR991" t="str">
        <f t="shared" si="30"/>
        <v>60603745.MOBILAM</v>
      </c>
      <c r="AS991">
        <f t="shared" si="31"/>
        <v>1867888.09</v>
      </c>
      <c r="AT991" t="s">
        <v>82</v>
      </c>
    </row>
    <row r="992" spans="1:46" x14ac:dyDescent="0.35">
      <c r="A992" t="s">
        <v>52</v>
      </c>
      <c r="B992" t="s">
        <v>53</v>
      </c>
      <c r="C992" t="s">
        <v>54</v>
      </c>
      <c r="D992" t="s">
        <v>55</v>
      </c>
      <c r="E992" t="s">
        <v>56</v>
      </c>
      <c r="F992" t="s">
        <v>3224</v>
      </c>
      <c r="G992" t="s">
        <v>3225</v>
      </c>
      <c r="H992" t="s">
        <v>59</v>
      </c>
      <c r="I992" t="s">
        <v>3226</v>
      </c>
      <c r="J992" t="s">
        <v>61</v>
      </c>
      <c r="K992" t="s">
        <v>62</v>
      </c>
      <c r="L992" t="s">
        <v>56</v>
      </c>
      <c r="M992" t="s">
        <v>56</v>
      </c>
      <c r="N992" t="s">
        <v>377</v>
      </c>
      <c r="O992" t="s">
        <v>245</v>
      </c>
      <c r="P992" t="s">
        <v>246</v>
      </c>
      <c r="Q992" t="s">
        <v>3227</v>
      </c>
      <c r="R992" t="s">
        <v>379</v>
      </c>
      <c r="T992">
        <v>-1867888.09</v>
      </c>
      <c r="U992" t="s">
        <v>68</v>
      </c>
      <c r="V992" t="s">
        <v>3228</v>
      </c>
      <c r="W992" s="9">
        <v>60603745</v>
      </c>
      <c r="X992" t="s">
        <v>3231</v>
      </c>
      <c r="Y992" s="1">
        <v>46071</v>
      </c>
      <c r="Z992" s="1">
        <v>46116</v>
      </c>
      <c r="AA992" s="2">
        <v>922144.17</v>
      </c>
      <c r="AB992" s="2">
        <v>781478.11</v>
      </c>
      <c r="AC992" s="2">
        <v>140666.06</v>
      </c>
      <c r="AD992" s="2">
        <v>922144.17</v>
      </c>
      <c r="AE992" t="s">
        <v>3232</v>
      </c>
      <c r="AF992" t="s">
        <v>72</v>
      </c>
      <c r="AG992">
        <v>-38</v>
      </c>
      <c r="AH992" t="s">
        <v>117</v>
      </c>
      <c r="AI992" t="s">
        <v>74</v>
      </c>
      <c r="AJ992" t="s">
        <v>237</v>
      </c>
      <c r="AK992" t="s">
        <v>383</v>
      </c>
      <c r="AL992" t="s">
        <v>118</v>
      </c>
      <c r="AM992" t="s">
        <v>78</v>
      </c>
      <c r="AN992" t="s">
        <v>239</v>
      </c>
      <c r="AO992" t="s">
        <v>119</v>
      </c>
      <c r="AP992" t="e">
        <v>#N/A</v>
      </c>
      <c r="AQ992" t="s">
        <v>383</v>
      </c>
      <c r="AR992" t="str">
        <f t="shared" si="30"/>
        <v>60603745.MOBILAM</v>
      </c>
      <c r="AS992">
        <f t="shared" si="31"/>
        <v>1867888.09</v>
      </c>
      <c r="AT992" t="s">
        <v>82</v>
      </c>
    </row>
    <row r="993" spans="1:46" x14ac:dyDescent="0.35">
      <c r="A993" t="s">
        <v>52</v>
      </c>
      <c r="B993" t="s">
        <v>53</v>
      </c>
      <c r="C993" t="s">
        <v>621</v>
      </c>
      <c r="D993" t="s">
        <v>55</v>
      </c>
      <c r="E993" t="s">
        <v>56</v>
      </c>
      <c r="F993" t="s">
        <v>3233</v>
      </c>
      <c r="G993" t="s">
        <v>56</v>
      </c>
      <c r="H993" t="s">
        <v>56</v>
      </c>
      <c r="I993" t="s">
        <v>3234</v>
      </c>
      <c r="J993" t="s">
        <v>61</v>
      </c>
      <c r="K993" t="s">
        <v>62</v>
      </c>
      <c r="L993" t="s">
        <v>56</v>
      </c>
      <c r="M993" t="s">
        <v>56</v>
      </c>
      <c r="N993" t="s">
        <v>624</v>
      </c>
      <c r="O993" t="s">
        <v>1416</v>
      </c>
      <c r="P993" t="s">
        <v>1417</v>
      </c>
      <c r="Q993" t="s">
        <v>87</v>
      </c>
      <c r="R993" t="s">
        <v>88</v>
      </c>
      <c r="T993">
        <v>1652.61</v>
      </c>
      <c r="U993" t="s">
        <v>68</v>
      </c>
      <c r="V993" t="s">
        <v>3235</v>
      </c>
      <c r="W993" s="9">
        <v>60604198</v>
      </c>
      <c r="X993" t="s">
        <v>3236</v>
      </c>
      <c r="Y993" s="1">
        <v>45702</v>
      </c>
      <c r="Z993" s="1">
        <v>45702</v>
      </c>
      <c r="AA993" s="2">
        <v>-145735</v>
      </c>
      <c r="AB993" s="2">
        <v>-145735</v>
      </c>
      <c r="AC993" s="2">
        <v>0</v>
      </c>
      <c r="AD993" s="2">
        <v>-1652.61</v>
      </c>
      <c r="AE993" t="s">
        <v>3237</v>
      </c>
      <c r="AF993" t="s">
        <v>72</v>
      </c>
      <c r="AG993">
        <v>376</v>
      </c>
      <c r="AH993" t="s">
        <v>473</v>
      </c>
      <c r="AI993" t="s">
        <v>74</v>
      </c>
      <c r="AJ993" t="s">
        <v>75</v>
      </c>
      <c r="AK993" t="s">
        <v>76</v>
      </c>
      <c r="AL993" t="s">
        <v>77</v>
      </c>
      <c r="AM993" t="s">
        <v>78</v>
      </c>
      <c r="AN993" t="s">
        <v>92</v>
      </c>
      <c r="AO993" t="s">
        <v>80</v>
      </c>
      <c r="AP993" t="e">
        <v>#N/A</v>
      </c>
      <c r="AQ993" t="s">
        <v>81</v>
      </c>
      <c r="AR993" t="str">
        <f t="shared" si="30"/>
        <v>60604198.STATAM</v>
      </c>
      <c r="AS993">
        <f t="shared" si="31"/>
        <v>-1652.61</v>
      </c>
      <c r="AT993" t="s">
        <v>93</v>
      </c>
    </row>
    <row r="994" spans="1:46" x14ac:dyDescent="0.35">
      <c r="A994" t="s">
        <v>52</v>
      </c>
      <c r="B994" t="s">
        <v>53</v>
      </c>
      <c r="C994" t="s">
        <v>54</v>
      </c>
      <c r="D994" t="s">
        <v>55</v>
      </c>
      <c r="E994" t="s">
        <v>56</v>
      </c>
      <c r="F994" t="s">
        <v>3238</v>
      </c>
      <c r="G994" t="s">
        <v>3239</v>
      </c>
      <c r="H994" t="s">
        <v>59</v>
      </c>
      <c r="I994" t="s">
        <v>3240</v>
      </c>
      <c r="J994" t="s">
        <v>61</v>
      </c>
      <c r="K994" t="s">
        <v>62</v>
      </c>
      <c r="L994" t="s">
        <v>56</v>
      </c>
      <c r="M994" t="s">
        <v>56</v>
      </c>
      <c r="N994" t="s">
        <v>63</v>
      </c>
      <c r="O994" t="s">
        <v>222</v>
      </c>
      <c r="P994" t="s">
        <v>223</v>
      </c>
      <c r="Q994" t="s">
        <v>3241</v>
      </c>
      <c r="R994" t="s">
        <v>248</v>
      </c>
      <c r="T994">
        <v>-1517027.78</v>
      </c>
      <c r="U994" t="s">
        <v>68</v>
      </c>
      <c r="V994" t="s">
        <v>3242</v>
      </c>
      <c r="W994" s="9">
        <v>60603922</v>
      </c>
      <c r="X994" t="s">
        <v>3243</v>
      </c>
      <c r="Y994" s="1">
        <v>46052</v>
      </c>
      <c r="Z994" s="1">
        <v>46112</v>
      </c>
      <c r="AA994" s="2">
        <v>1178145.6000000001</v>
      </c>
      <c r="AB994" s="2">
        <v>998428.48</v>
      </c>
      <c r="AC994" s="2">
        <v>179717.12</v>
      </c>
      <c r="AD994" s="2">
        <v>178145.6</v>
      </c>
      <c r="AE994" t="s">
        <v>3244</v>
      </c>
      <c r="AF994" t="s">
        <v>72</v>
      </c>
      <c r="AG994">
        <v>-34</v>
      </c>
      <c r="AH994" t="s">
        <v>117</v>
      </c>
      <c r="AI994" t="s">
        <v>74</v>
      </c>
      <c r="AJ994" t="s">
        <v>75</v>
      </c>
      <c r="AK994" t="s">
        <v>76</v>
      </c>
      <c r="AL994" t="s">
        <v>118</v>
      </c>
      <c r="AM994" t="s">
        <v>78</v>
      </c>
      <c r="AN994" t="s">
        <v>104</v>
      </c>
      <c r="AO994" t="s">
        <v>119</v>
      </c>
      <c r="AP994" t="e">
        <v>#N/A</v>
      </c>
      <c r="AQ994" t="s">
        <v>81</v>
      </c>
      <c r="AR994" t="str">
        <f t="shared" si="30"/>
        <v>60603922.STATAM</v>
      </c>
      <c r="AS994">
        <f t="shared" si="31"/>
        <v>1517027.78</v>
      </c>
      <c r="AT994" t="s">
        <v>82</v>
      </c>
    </row>
    <row r="995" spans="1:46" x14ac:dyDescent="0.35">
      <c r="A995" t="s">
        <v>52</v>
      </c>
      <c r="B995" t="s">
        <v>53</v>
      </c>
      <c r="C995" t="s">
        <v>54</v>
      </c>
      <c r="D995" t="s">
        <v>55</v>
      </c>
      <c r="E995" t="s">
        <v>56</v>
      </c>
      <c r="F995" t="s">
        <v>3238</v>
      </c>
      <c r="G995" t="s">
        <v>3239</v>
      </c>
      <c r="H995" t="s">
        <v>59</v>
      </c>
      <c r="I995" t="s">
        <v>3240</v>
      </c>
      <c r="J995" t="s">
        <v>61</v>
      </c>
      <c r="K995" t="s">
        <v>62</v>
      </c>
      <c r="L995" t="s">
        <v>56</v>
      </c>
      <c r="M995" t="s">
        <v>56</v>
      </c>
      <c r="N995" t="s">
        <v>63</v>
      </c>
      <c r="O995" t="s">
        <v>222</v>
      </c>
      <c r="P995" t="s">
        <v>223</v>
      </c>
      <c r="Q995" t="s">
        <v>3241</v>
      </c>
      <c r="R995" t="s">
        <v>248</v>
      </c>
      <c r="T995">
        <v>-1517027.78</v>
      </c>
      <c r="U995" t="s">
        <v>68</v>
      </c>
      <c r="V995" t="s">
        <v>3242</v>
      </c>
      <c r="W995" s="9">
        <v>60603922</v>
      </c>
      <c r="X995" t="s">
        <v>3245</v>
      </c>
      <c r="Y995" s="1">
        <v>46076</v>
      </c>
      <c r="Z995" s="1">
        <v>46136</v>
      </c>
      <c r="AA995" s="2">
        <v>1338882.18</v>
      </c>
      <c r="AB995" s="2">
        <v>1134645.92</v>
      </c>
      <c r="AC995" s="2">
        <v>204236.26</v>
      </c>
      <c r="AD995" s="2">
        <v>1338882.18</v>
      </c>
      <c r="AE995" t="s">
        <v>3246</v>
      </c>
      <c r="AF995" t="s">
        <v>72</v>
      </c>
      <c r="AG995">
        <v>-58</v>
      </c>
      <c r="AH995" t="s">
        <v>117</v>
      </c>
      <c r="AI995" t="s">
        <v>74</v>
      </c>
      <c r="AJ995" t="s">
        <v>75</v>
      </c>
      <c r="AK995" t="s">
        <v>76</v>
      </c>
      <c r="AL995" t="s">
        <v>118</v>
      </c>
      <c r="AM995" t="s">
        <v>78</v>
      </c>
      <c r="AN995" t="s">
        <v>104</v>
      </c>
      <c r="AO995" t="s">
        <v>119</v>
      </c>
      <c r="AP995" t="e">
        <v>#N/A</v>
      </c>
      <c r="AQ995" t="s">
        <v>81</v>
      </c>
      <c r="AR995" t="str">
        <f t="shared" si="30"/>
        <v>60603922.STATAM</v>
      </c>
      <c r="AS995">
        <f t="shared" si="31"/>
        <v>1517027.78</v>
      </c>
      <c r="AT995" t="s">
        <v>82</v>
      </c>
    </row>
    <row r="996" spans="1:46" x14ac:dyDescent="0.35">
      <c r="A996" t="s">
        <v>52</v>
      </c>
      <c r="B996" t="s">
        <v>53</v>
      </c>
      <c r="C996" t="s">
        <v>54</v>
      </c>
      <c r="D996" t="s">
        <v>55</v>
      </c>
      <c r="E996" t="s">
        <v>56</v>
      </c>
      <c r="F996" t="s">
        <v>3247</v>
      </c>
      <c r="G996" t="s">
        <v>3248</v>
      </c>
      <c r="H996" t="s">
        <v>56</v>
      </c>
      <c r="I996" t="s">
        <v>3249</v>
      </c>
      <c r="J996" t="s">
        <v>56</v>
      </c>
      <c r="K996" t="s">
        <v>62</v>
      </c>
      <c r="L996" t="s">
        <v>56</v>
      </c>
      <c r="M996" t="s">
        <v>56</v>
      </c>
      <c r="N996" t="s">
        <v>254</v>
      </c>
      <c r="O996" t="s">
        <v>2534</v>
      </c>
      <c r="P996" t="s">
        <v>2535</v>
      </c>
      <c r="Q996" t="s">
        <v>853</v>
      </c>
      <c r="R996" t="s">
        <v>67</v>
      </c>
      <c r="S996">
        <v>3000000</v>
      </c>
      <c r="T996">
        <v>2042588.03</v>
      </c>
      <c r="U996" t="s">
        <v>68</v>
      </c>
      <c r="V996" t="s">
        <v>3250</v>
      </c>
      <c r="W996" s="9">
        <v>60604102</v>
      </c>
      <c r="X996" t="s">
        <v>3251</v>
      </c>
      <c r="Y996" s="1">
        <v>45913</v>
      </c>
      <c r="Z996" s="1">
        <v>45943</v>
      </c>
      <c r="AA996" s="2">
        <v>246106.91</v>
      </c>
      <c r="AB996" s="2">
        <v>208565.18</v>
      </c>
      <c r="AC996" s="2">
        <v>37541.730000000003</v>
      </c>
      <c r="AD996" s="2">
        <v>987</v>
      </c>
      <c r="AE996" t="s">
        <v>3252</v>
      </c>
      <c r="AF996" t="s">
        <v>72</v>
      </c>
      <c r="AG996">
        <v>135</v>
      </c>
      <c r="AH996" t="s">
        <v>91</v>
      </c>
      <c r="AI996" t="s">
        <v>74</v>
      </c>
      <c r="AJ996" t="s">
        <v>75</v>
      </c>
      <c r="AK996" t="s">
        <v>76</v>
      </c>
      <c r="AL996" t="s">
        <v>77</v>
      </c>
      <c r="AM996" t="s">
        <v>78</v>
      </c>
      <c r="AN996" t="s">
        <v>795</v>
      </c>
      <c r="AO996" t="s">
        <v>80</v>
      </c>
      <c r="AP996" t="e">
        <v>#N/A</v>
      </c>
      <c r="AQ996" t="s">
        <v>81</v>
      </c>
      <c r="AR996" t="str">
        <f t="shared" si="30"/>
        <v>60604102.STATAM</v>
      </c>
      <c r="AS996">
        <f t="shared" si="31"/>
        <v>987</v>
      </c>
      <c r="AT996" t="s">
        <v>82</v>
      </c>
    </row>
    <row r="997" spans="1:46" x14ac:dyDescent="0.35">
      <c r="A997" t="s">
        <v>52</v>
      </c>
      <c r="B997" t="s">
        <v>53</v>
      </c>
      <c r="C997" t="s">
        <v>54</v>
      </c>
      <c r="D997" t="s">
        <v>55</v>
      </c>
      <c r="E997" t="s">
        <v>56</v>
      </c>
      <c r="F997" t="s">
        <v>3247</v>
      </c>
      <c r="G997" t="s">
        <v>3253</v>
      </c>
      <c r="H997" t="s">
        <v>56</v>
      </c>
      <c r="I997" t="s">
        <v>3254</v>
      </c>
      <c r="J997" t="s">
        <v>56</v>
      </c>
      <c r="K997" t="s">
        <v>62</v>
      </c>
      <c r="L997" t="s">
        <v>56</v>
      </c>
      <c r="M997" t="s">
        <v>56</v>
      </c>
      <c r="N997" t="s">
        <v>1135</v>
      </c>
      <c r="O997" t="s">
        <v>2534</v>
      </c>
      <c r="P997" t="s">
        <v>2535</v>
      </c>
      <c r="Q997" t="s">
        <v>444</v>
      </c>
      <c r="R997" t="s">
        <v>67</v>
      </c>
      <c r="S997">
        <v>3000000</v>
      </c>
      <c r="T997">
        <v>2042588.03</v>
      </c>
      <c r="U997" t="s">
        <v>68</v>
      </c>
      <c r="V997" t="s">
        <v>3250</v>
      </c>
      <c r="W997" s="9">
        <v>60604102</v>
      </c>
      <c r="X997" t="s">
        <v>3255</v>
      </c>
      <c r="Y997" s="1">
        <v>46044</v>
      </c>
      <c r="Z997" s="1">
        <v>46074</v>
      </c>
      <c r="AA997" s="2">
        <v>65849.31</v>
      </c>
      <c r="AB997" s="2">
        <v>55804.5</v>
      </c>
      <c r="AC997" s="2">
        <v>10044.81</v>
      </c>
      <c r="AD997" s="2">
        <v>65849.31</v>
      </c>
      <c r="AE997" t="s">
        <v>3256</v>
      </c>
      <c r="AF997" t="s">
        <v>72</v>
      </c>
      <c r="AG997">
        <v>4</v>
      </c>
      <c r="AH997" t="s">
        <v>73</v>
      </c>
      <c r="AI997" t="s">
        <v>74</v>
      </c>
      <c r="AJ997" t="s">
        <v>127</v>
      </c>
      <c r="AK997" t="s">
        <v>334</v>
      </c>
      <c r="AL997" t="s">
        <v>77</v>
      </c>
      <c r="AM997" t="s">
        <v>78</v>
      </c>
      <c r="AN997" t="s">
        <v>795</v>
      </c>
      <c r="AO997" t="s">
        <v>80</v>
      </c>
      <c r="AP997" t="e">
        <v>#N/A</v>
      </c>
      <c r="AQ997" t="s">
        <v>335</v>
      </c>
      <c r="AR997" t="str">
        <f t="shared" si="30"/>
        <v>60604102.SPMINAM</v>
      </c>
      <c r="AS997">
        <f t="shared" si="31"/>
        <v>956424.97</v>
      </c>
      <c r="AT997" t="s">
        <v>82</v>
      </c>
    </row>
    <row r="998" spans="1:46" x14ac:dyDescent="0.35">
      <c r="A998" t="s">
        <v>52</v>
      </c>
      <c r="B998" t="s">
        <v>53</v>
      </c>
      <c r="C998" t="s">
        <v>54</v>
      </c>
      <c r="D998" t="s">
        <v>55</v>
      </c>
      <c r="E998" t="s">
        <v>56</v>
      </c>
      <c r="F998" t="s">
        <v>3247</v>
      </c>
      <c r="G998" t="s">
        <v>3253</v>
      </c>
      <c r="H998" t="s">
        <v>56</v>
      </c>
      <c r="I998" t="s">
        <v>3254</v>
      </c>
      <c r="J998" t="s">
        <v>56</v>
      </c>
      <c r="K998" t="s">
        <v>62</v>
      </c>
      <c r="L998" t="s">
        <v>56</v>
      </c>
      <c r="M998" t="s">
        <v>56</v>
      </c>
      <c r="N998" t="s">
        <v>682</v>
      </c>
      <c r="O998" t="s">
        <v>2534</v>
      </c>
      <c r="P998" t="s">
        <v>2535</v>
      </c>
      <c r="Q998" t="s">
        <v>444</v>
      </c>
      <c r="R998" t="s">
        <v>67</v>
      </c>
      <c r="S998">
        <v>3000000</v>
      </c>
      <c r="T998">
        <v>2042588.03</v>
      </c>
      <c r="U998" t="s">
        <v>68</v>
      </c>
      <c r="V998" t="s">
        <v>3250</v>
      </c>
      <c r="W998" s="9">
        <v>60604102</v>
      </c>
      <c r="X998" t="s">
        <v>3255</v>
      </c>
      <c r="Y998" s="1">
        <v>46044</v>
      </c>
      <c r="Z998" s="1">
        <v>46074</v>
      </c>
      <c r="AA998" s="2">
        <v>890575.66</v>
      </c>
      <c r="AB998" s="2">
        <v>754725.14</v>
      </c>
      <c r="AC998" s="2">
        <v>135850.51999999999</v>
      </c>
      <c r="AD998" s="2">
        <v>890575.66</v>
      </c>
      <c r="AE998" t="s">
        <v>3257</v>
      </c>
      <c r="AF998" t="s">
        <v>72</v>
      </c>
      <c r="AG998">
        <v>4</v>
      </c>
      <c r="AH998" t="s">
        <v>73</v>
      </c>
      <c r="AI998" t="s">
        <v>74</v>
      </c>
      <c r="AJ998" t="s">
        <v>127</v>
      </c>
      <c r="AK998" t="s">
        <v>334</v>
      </c>
      <c r="AL998" t="s">
        <v>77</v>
      </c>
      <c r="AM998" t="s">
        <v>78</v>
      </c>
      <c r="AN998" t="s">
        <v>795</v>
      </c>
      <c r="AO998" t="s">
        <v>80</v>
      </c>
      <c r="AP998" t="e">
        <v>#N/A</v>
      </c>
      <c r="AQ998" t="s">
        <v>335</v>
      </c>
      <c r="AR998" t="str">
        <f t="shared" si="30"/>
        <v>60604102.SPMINAM</v>
      </c>
      <c r="AS998">
        <f t="shared" si="31"/>
        <v>956424.97</v>
      </c>
      <c r="AT998" t="s">
        <v>82</v>
      </c>
    </row>
    <row r="999" spans="1:46" x14ac:dyDescent="0.35">
      <c r="A999" t="s">
        <v>52</v>
      </c>
      <c r="B999" t="s">
        <v>53</v>
      </c>
      <c r="C999" t="s">
        <v>54</v>
      </c>
      <c r="D999" t="s">
        <v>55</v>
      </c>
      <c r="E999" t="s">
        <v>56</v>
      </c>
      <c r="F999" t="s">
        <v>3258</v>
      </c>
      <c r="G999" t="s">
        <v>56</v>
      </c>
      <c r="H999" t="s">
        <v>56</v>
      </c>
      <c r="I999" t="s">
        <v>3259</v>
      </c>
      <c r="J999" t="s">
        <v>61</v>
      </c>
      <c r="K999" t="s">
        <v>62</v>
      </c>
      <c r="L999" t="s">
        <v>56</v>
      </c>
      <c r="M999" t="s">
        <v>56</v>
      </c>
      <c r="N999" t="s">
        <v>56</v>
      </c>
      <c r="O999" t="s">
        <v>3260</v>
      </c>
      <c r="P999" t="s">
        <v>3261</v>
      </c>
      <c r="Q999" t="s">
        <v>87</v>
      </c>
      <c r="R999" t="s">
        <v>88</v>
      </c>
      <c r="T999">
        <v>-611.69000000000005</v>
      </c>
      <c r="U999" t="s">
        <v>68</v>
      </c>
      <c r="V999" t="s">
        <v>3262</v>
      </c>
      <c r="W999" s="9" t="s">
        <v>3258</v>
      </c>
      <c r="X999" t="s">
        <v>3263</v>
      </c>
      <c r="Y999" s="1">
        <v>45757</v>
      </c>
      <c r="Z999" s="1">
        <v>45757</v>
      </c>
      <c r="AA999" s="2">
        <v>252997.69</v>
      </c>
      <c r="AB999" s="2">
        <v>212282</v>
      </c>
      <c r="AC999" s="2">
        <v>40715.69</v>
      </c>
      <c r="AD999" s="2">
        <v>611.69000000000005</v>
      </c>
      <c r="AE999" t="s">
        <v>3263</v>
      </c>
      <c r="AF999" t="s">
        <v>72</v>
      </c>
      <c r="AG999">
        <v>321</v>
      </c>
      <c r="AH999" t="s">
        <v>101</v>
      </c>
      <c r="AI999" t="s">
        <v>74</v>
      </c>
      <c r="AJ999" t="s">
        <v>75</v>
      </c>
      <c r="AK999" t="s">
        <v>76</v>
      </c>
      <c r="AL999" t="s">
        <v>77</v>
      </c>
      <c r="AM999" t="s">
        <v>775</v>
      </c>
      <c r="AN999" t="s">
        <v>776</v>
      </c>
      <c r="AO999" t="s">
        <v>80</v>
      </c>
      <c r="AP999" t="e">
        <v>#N/A</v>
      </c>
      <c r="AQ999" t="s">
        <v>81</v>
      </c>
      <c r="AR999" t="str">
        <f t="shared" si="30"/>
        <v>SC600027.STATAM</v>
      </c>
      <c r="AS999">
        <f t="shared" si="31"/>
        <v>611.69000000000005</v>
      </c>
      <c r="AT999" t="s">
        <v>82</v>
      </c>
    </row>
    <row r="1000" spans="1:46" x14ac:dyDescent="0.35">
      <c r="A1000" t="s">
        <v>52</v>
      </c>
      <c r="B1000" t="s">
        <v>53</v>
      </c>
      <c r="C1000" t="s">
        <v>54</v>
      </c>
      <c r="D1000" t="s">
        <v>55</v>
      </c>
      <c r="E1000" t="s">
        <v>56</v>
      </c>
      <c r="F1000" t="s">
        <v>3264</v>
      </c>
      <c r="G1000" t="s">
        <v>56</v>
      </c>
      <c r="H1000" t="s">
        <v>56</v>
      </c>
      <c r="I1000" t="s">
        <v>3265</v>
      </c>
      <c r="J1000" t="s">
        <v>61</v>
      </c>
      <c r="K1000" t="s">
        <v>62</v>
      </c>
      <c r="L1000" t="s">
        <v>56</v>
      </c>
      <c r="M1000" t="s">
        <v>56</v>
      </c>
      <c r="N1000" t="s">
        <v>56</v>
      </c>
      <c r="O1000" t="s">
        <v>318</v>
      </c>
      <c r="P1000" t="s">
        <v>319</v>
      </c>
      <c r="Q1000" t="s">
        <v>87</v>
      </c>
      <c r="R1000" t="s">
        <v>88</v>
      </c>
      <c r="T1000">
        <v>-871679.26</v>
      </c>
      <c r="U1000" t="s">
        <v>68</v>
      </c>
      <c r="V1000" t="s">
        <v>3266</v>
      </c>
      <c r="W1000" s="9">
        <v>60602634</v>
      </c>
      <c r="X1000" t="s">
        <v>3267</v>
      </c>
      <c r="Y1000" s="1">
        <v>43159</v>
      </c>
      <c r="Z1000" s="1">
        <v>43219</v>
      </c>
      <c r="AA1000" s="2">
        <v>268487.76</v>
      </c>
      <c r="AB1000" s="2">
        <v>268487.76</v>
      </c>
      <c r="AC1000" s="2">
        <v>0</v>
      </c>
      <c r="AD1000" s="2">
        <v>255229.56</v>
      </c>
      <c r="AE1000" t="s">
        <v>3267</v>
      </c>
      <c r="AF1000" t="s">
        <v>72</v>
      </c>
      <c r="AG1000">
        <v>2859</v>
      </c>
      <c r="AH1000" t="s">
        <v>473</v>
      </c>
      <c r="AI1000" t="s">
        <v>74</v>
      </c>
      <c r="AJ1000" t="s">
        <v>75</v>
      </c>
      <c r="AK1000" t="s">
        <v>76</v>
      </c>
      <c r="AL1000" t="s">
        <v>77</v>
      </c>
      <c r="AM1000" t="s">
        <v>78</v>
      </c>
      <c r="AN1000" t="s">
        <v>239</v>
      </c>
      <c r="AO1000" t="s">
        <v>80</v>
      </c>
      <c r="AP1000" t="e">
        <v>#N/A</v>
      </c>
      <c r="AQ1000" t="s">
        <v>81</v>
      </c>
      <c r="AR1000" t="str">
        <f t="shared" si="30"/>
        <v>60602634.STATAM</v>
      </c>
      <c r="AS1000">
        <f t="shared" si="31"/>
        <v>871679.26000000013</v>
      </c>
      <c r="AT1000" t="s">
        <v>82</v>
      </c>
    </row>
    <row r="1001" spans="1:46" x14ac:dyDescent="0.35">
      <c r="A1001" t="s">
        <v>52</v>
      </c>
      <c r="B1001" t="s">
        <v>53</v>
      </c>
      <c r="C1001" t="s">
        <v>54</v>
      </c>
      <c r="D1001" t="s">
        <v>55</v>
      </c>
      <c r="E1001" t="s">
        <v>56</v>
      </c>
      <c r="F1001" t="s">
        <v>3264</v>
      </c>
      <c r="G1001" t="s">
        <v>56</v>
      </c>
      <c r="H1001" t="s">
        <v>56</v>
      </c>
      <c r="I1001" t="s">
        <v>3268</v>
      </c>
      <c r="J1001" t="s">
        <v>61</v>
      </c>
      <c r="K1001" t="s">
        <v>62</v>
      </c>
      <c r="L1001" t="s">
        <v>56</v>
      </c>
      <c r="M1001" t="s">
        <v>56</v>
      </c>
      <c r="N1001" t="s">
        <v>56</v>
      </c>
      <c r="O1001" t="s">
        <v>318</v>
      </c>
      <c r="P1001" t="s">
        <v>319</v>
      </c>
      <c r="Q1001" t="s">
        <v>87</v>
      </c>
      <c r="R1001" t="s">
        <v>88</v>
      </c>
      <c r="T1001">
        <v>-871679.26</v>
      </c>
      <c r="U1001" t="s">
        <v>68</v>
      </c>
      <c r="V1001" t="s">
        <v>3266</v>
      </c>
      <c r="W1001" s="9">
        <v>60602634</v>
      </c>
      <c r="X1001" t="s">
        <v>3269</v>
      </c>
      <c r="Y1001" s="1">
        <v>43159</v>
      </c>
      <c r="Z1001" s="1">
        <v>43219</v>
      </c>
      <c r="AA1001" s="2">
        <v>18543.7</v>
      </c>
      <c r="AB1001" s="2">
        <v>18543.7</v>
      </c>
      <c r="AC1001" s="2">
        <v>0</v>
      </c>
      <c r="AD1001" s="2">
        <v>18543.7</v>
      </c>
      <c r="AE1001" t="s">
        <v>3269</v>
      </c>
      <c r="AF1001" t="s">
        <v>72</v>
      </c>
      <c r="AG1001">
        <v>2859</v>
      </c>
      <c r="AH1001" t="s">
        <v>473</v>
      </c>
      <c r="AI1001" t="s">
        <v>74</v>
      </c>
      <c r="AJ1001" t="s">
        <v>75</v>
      </c>
      <c r="AK1001" t="s">
        <v>76</v>
      </c>
      <c r="AL1001" t="s">
        <v>77</v>
      </c>
      <c r="AM1001" t="s">
        <v>78</v>
      </c>
      <c r="AN1001" t="s">
        <v>239</v>
      </c>
      <c r="AO1001" t="s">
        <v>80</v>
      </c>
      <c r="AP1001" t="e">
        <v>#N/A</v>
      </c>
      <c r="AQ1001" t="s">
        <v>81</v>
      </c>
      <c r="AR1001" t="str">
        <f t="shared" si="30"/>
        <v>60602634.STATAM</v>
      </c>
      <c r="AS1001">
        <f t="shared" si="31"/>
        <v>871679.26000000013</v>
      </c>
      <c r="AT1001" t="s">
        <v>82</v>
      </c>
    </row>
    <row r="1002" spans="1:46" x14ac:dyDescent="0.35">
      <c r="A1002" t="s">
        <v>52</v>
      </c>
      <c r="B1002" t="s">
        <v>53</v>
      </c>
      <c r="C1002" t="s">
        <v>54</v>
      </c>
      <c r="D1002" t="s">
        <v>55</v>
      </c>
      <c r="E1002" t="s">
        <v>56</v>
      </c>
      <c r="F1002" t="s">
        <v>3264</v>
      </c>
      <c r="G1002" t="s">
        <v>56</v>
      </c>
      <c r="H1002" t="s">
        <v>56</v>
      </c>
      <c r="I1002" t="s">
        <v>3270</v>
      </c>
      <c r="J1002" t="s">
        <v>61</v>
      </c>
      <c r="K1002" t="s">
        <v>62</v>
      </c>
      <c r="L1002" t="s">
        <v>56</v>
      </c>
      <c r="M1002" t="s">
        <v>56</v>
      </c>
      <c r="N1002" t="s">
        <v>56</v>
      </c>
      <c r="O1002" t="s">
        <v>318</v>
      </c>
      <c r="P1002" t="s">
        <v>319</v>
      </c>
      <c r="Q1002" t="s">
        <v>87</v>
      </c>
      <c r="R1002" t="s">
        <v>88</v>
      </c>
      <c r="T1002">
        <v>-871679.26</v>
      </c>
      <c r="U1002" t="s">
        <v>68</v>
      </c>
      <c r="V1002" t="s">
        <v>3266</v>
      </c>
      <c r="W1002" s="9">
        <v>60602634</v>
      </c>
      <c r="X1002" t="s">
        <v>3271</v>
      </c>
      <c r="Y1002" s="1">
        <v>43182</v>
      </c>
      <c r="Z1002" s="1">
        <v>43242</v>
      </c>
      <c r="AA1002" s="2">
        <v>103202.8</v>
      </c>
      <c r="AB1002" s="2">
        <v>103202.8</v>
      </c>
      <c r="AC1002" s="2">
        <v>0</v>
      </c>
      <c r="AD1002" s="2">
        <v>103202.8</v>
      </c>
      <c r="AE1002" t="s">
        <v>3271</v>
      </c>
      <c r="AF1002" t="s">
        <v>72</v>
      </c>
      <c r="AG1002">
        <v>2836</v>
      </c>
      <c r="AH1002" t="s">
        <v>473</v>
      </c>
      <c r="AI1002" t="s">
        <v>74</v>
      </c>
      <c r="AJ1002" t="s">
        <v>75</v>
      </c>
      <c r="AK1002" t="s">
        <v>76</v>
      </c>
      <c r="AL1002" t="s">
        <v>77</v>
      </c>
      <c r="AM1002" t="s">
        <v>78</v>
      </c>
      <c r="AN1002" t="s">
        <v>239</v>
      </c>
      <c r="AO1002" t="s">
        <v>80</v>
      </c>
      <c r="AP1002" t="e">
        <v>#N/A</v>
      </c>
      <c r="AQ1002" t="s">
        <v>81</v>
      </c>
      <c r="AR1002" t="str">
        <f t="shared" si="30"/>
        <v>60602634.STATAM</v>
      </c>
      <c r="AS1002">
        <f t="shared" si="31"/>
        <v>871679.26000000013</v>
      </c>
      <c r="AT1002" t="s">
        <v>82</v>
      </c>
    </row>
    <row r="1003" spans="1:46" x14ac:dyDescent="0.35">
      <c r="A1003" t="s">
        <v>52</v>
      </c>
      <c r="B1003" t="s">
        <v>53</v>
      </c>
      <c r="C1003" t="s">
        <v>54</v>
      </c>
      <c r="D1003" t="s">
        <v>55</v>
      </c>
      <c r="E1003" t="s">
        <v>56</v>
      </c>
      <c r="F1003" t="s">
        <v>3264</v>
      </c>
      <c r="G1003" t="s">
        <v>56</v>
      </c>
      <c r="H1003" t="s">
        <v>56</v>
      </c>
      <c r="I1003" t="s">
        <v>3272</v>
      </c>
      <c r="J1003" t="s">
        <v>61</v>
      </c>
      <c r="K1003" t="s">
        <v>62</v>
      </c>
      <c r="L1003" t="s">
        <v>56</v>
      </c>
      <c r="M1003" t="s">
        <v>56</v>
      </c>
      <c r="N1003" t="s">
        <v>56</v>
      </c>
      <c r="O1003" t="s">
        <v>318</v>
      </c>
      <c r="P1003" t="s">
        <v>319</v>
      </c>
      <c r="Q1003" t="s">
        <v>87</v>
      </c>
      <c r="R1003" t="s">
        <v>88</v>
      </c>
      <c r="T1003">
        <v>-871679.26</v>
      </c>
      <c r="U1003" t="s">
        <v>68</v>
      </c>
      <c r="V1003" t="s">
        <v>3266</v>
      </c>
      <c r="W1003" s="9">
        <v>60602634</v>
      </c>
      <c r="X1003" t="s">
        <v>3273</v>
      </c>
      <c r="Y1003" s="1">
        <v>43182</v>
      </c>
      <c r="Z1003" s="1">
        <v>43242</v>
      </c>
      <c r="AA1003" s="2">
        <v>13262.02</v>
      </c>
      <c r="AB1003" s="2">
        <v>13262.02</v>
      </c>
      <c r="AC1003" s="2">
        <v>0</v>
      </c>
      <c r="AD1003" s="2">
        <v>13262.02</v>
      </c>
      <c r="AE1003" t="s">
        <v>3273</v>
      </c>
      <c r="AF1003" t="s">
        <v>72</v>
      </c>
      <c r="AG1003">
        <v>2836</v>
      </c>
      <c r="AH1003" t="s">
        <v>473</v>
      </c>
      <c r="AI1003" t="s">
        <v>74</v>
      </c>
      <c r="AJ1003" t="s">
        <v>75</v>
      </c>
      <c r="AK1003" t="s">
        <v>76</v>
      </c>
      <c r="AL1003" t="s">
        <v>77</v>
      </c>
      <c r="AM1003" t="s">
        <v>78</v>
      </c>
      <c r="AN1003" t="s">
        <v>239</v>
      </c>
      <c r="AO1003" t="s">
        <v>80</v>
      </c>
      <c r="AP1003" t="e">
        <v>#N/A</v>
      </c>
      <c r="AQ1003" t="s">
        <v>81</v>
      </c>
      <c r="AR1003" t="str">
        <f t="shared" si="30"/>
        <v>60602634.STATAM</v>
      </c>
      <c r="AS1003">
        <f t="shared" si="31"/>
        <v>871679.26000000013</v>
      </c>
      <c r="AT1003" t="s">
        <v>82</v>
      </c>
    </row>
    <row r="1004" spans="1:46" x14ac:dyDescent="0.35">
      <c r="A1004" t="s">
        <v>52</v>
      </c>
      <c r="B1004" t="s">
        <v>53</v>
      </c>
      <c r="C1004" t="s">
        <v>54</v>
      </c>
      <c r="D1004" t="s">
        <v>55</v>
      </c>
      <c r="E1004" t="s">
        <v>56</v>
      </c>
      <c r="F1004" t="s">
        <v>3264</v>
      </c>
      <c r="G1004" t="s">
        <v>3274</v>
      </c>
      <c r="H1004" t="s">
        <v>56</v>
      </c>
      <c r="I1004" t="s">
        <v>3275</v>
      </c>
      <c r="J1004" t="s">
        <v>61</v>
      </c>
      <c r="K1004" t="s">
        <v>62</v>
      </c>
      <c r="L1004" t="s">
        <v>56</v>
      </c>
      <c r="M1004" t="s">
        <v>56</v>
      </c>
      <c r="N1004" t="s">
        <v>3276</v>
      </c>
      <c r="O1004" t="s">
        <v>318</v>
      </c>
      <c r="P1004" t="s">
        <v>319</v>
      </c>
      <c r="Q1004" t="s">
        <v>114</v>
      </c>
      <c r="R1004" t="s">
        <v>88</v>
      </c>
      <c r="T1004">
        <v>-871679.26</v>
      </c>
      <c r="U1004" t="s">
        <v>68</v>
      </c>
      <c r="V1004" t="s">
        <v>3266</v>
      </c>
      <c r="W1004" s="9">
        <v>60602634</v>
      </c>
      <c r="X1004" t="s">
        <v>3277</v>
      </c>
      <c r="Y1004" s="1">
        <v>43225</v>
      </c>
      <c r="Z1004" s="1">
        <v>43225</v>
      </c>
      <c r="AA1004" s="2">
        <v>87139.46</v>
      </c>
      <c r="AB1004" s="2">
        <v>73847</v>
      </c>
      <c r="AC1004" s="2">
        <v>13292.46</v>
      </c>
      <c r="AD1004" s="2">
        <v>87139.46</v>
      </c>
      <c r="AE1004" t="s">
        <v>3278</v>
      </c>
      <c r="AF1004" t="s">
        <v>72</v>
      </c>
      <c r="AG1004">
        <v>2853</v>
      </c>
      <c r="AH1004" t="s">
        <v>473</v>
      </c>
      <c r="AI1004" t="s">
        <v>74</v>
      </c>
      <c r="AJ1004" t="s">
        <v>75</v>
      </c>
      <c r="AK1004" t="s">
        <v>76</v>
      </c>
      <c r="AL1004" t="s">
        <v>77</v>
      </c>
      <c r="AM1004" t="s">
        <v>78</v>
      </c>
      <c r="AN1004" t="s">
        <v>239</v>
      </c>
      <c r="AO1004" t="s">
        <v>80</v>
      </c>
      <c r="AP1004" t="e">
        <v>#N/A</v>
      </c>
      <c r="AQ1004" t="s">
        <v>81</v>
      </c>
      <c r="AR1004" t="str">
        <f t="shared" si="30"/>
        <v>60602634.STATAM</v>
      </c>
      <c r="AS1004">
        <f t="shared" si="31"/>
        <v>871679.26000000013</v>
      </c>
      <c r="AT1004" t="s">
        <v>82</v>
      </c>
    </row>
    <row r="1005" spans="1:46" x14ac:dyDescent="0.35">
      <c r="A1005" t="s">
        <v>52</v>
      </c>
      <c r="B1005" t="s">
        <v>53</v>
      </c>
      <c r="C1005" t="s">
        <v>54</v>
      </c>
      <c r="D1005" t="s">
        <v>55</v>
      </c>
      <c r="E1005" t="s">
        <v>56</v>
      </c>
      <c r="F1005" t="s">
        <v>3264</v>
      </c>
      <c r="G1005" t="s">
        <v>3274</v>
      </c>
      <c r="H1005" t="s">
        <v>56</v>
      </c>
      <c r="I1005" t="s">
        <v>3275</v>
      </c>
      <c r="J1005" t="s">
        <v>61</v>
      </c>
      <c r="K1005" t="s">
        <v>62</v>
      </c>
      <c r="L1005" t="s">
        <v>56</v>
      </c>
      <c r="M1005" t="s">
        <v>56</v>
      </c>
      <c r="N1005" t="s">
        <v>3279</v>
      </c>
      <c r="O1005" t="s">
        <v>318</v>
      </c>
      <c r="P1005" t="s">
        <v>319</v>
      </c>
      <c r="Q1005" t="s">
        <v>114</v>
      </c>
      <c r="R1005" t="s">
        <v>88</v>
      </c>
      <c r="T1005">
        <v>-871679.26</v>
      </c>
      <c r="U1005" t="s">
        <v>68</v>
      </c>
      <c r="V1005" t="s">
        <v>3266</v>
      </c>
      <c r="W1005" s="9">
        <v>60602634</v>
      </c>
      <c r="X1005" t="s">
        <v>3277</v>
      </c>
      <c r="Y1005" s="1">
        <v>43225</v>
      </c>
      <c r="Z1005" s="1">
        <v>43225</v>
      </c>
      <c r="AA1005" s="2">
        <v>265498.82</v>
      </c>
      <c r="AB1005" s="2">
        <v>224999</v>
      </c>
      <c r="AC1005" s="2">
        <v>40499.82</v>
      </c>
      <c r="AD1005" s="2">
        <v>265498.82</v>
      </c>
      <c r="AE1005" t="s">
        <v>3280</v>
      </c>
      <c r="AF1005" t="s">
        <v>72</v>
      </c>
      <c r="AG1005">
        <v>2853</v>
      </c>
      <c r="AH1005" t="s">
        <v>473</v>
      </c>
      <c r="AI1005" t="s">
        <v>74</v>
      </c>
      <c r="AJ1005" t="s">
        <v>75</v>
      </c>
      <c r="AK1005" t="s">
        <v>76</v>
      </c>
      <c r="AL1005" t="s">
        <v>77</v>
      </c>
      <c r="AM1005" t="s">
        <v>78</v>
      </c>
      <c r="AN1005" t="s">
        <v>239</v>
      </c>
      <c r="AO1005" t="s">
        <v>80</v>
      </c>
      <c r="AP1005" t="e">
        <v>#N/A</v>
      </c>
      <c r="AQ1005" t="s">
        <v>81</v>
      </c>
      <c r="AR1005" t="str">
        <f t="shared" si="30"/>
        <v>60602634.STATAM</v>
      </c>
      <c r="AS1005">
        <f t="shared" si="31"/>
        <v>871679.26000000013</v>
      </c>
      <c r="AT1005" t="s">
        <v>82</v>
      </c>
    </row>
    <row r="1006" spans="1:46" x14ac:dyDescent="0.35">
      <c r="A1006" t="s">
        <v>52</v>
      </c>
      <c r="B1006" t="s">
        <v>53</v>
      </c>
      <c r="C1006" t="s">
        <v>54</v>
      </c>
      <c r="D1006" t="s">
        <v>55</v>
      </c>
      <c r="E1006" t="s">
        <v>56</v>
      </c>
      <c r="F1006" t="s">
        <v>3264</v>
      </c>
      <c r="G1006" t="s">
        <v>3274</v>
      </c>
      <c r="H1006" t="s">
        <v>56</v>
      </c>
      <c r="I1006" t="s">
        <v>3275</v>
      </c>
      <c r="J1006" t="s">
        <v>61</v>
      </c>
      <c r="K1006" t="s">
        <v>62</v>
      </c>
      <c r="L1006" t="s">
        <v>56</v>
      </c>
      <c r="M1006" t="s">
        <v>56</v>
      </c>
      <c r="N1006" t="s">
        <v>3281</v>
      </c>
      <c r="O1006" t="s">
        <v>318</v>
      </c>
      <c r="P1006" t="s">
        <v>319</v>
      </c>
      <c r="Q1006" t="s">
        <v>114</v>
      </c>
      <c r="R1006" t="s">
        <v>88</v>
      </c>
      <c r="T1006">
        <v>-871679.26</v>
      </c>
      <c r="U1006" t="s">
        <v>68</v>
      </c>
      <c r="V1006" t="s">
        <v>3266</v>
      </c>
      <c r="W1006" s="9">
        <v>60602634</v>
      </c>
      <c r="X1006" t="s">
        <v>3277</v>
      </c>
      <c r="Y1006" s="1">
        <v>43225</v>
      </c>
      <c r="Z1006" s="1">
        <v>43225</v>
      </c>
      <c r="AA1006" s="2">
        <v>128802.9</v>
      </c>
      <c r="AB1006" s="2">
        <v>109155</v>
      </c>
      <c r="AC1006" s="2">
        <v>19647.900000000001</v>
      </c>
      <c r="AD1006" s="2">
        <v>128802.9</v>
      </c>
      <c r="AE1006" t="s">
        <v>3282</v>
      </c>
      <c r="AF1006" t="s">
        <v>72</v>
      </c>
      <c r="AG1006">
        <v>2853</v>
      </c>
      <c r="AH1006" t="s">
        <v>473</v>
      </c>
      <c r="AI1006" t="s">
        <v>74</v>
      </c>
      <c r="AJ1006" t="s">
        <v>75</v>
      </c>
      <c r="AK1006" t="s">
        <v>76</v>
      </c>
      <c r="AL1006" t="s">
        <v>77</v>
      </c>
      <c r="AM1006" t="s">
        <v>78</v>
      </c>
      <c r="AN1006" t="s">
        <v>239</v>
      </c>
      <c r="AO1006" t="s">
        <v>80</v>
      </c>
      <c r="AP1006" t="e">
        <v>#N/A</v>
      </c>
      <c r="AQ1006" t="s">
        <v>81</v>
      </c>
      <c r="AR1006" t="str">
        <f t="shared" si="30"/>
        <v>60602634.STATAM</v>
      </c>
      <c r="AS1006">
        <f t="shared" si="31"/>
        <v>871679.26000000013</v>
      </c>
      <c r="AT1006" t="s">
        <v>82</v>
      </c>
    </row>
    <row r="1007" spans="1:46" x14ac:dyDescent="0.35">
      <c r="A1007" t="s">
        <v>52</v>
      </c>
      <c r="B1007" t="s">
        <v>53</v>
      </c>
      <c r="C1007" t="s">
        <v>54</v>
      </c>
      <c r="D1007" t="s">
        <v>55</v>
      </c>
      <c r="E1007" t="s">
        <v>56</v>
      </c>
      <c r="F1007" t="s">
        <v>3283</v>
      </c>
      <c r="G1007" t="s">
        <v>56</v>
      </c>
      <c r="H1007" t="s">
        <v>56</v>
      </c>
      <c r="I1007" t="s">
        <v>3284</v>
      </c>
      <c r="J1007" t="s">
        <v>61</v>
      </c>
      <c r="K1007" t="s">
        <v>62</v>
      </c>
      <c r="L1007" t="s">
        <v>56</v>
      </c>
      <c r="M1007" t="s">
        <v>56</v>
      </c>
      <c r="N1007" t="s">
        <v>56</v>
      </c>
      <c r="O1007" t="s">
        <v>3285</v>
      </c>
      <c r="P1007" t="s">
        <v>3286</v>
      </c>
      <c r="Q1007" t="s">
        <v>87</v>
      </c>
      <c r="R1007" t="s">
        <v>88</v>
      </c>
      <c r="S1007">
        <v>30000000</v>
      </c>
      <c r="T1007">
        <v>30322040.260000002</v>
      </c>
      <c r="U1007" t="s">
        <v>68</v>
      </c>
      <c r="V1007" t="s">
        <v>3287</v>
      </c>
      <c r="W1007" s="9">
        <v>60604077</v>
      </c>
      <c r="X1007" t="s">
        <v>3288</v>
      </c>
      <c r="Y1007" s="1">
        <v>45978</v>
      </c>
      <c r="Z1007" s="1">
        <v>45978</v>
      </c>
      <c r="AA1007" s="2">
        <v>-41064779</v>
      </c>
      <c r="AB1007" s="2">
        <v>-41064779</v>
      </c>
      <c r="AC1007" s="2">
        <v>0</v>
      </c>
      <c r="AD1007" s="2">
        <v>-393749.66</v>
      </c>
      <c r="AE1007" t="s">
        <v>3288</v>
      </c>
      <c r="AF1007" t="s">
        <v>72</v>
      </c>
      <c r="AG1007">
        <v>100</v>
      </c>
      <c r="AH1007" t="s">
        <v>91</v>
      </c>
      <c r="AI1007" t="s">
        <v>74</v>
      </c>
      <c r="AJ1007" t="s">
        <v>75</v>
      </c>
      <c r="AK1007" t="s">
        <v>102</v>
      </c>
      <c r="AL1007" t="s">
        <v>77</v>
      </c>
      <c r="AM1007" t="s">
        <v>103</v>
      </c>
      <c r="AN1007" t="s">
        <v>104</v>
      </c>
      <c r="AO1007" t="s">
        <v>80</v>
      </c>
      <c r="AP1007" t="e">
        <v>#N/A</v>
      </c>
      <c r="AQ1007" t="s">
        <v>105</v>
      </c>
      <c r="AR1007" t="str">
        <f t="shared" si="30"/>
        <v>60604077.STATEQ</v>
      </c>
      <c r="AS1007">
        <f t="shared" si="31"/>
        <v>-322040.26</v>
      </c>
      <c r="AT1007" t="s">
        <v>93</v>
      </c>
    </row>
    <row r="1008" spans="1:46" x14ac:dyDescent="0.35">
      <c r="A1008" t="s">
        <v>52</v>
      </c>
      <c r="B1008" t="s">
        <v>53</v>
      </c>
      <c r="C1008" t="s">
        <v>54</v>
      </c>
      <c r="D1008" t="s">
        <v>55</v>
      </c>
      <c r="E1008" t="s">
        <v>56</v>
      </c>
      <c r="F1008" t="s">
        <v>3283</v>
      </c>
      <c r="G1008" t="s">
        <v>3289</v>
      </c>
      <c r="H1008" t="s">
        <v>153</v>
      </c>
      <c r="I1008" t="s">
        <v>3290</v>
      </c>
      <c r="J1008" t="s">
        <v>56</v>
      </c>
      <c r="K1008" t="s">
        <v>62</v>
      </c>
      <c r="L1008" t="s">
        <v>56</v>
      </c>
      <c r="M1008" t="s">
        <v>56</v>
      </c>
      <c r="N1008" t="s">
        <v>155</v>
      </c>
      <c r="O1008" t="s">
        <v>3285</v>
      </c>
      <c r="P1008" t="s">
        <v>3286</v>
      </c>
      <c r="Q1008" t="s">
        <v>114</v>
      </c>
      <c r="R1008" t="s">
        <v>88</v>
      </c>
      <c r="S1008">
        <v>30000000</v>
      </c>
      <c r="T1008">
        <v>30322040.260000002</v>
      </c>
      <c r="U1008" t="s">
        <v>68</v>
      </c>
      <c r="V1008" t="s">
        <v>3287</v>
      </c>
      <c r="W1008" s="9">
        <v>60604077</v>
      </c>
      <c r="X1008" t="s">
        <v>3291</v>
      </c>
      <c r="Y1008" s="1">
        <v>46076</v>
      </c>
      <c r="Z1008" s="1">
        <v>46076</v>
      </c>
      <c r="AA1008" s="2">
        <v>71709.399999999994</v>
      </c>
      <c r="AB1008" s="2">
        <v>60770.68</v>
      </c>
      <c r="AC1008" s="2">
        <v>10938.72</v>
      </c>
      <c r="AD1008" s="2">
        <v>71709.399999999994</v>
      </c>
      <c r="AE1008" t="s">
        <v>3292</v>
      </c>
      <c r="AF1008" t="s">
        <v>72</v>
      </c>
      <c r="AG1008">
        <v>2</v>
      </c>
      <c r="AH1008" t="s">
        <v>73</v>
      </c>
      <c r="AI1008" t="s">
        <v>74</v>
      </c>
      <c r="AJ1008" t="s">
        <v>75</v>
      </c>
      <c r="AK1008" t="s">
        <v>102</v>
      </c>
      <c r="AL1008" t="s">
        <v>77</v>
      </c>
      <c r="AM1008" t="s">
        <v>103</v>
      </c>
      <c r="AN1008" t="s">
        <v>104</v>
      </c>
      <c r="AO1008" t="s">
        <v>80</v>
      </c>
      <c r="AP1008" t="e">
        <v>#N/A</v>
      </c>
      <c r="AQ1008" t="s">
        <v>105</v>
      </c>
      <c r="AR1008" t="str">
        <f t="shared" si="30"/>
        <v>60604077.STATEQ</v>
      </c>
      <c r="AS1008">
        <f t="shared" si="31"/>
        <v>-322040.26</v>
      </c>
      <c r="AT1008" t="s">
        <v>93</v>
      </c>
    </row>
    <row r="1009" spans="1:46" x14ac:dyDescent="0.35">
      <c r="A1009" t="s">
        <v>52</v>
      </c>
      <c r="B1009" t="s">
        <v>53</v>
      </c>
      <c r="C1009" t="s">
        <v>54</v>
      </c>
      <c r="D1009" t="s">
        <v>55</v>
      </c>
      <c r="E1009" t="s">
        <v>56</v>
      </c>
      <c r="F1009" t="s">
        <v>3293</v>
      </c>
      <c r="G1009" t="s">
        <v>3294</v>
      </c>
      <c r="H1009" t="s">
        <v>780</v>
      </c>
      <c r="I1009" t="s">
        <v>3295</v>
      </c>
      <c r="J1009" t="s">
        <v>56</v>
      </c>
      <c r="K1009" t="s">
        <v>62</v>
      </c>
      <c r="L1009" t="s">
        <v>56</v>
      </c>
      <c r="M1009" t="s">
        <v>56</v>
      </c>
      <c r="N1009" t="s">
        <v>782</v>
      </c>
      <c r="O1009" t="s">
        <v>406</v>
      </c>
      <c r="P1009" t="s">
        <v>407</v>
      </c>
      <c r="Q1009" t="s">
        <v>114</v>
      </c>
      <c r="R1009" t="s">
        <v>67</v>
      </c>
      <c r="S1009">
        <v>500000</v>
      </c>
      <c r="T1009">
        <v>-115734.37</v>
      </c>
      <c r="U1009" t="s">
        <v>68</v>
      </c>
      <c r="V1009" t="s">
        <v>3296</v>
      </c>
      <c r="W1009" s="9">
        <v>60603855</v>
      </c>
      <c r="X1009" t="s">
        <v>3297</v>
      </c>
      <c r="Y1009" s="1">
        <v>45917</v>
      </c>
      <c r="Z1009" s="1">
        <v>45947</v>
      </c>
      <c r="AA1009" s="2">
        <v>767000</v>
      </c>
      <c r="AB1009" s="2">
        <v>650000</v>
      </c>
      <c r="AC1009" s="2">
        <v>117000</v>
      </c>
      <c r="AD1009" s="2">
        <v>764107.57</v>
      </c>
      <c r="AE1009" t="s">
        <v>3298</v>
      </c>
      <c r="AF1009" t="s">
        <v>72</v>
      </c>
      <c r="AG1009">
        <v>131</v>
      </c>
      <c r="AH1009" t="s">
        <v>91</v>
      </c>
      <c r="AI1009" t="s">
        <v>74</v>
      </c>
      <c r="AJ1009" t="s">
        <v>75</v>
      </c>
      <c r="AK1009" t="s">
        <v>76</v>
      </c>
      <c r="AL1009" t="s">
        <v>77</v>
      </c>
      <c r="AM1009" t="s">
        <v>78</v>
      </c>
      <c r="AN1009" t="s">
        <v>104</v>
      </c>
      <c r="AO1009" t="s">
        <v>80</v>
      </c>
      <c r="AP1009" t="e">
        <v>#N/A</v>
      </c>
      <c r="AQ1009" t="s">
        <v>81</v>
      </c>
      <c r="AR1009" t="str">
        <f t="shared" si="30"/>
        <v>60603855.STATAM</v>
      </c>
      <c r="AS1009">
        <f t="shared" si="31"/>
        <v>604618.77</v>
      </c>
      <c r="AT1009" t="s">
        <v>82</v>
      </c>
    </row>
    <row r="1010" spans="1:46" x14ac:dyDescent="0.35">
      <c r="A1010" t="s">
        <v>52</v>
      </c>
      <c r="B1010" t="s">
        <v>53</v>
      </c>
      <c r="C1010" t="s">
        <v>54</v>
      </c>
      <c r="D1010" t="s">
        <v>55</v>
      </c>
      <c r="E1010" t="s">
        <v>56</v>
      </c>
      <c r="F1010" t="s">
        <v>3293</v>
      </c>
      <c r="G1010" t="s">
        <v>3299</v>
      </c>
      <c r="H1010" t="s">
        <v>56</v>
      </c>
      <c r="I1010" t="s">
        <v>3300</v>
      </c>
      <c r="J1010" t="s">
        <v>56</v>
      </c>
      <c r="K1010" t="s">
        <v>62</v>
      </c>
      <c r="L1010" t="s">
        <v>56</v>
      </c>
      <c r="M1010" t="s">
        <v>56</v>
      </c>
      <c r="N1010" t="s">
        <v>1384</v>
      </c>
      <c r="O1010" t="s">
        <v>406</v>
      </c>
      <c r="P1010" t="s">
        <v>407</v>
      </c>
      <c r="Q1010" t="s">
        <v>114</v>
      </c>
      <c r="R1010" t="s">
        <v>67</v>
      </c>
      <c r="S1010">
        <v>500000</v>
      </c>
      <c r="T1010">
        <v>-115734.37</v>
      </c>
      <c r="U1010" t="s">
        <v>68</v>
      </c>
      <c r="V1010" t="s">
        <v>3296</v>
      </c>
      <c r="W1010" s="9">
        <v>60603855</v>
      </c>
      <c r="X1010" t="s">
        <v>3301</v>
      </c>
      <c r="Y1010" s="1">
        <v>46076</v>
      </c>
      <c r="Z1010" s="1">
        <v>46076</v>
      </c>
      <c r="AA1010" s="2">
        <v>-159488.79999999999</v>
      </c>
      <c r="AB1010" s="2">
        <v>-135160</v>
      </c>
      <c r="AC1010" s="2">
        <v>-24328.799999999999</v>
      </c>
      <c r="AD1010" s="2">
        <v>-159488.79999999999</v>
      </c>
      <c r="AE1010" t="s">
        <v>3302</v>
      </c>
      <c r="AF1010" t="s">
        <v>72</v>
      </c>
      <c r="AG1010">
        <v>2</v>
      </c>
      <c r="AH1010" t="s">
        <v>73</v>
      </c>
      <c r="AI1010" t="s">
        <v>74</v>
      </c>
      <c r="AJ1010" t="s">
        <v>75</v>
      </c>
      <c r="AK1010" t="s">
        <v>76</v>
      </c>
      <c r="AL1010" t="s">
        <v>77</v>
      </c>
      <c r="AM1010" t="s">
        <v>78</v>
      </c>
      <c r="AN1010" t="s">
        <v>104</v>
      </c>
      <c r="AO1010" t="s">
        <v>80</v>
      </c>
      <c r="AP1010" t="e">
        <v>#N/A</v>
      </c>
      <c r="AQ1010" t="s">
        <v>81</v>
      </c>
      <c r="AR1010" t="str">
        <f t="shared" si="30"/>
        <v>60603855.STATAM</v>
      </c>
      <c r="AS1010">
        <f t="shared" si="31"/>
        <v>604618.77</v>
      </c>
      <c r="AT1010" t="s">
        <v>82</v>
      </c>
    </row>
    <row r="1011" spans="1:46" x14ac:dyDescent="0.35">
      <c r="A1011" t="s">
        <v>52</v>
      </c>
      <c r="B1011" t="s">
        <v>53</v>
      </c>
      <c r="C1011" t="s">
        <v>54</v>
      </c>
      <c r="D1011" t="s">
        <v>55</v>
      </c>
      <c r="E1011" t="s">
        <v>56</v>
      </c>
      <c r="F1011" t="s">
        <v>3303</v>
      </c>
      <c r="G1011" t="s">
        <v>3304</v>
      </c>
      <c r="H1011" t="s">
        <v>56</v>
      </c>
      <c r="I1011" t="s">
        <v>3305</v>
      </c>
      <c r="J1011" t="s">
        <v>61</v>
      </c>
      <c r="K1011" t="s">
        <v>62</v>
      </c>
      <c r="L1011" t="s">
        <v>56</v>
      </c>
      <c r="M1011" t="s">
        <v>56</v>
      </c>
      <c r="N1011" t="s">
        <v>682</v>
      </c>
      <c r="O1011" t="s">
        <v>406</v>
      </c>
      <c r="P1011" t="s">
        <v>407</v>
      </c>
      <c r="Q1011" t="s">
        <v>87</v>
      </c>
      <c r="R1011" t="s">
        <v>67</v>
      </c>
      <c r="S1011">
        <v>1500000</v>
      </c>
      <c r="T1011">
        <v>-1183577.1499999999</v>
      </c>
      <c r="U1011" t="s">
        <v>68</v>
      </c>
      <c r="V1011" t="s">
        <v>3306</v>
      </c>
      <c r="W1011" s="9">
        <v>60603700</v>
      </c>
      <c r="X1011" t="s">
        <v>3307</v>
      </c>
      <c r="Y1011" s="1">
        <v>46045</v>
      </c>
      <c r="Z1011" s="1">
        <v>46075</v>
      </c>
      <c r="AA1011" s="2">
        <v>368460.42</v>
      </c>
      <c r="AB1011" s="2">
        <v>312254.58</v>
      </c>
      <c r="AC1011" s="2">
        <v>56205.84</v>
      </c>
      <c r="AD1011" s="2">
        <v>368460.42</v>
      </c>
      <c r="AE1011" t="s">
        <v>3308</v>
      </c>
      <c r="AF1011" t="s">
        <v>72</v>
      </c>
      <c r="AG1011">
        <v>3</v>
      </c>
      <c r="AH1011" t="s">
        <v>73</v>
      </c>
      <c r="AI1011" t="s">
        <v>74</v>
      </c>
      <c r="AJ1011" t="s">
        <v>127</v>
      </c>
      <c r="AK1011" t="s">
        <v>334</v>
      </c>
      <c r="AL1011" t="s">
        <v>77</v>
      </c>
      <c r="AM1011" t="s">
        <v>78</v>
      </c>
      <c r="AN1011" t="s">
        <v>104</v>
      </c>
      <c r="AO1011" t="s">
        <v>80</v>
      </c>
      <c r="AP1011" t="e">
        <v>#N/A</v>
      </c>
      <c r="AQ1011" t="s">
        <v>335</v>
      </c>
      <c r="AR1011" t="str">
        <f t="shared" si="30"/>
        <v>60603700.SPMINAM</v>
      </c>
      <c r="AS1011">
        <f t="shared" si="31"/>
        <v>429761.81</v>
      </c>
      <c r="AT1011" t="s">
        <v>82</v>
      </c>
    </row>
    <row r="1012" spans="1:46" x14ac:dyDescent="0.35">
      <c r="A1012" t="s">
        <v>52</v>
      </c>
      <c r="B1012" t="s">
        <v>53</v>
      </c>
      <c r="C1012" t="s">
        <v>54</v>
      </c>
      <c r="D1012" t="s">
        <v>55</v>
      </c>
      <c r="E1012" t="s">
        <v>56</v>
      </c>
      <c r="F1012" t="s">
        <v>3303</v>
      </c>
      <c r="G1012" t="s">
        <v>3304</v>
      </c>
      <c r="H1012" t="s">
        <v>56</v>
      </c>
      <c r="I1012" t="s">
        <v>3309</v>
      </c>
      <c r="J1012" t="s">
        <v>61</v>
      </c>
      <c r="K1012" t="s">
        <v>62</v>
      </c>
      <c r="L1012" t="s">
        <v>56</v>
      </c>
      <c r="M1012" t="s">
        <v>56</v>
      </c>
      <c r="N1012" t="s">
        <v>682</v>
      </c>
      <c r="O1012" t="s">
        <v>406</v>
      </c>
      <c r="P1012" t="s">
        <v>407</v>
      </c>
      <c r="Q1012" t="s">
        <v>87</v>
      </c>
      <c r="R1012" t="s">
        <v>67</v>
      </c>
      <c r="S1012">
        <v>1500000</v>
      </c>
      <c r="T1012">
        <v>-1183577.1499999999</v>
      </c>
      <c r="U1012" t="s">
        <v>68</v>
      </c>
      <c r="V1012" t="s">
        <v>3306</v>
      </c>
      <c r="W1012" s="9">
        <v>60603700</v>
      </c>
      <c r="X1012" t="s">
        <v>3310</v>
      </c>
      <c r="Y1012" s="1">
        <v>46051</v>
      </c>
      <c r="Z1012" s="1">
        <v>46081</v>
      </c>
      <c r="AA1012" s="2">
        <v>61746.36</v>
      </c>
      <c r="AB1012" s="2">
        <v>52327.42</v>
      </c>
      <c r="AC1012" s="2">
        <v>9418.94</v>
      </c>
      <c r="AD1012" s="2">
        <v>61301.39</v>
      </c>
      <c r="AE1012" t="s">
        <v>3311</v>
      </c>
      <c r="AF1012" t="s">
        <v>72</v>
      </c>
      <c r="AG1012">
        <v>-3</v>
      </c>
      <c r="AH1012" t="s">
        <v>117</v>
      </c>
      <c r="AI1012" t="s">
        <v>74</v>
      </c>
      <c r="AJ1012" t="s">
        <v>127</v>
      </c>
      <c r="AK1012" t="s">
        <v>334</v>
      </c>
      <c r="AL1012" t="s">
        <v>77</v>
      </c>
      <c r="AM1012" t="s">
        <v>78</v>
      </c>
      <c r="AN1012" t="s">
        <v>104</v>
      </c>
      <c r="AO1012" t="s">
        <v>119</v>
      </c>
      <c r="AP1012" t="e">
        <v>#N/A</v>
      </c>
      <c r="AQ1012" t="s">
        <v>335</v>
      </c>
      <c r="AR1012" t="str">
        <f t="shared" si="30"/>
        <v>60603700.SPMINAM</v>
      </c>
      <c r="AS1012">
        <f t="shared" si="31"/>
        <v>429761.81</v>
      </c>
      <c r="AT1012" t="s">
        <v>82</v>
      </c>
    </row>
    <row r="1013" spans="1:46" x14ac:dyDescent="0.35">
      <c r="A1013" t="s">
        <v>52</v>
      </c>
      <c r="B1013" t="s">
        <v>53</v>
      </c>
      <c r="C1013" t="s">
        <v>54</v>
      </c>
      <c r="D1013" t="s">
        <v>55</v>
      </c>
      <c r="E1013" t="s">
        <v>56</v>
      </c>
      <c r="F1013" t="s">
        <v>3312</v>
      </c>
      <c r="G1013" t="s">
        <v>3313</v>
      </c>
      <c r="H1013" t="s">
        <v>153</v>
      </c>
      <c r="I1013" t="s">
        <v>3314</v>
      </c>
      <c r="J1013" t="s">
        <v>56</v>
      </c>
      <c r="K1013" t="s">
        <v>62</v>
      </c>
      <c r="L1013" t="s">
        <v>56</v>
      </c>
      <c r="M1013" t="s">
        <v>56</v>
      </c>
      <c r="N1013" t="s">
        <v>155</v>
      </c>
      <c r="O1013" t="s">
        <v>2341</v>
      </c>
      <c r="P1013" t="s">
        <v>2342</v>
      </c>
      <c r="Q1013" t="s">
        <v>114</v>
      </c>
      <c r="R1013" t="s">
        <v>88</v>
      </c>
      <c r="T1013">
        <v>-1124.4000000000001</v>
      </c>
      <c r="U1013" t="s">
        <v>68</v>
      </c>
      <c r="V1013" t="s">
        <v>3315</v>
      </c>
      <c r="W1013" s="9">
        <v>60604298</v>
      </c>
      <c r="X1013" t="s">
        <v>3316</v>
      </c>
      <c r="Y1013" s="1">
        <v>45729</v>
      </c>
      <c r="Z1013" s="1">
        <v>45729</v>
      </c>
      <c r="AA1013" s="2">
        <v>1193038.6000000001</v>
      </c>
      <c r="AB1013" s="2">
        <v>1193038.6000000001</v>
      </c>
      <c r="AC1013" s="2">
        <v>0</v>
      </c>
      <c r="AD1013" s="2">
        <v>745.25</v>
      </c>
      <c r="AE1013" t="s">
        <v>3317</v>
      </c>
      <c r="AF1013" t="s">
        <v>72</v>
      </c>
      <c r="AG1013">
        <v>349</v>
      </c>
      <c r="AH1013" t="s">
        <v>101</v>
      </c>
      <c r="AI1013" t="s">
        <v>74</v>
      </c>
      <c r="AJ1013" t="s">
        <v>75</v>
      </c>
      <c r="AK1013" t="s">
        <v>102</v>
      </c>
      <c r="AL1013" t="s">
        <v>77</v>
      </c>
      <c r="AM1013" t="s">
        <v>103</v>
      </c>
      <c r="AN1013" t="s">
        <v>738</v>
      </c>
      <c r="AO1013" t="s">
        <v>80</v>
      </c>
      <c r="AP1013" t="e">
        <v>#N/A</v>
      </c>
      <c r="AQ1013" t="s">
        <v>105</v>
      </c>
      <c r="AR1013" t="str">
        <f t="shared" si="30"/>
        <v>60604298.STATEQ</v>
      </c>
      <c r="AS1013">
        <f t="shared" si="31"/>
        <v>1124.4000000000001</v>
      </c>
      <c r="AT1013" t="s">
        <v>82</v>
      </c>
    </row>
    <row r="1014" spans="1:46" x14ac:dyDescent="0.35">
      <c r="A1014" t="s">
        <v>52</v>
      </c>
      <c r="B1014" t="s">
        <v>53</v>
      </c>
      <c r="C1014" t="s">
        <v>54</v>
      </c>
      <c r="D1014" t="s">
        <v>55</v>
      </c>
      <c r="E1014" t="s">
        <v>56</v>
      </c>
      <c r="F1014" t="s">
        <v>3312</v>
      </c>
      <c r="G1014" t="s">
        <v>3313</v>
      </c>
      <c r="H1014" t="s">
        <v>153</v>
      </c>
      <c r="I1014" t="s">
        <v>3314</v>
      </c>
      <c r="J1014" t="s">
        <v>56</v>
      </c>
      <c r="K1014" t="s">
        <v>62</v>
      </c>
      <c r="L1014" t="s">
        <v>56</v>
      </c>
      <c r="M1014" t="s">
        <v>56</v>
      </c>
      <c r="N1014" t="s">
        <v>113</v>
      </c>
      <c r="O1014" t="s">
        <v>2341</v>
      </c>
      <c r="P1014" t="s">
        <v>2342</v>
      </c>
      <c r="Q1014" t="s">
        <v>114</v>
      </c>
      <c r="R1014" t="s">
        <v>88</v>
      </c>
      <c r="T1014">
        <v>-1124.4000000000001</v>
      </c>
      <c r="U1014" t="s">
        <v>68</v>
      </c>
      <c r="V1014" t="s">
        <v>3315</v>
      </c>
      <c r="W1014" s="9">
        <v>60604298</v>
      </c>
      <c r="X1014" t="s">
        <v>3316</v>
      </c>
      <c r="Y1014" s="1">
        <v>45729</v>
      </c>
      <c r="Z1014" s="1">
        <v>45729</v>
      </c>
      <c r="AA1014" s="2">
        <v>606961.4</v>
      </c>
      <c r="AB1014" s="2">
        <v>606961.4</v>
      </c>
      <c r="AC1014" s="2">
        <v>0</v>
      </c>
      <c r="AD1014" s="2">
        <v>379.15</v>
      </c>
      <c r="AE1014" t="s">
        <v>3318</v>
      </c>
      <c r="AF1014" t="s">
        <v>72</v>
      </c>
      <c r="AG1014">
        <v>349</v>
      </c>
      <c r="AH1014" t="s">
        <v>101</v>
      </c>
      <c r="AI1014" t="s">
        <v>74</v>
      </c>
      <c r="AJ1014" t="s">
        <v>75</v>
      </c>
      <c r="AK1014" t="s">
        <v>102</v>
      </c>
      <c r="AL1014" t="s">
        <v>77</v>
      </c>
      <c r="AM1014" t="s">
        <v>103</v>
      </c>
      <c r="AN1014" t="s">
        <v>738</v>
      </c>
      <c r="AO1014" t="s">
        <v>80</v>
      </c>
      <c r="AP1014" t="e">
        <v>#N/A</v>
      </c>
      <c r="AQ1014" t="s">
        <v>105</v>
      </c>
      <c r="AR1014" t="str">
        <f t="shared" si="30"/>
        <v>60604298.STATEQ</v>
      </c>
      <c r="AS1014">
        <f t="shared" si="31"/>
        <v>1124.4000000000001</v>
      </c>
      <c r="AT1014" t="s">
        <v>82</v>
      </c>
    </row>
    <row r="1015" spans="1:46" x14ac:dyDescent="0.35">
      <c r="A1015" t="s">
        <v>52</v>
      </c>
      <c r="B1015" t="s">
        <v>53</v>
      </c>
      <c r="C1015" t="s">
        <v>54</v>
      </c>
      <c r="D1015" t="s">
        <v>55</v>
      </c>
      <c r="E1015" t="s">
        <v>56</v>
      </c>
      <c r="F1015" t="s">
        <v>3319</v>
      </c>
      <c r="G1015" t="s">
        <v>3320</v>
      </c>
      <c r="H1015" t="s">
        <v>56</v>
      </c>
      <c r="I1015" t="s">
        <v>3321</v>
      </c>
      <c r="J1015" t="s">
        <v>56</v>
      </c>
      <c r="K1015" t="s">
        <v>640</v>
      </c>
      <c r="L1015" t="s">
        <v>3322</v>
      </c>
      <c r="M1015" t="s">
        <v>56</v>
      </c>
      <c r="N1015" t="s">
        <v>295</v>
      </c>
      <c r="O1015" t="s">
        <v>1844</v>
      </c>
      <c r="P1015" t="s">
        <v>1845</v>
      </c>
      <c r="Q1015" t="s">
        <v>853</v>
      </c>
      <c r="R1015" t="s">
        <v>248</v>
      </c>
      <c r="S1015">
        <v>2000000</v>
      </c>
      <c r="T1015">
        <v>-1400115.48</v>
      </c>
      <c r="U1015" t="s">
        <v>68</v>
      </c>
      <c r="V1015" t="s">
        <v>3323</v>
      </c>
      <c r="W1015" s="9">
        <v>60603912</v>
      </c>
      <c r="X1015" t="s">
        <v>3324</v>
      </c>
      <c r="Y1015" s="1">
        <v>46035</v>
      </c>
      <c r="Z1015" s="1">
        <v>46095</v>
      </c>
      <c r="AA1015" s="2">
        <v>24954.81</v>
      </c>
      <c r="AB1015" s="2">
        <v>21148.14</v>
      </c>
      <c r="AC1015" s="2">
        <v>3806.67</v>
      </c>
      <c r="AD1015" s="2">
        <v>3568.28</v>
      </c>
      <c r="AE1015" t="s">
        <v>3325</v>
      </c>
      <c r="AF1015" t="s">
        <v>72</v>
      </c>
      <c r="AG1015">
        <v>-17</v>
      </c>
      <c r="AH1015" t="s">
        <v>117</v>
      </c>
      <c r="AI1015" t="s">
        <v>74</v>
      </c>
      <c r="AJ1015" t="s">
        <v>75</v>
      </c>
      <c r="AK1015" t="s">
        <v>76</v>
      </c>
      <c r="AL1015" t="s">
        <v>118</v>
      </c>
      <c r="AM1015" t="s">
        <v>78</v>
      </c>
      <c r="AN1015" t="s">
        <v>92</v>
      </c>
      <c r="AO1015" t="s">
        <v>119</v>
      </c>
      <c r="AP1015" t="s">
        <v>46</v>
      </c>
      <c r="AQ1015" t="s">
        <v>81</v>
      </c>
      <c r="AR1015" t="str">
        <f t="shared" si="30"/>
        <v>60603912.STATAM</v>
      </c>
      <c r="AS1015">
        <f t="shared" si="31"/>
        <v>2088856.5899999999</v>
      </c>
      <c r="AT1015" t="s">
        <v>82</v>
      </c>
    </row>
    <row r="1016" spans="1:46" x14ac:dyDescent="0.35">
      <c r="A1016" t="s">
        <v>52</v>
      </c>
      <c r="B1016" t="s">
        <v>53</v>
      </c>
      <c r="C1016" t="s">
        <v>54</v>
      </c>
      <c r="D1016" t="s">
        <v>55</v>
      </c>
      <c r="E1016" t="s">
        <v>56</v>
      </c>
      <c r="F1016" t="s">
        <v>3319</v>
      </c>
      <c r="G1016" t="s">
        <v>3320</v>
      </c>
      <c r="H1016" t="s">
        <v>56</v>
      </c>
      <c r="I1016" t="s">
        <v>3321</v>
      </c>
      <c r="J1016" t="s">
        <v>56</v>
      </c>
      <c r="K1016" t="s">
        <v>640</v>
      </c>
      <c r="L1016" t="s">
        <v>3322</v>
      </c>
      <c r="M1016" t="s">
        <v>56</v>
      </c>
      <c r="N1016" t="s">
        <v>252</v>
      </c>
      <c r="O1016" t="s">
        <v>1844</v>
      </c>
      <c r="P1016" t="s">
        <v>1845</v>
      </c>
      <c r="Q1016" t="s">
        <v>853</v>
      </c>
      <c r="R1016" t="s">
        <v>248</v>
      </c>
      <c r="S1016">
        <v>2000000</v>
      </c>
      <c r="T1016">
        <v>-1400115.48</v>
      </c>
      <c r="U1016" t="s">
        <v>68</v>
      </c>
      <c r="V1016" t="s">
        <v>3323</v>
      </c>
      <c r="W1016" s="9">
        <v>60603912</v>
      </c>
      <c r="X1016" t="s">
        <v>3324</v>
      </c>
      <c r="Y1016" s="1">
        <v>46035</v>
      </c>
      <c r="Z1016" s="1">
        <v>46095</v>
      </c>
      <c r="AA1016" s="2">
        <v>15199.49</v>
      </c>
      <c r="AB1016" s="2">
        <v>12880.92</v>
      </c>
      <c r="AC1016" s="2">
        <v>2318.5700000000002</v>
      </c>
      <c r="AD1016" s="2">
        <v>2173.37</v>
      </c>
      <c r="AE1016" t="s">
        <v>3326</v>
      </c>
      <c r="AF1016" t="s">
        <v>72</v>
      </c>
      <c r="AG1016">
        <v>-17</v>
      </c>
      <c r="AH1016" t="s">
        <v>117</v>
      </c>
      <c r="AI1016" t="s">
        <v>74</v>
      </c>
      <c r="AJ1016" t="s">
        <v>75</v>
      </c>
      <c r="AK1016" t="s">
        <v>76</v>
      </c>
      <c r="AL1016" t="s">
        <v>118</v>
      </c>
      <c r="AM1016" t="s">
        <v>78</v>
      </c>
      <c r="AN1016" t="s">
        <v>92</v>
      </c>
      <c r="AO1016" t="s">
        <v>119</v>
      </c>
      <c r="AP1016" t="s">
        <v>46</v>
      </c>
      <c r="AQ1016" t="s">
        <v>81</v>
      </c>
      <c r="AR1016" t="str">
        <f t="shared" si="30"/>
        <v>60603912.STATAM</v>
      </c>
      <c r="AS1016">
        <f t="shared" si="31"/>
        <v>2088856.5899999999</v>
      </c>
      <c r="AT1016" t="s">
        <v>82</v>
      </c>
    </row>
    <row r="1017" spans="1:46" x14ac:dyDescent="0.35">
      <c r="A1017" t="s">
        <v>52</v>
      </c>
      <c r="B1017" t="s">
        <v>53</v>
      </c>
      <c r="C1017" t="s">
        <v>54</v>
      </c>
      <c r="D1017" t="s">
        <v>55</v>
      </c>
      <c r="E1017" t="s">
        <v>56</v>
      </c>
      <c r="F1017" t="s">
        <v>3319</v>
      </c>
      <c r="G1017" t="s">
        <v>3327</v>
      </c>
      <c r="H1017" t="s">
        <v>56</v>
      </c>
      <c r="I1017" t="s">
        <v>3328</v>
      </c>
      <c r="J1017" t="s">
        <v>61</v>
      </c>
      <c r="K1017" t="s">
        <v>640</v>
      </c>
      <c r="L1017" t="s">
        <v>3329</v>
      </c>
      <c r="M1017" t="s">
        <v>56</v>
      </c>
      <c r="N1017" t="s">
        <v>244</v>
      </c>
      <c r="O1017" t="s">
        <v>1844</v>
      </c>
      <c r="P1017" t="s">
        <v>1845</v>
      </c>
      <c r="Q1017" t="s">
        <v>641</v>
      </c>
      <c r="R1017" t="s">
        <v>248</v>
      </c>
      <c r="S1017">
        <v>2000000</v>
      </c>
      <c r="T1017">
        <v>-1400115.48</v>
      </c>
      <c r="U1017" t="s">
        <v>68</v>
      </c>
      <c r="V1017" t="s">
        <v>3323</v>
      </c>
      <c r="W1017" s="9">
        <v>60603912</v>
      </c>
      <c r="X1017" t="s">
        <v>3330</v>
      </c>
      <c r="Y1017" s="1">
        <v>46035</v>
      </c>
      <c r="Z1017" s="1">
        <v>46095</v>
      </c>
      <c r="AA1017" s="2">
        <v>708837.8</v>
      </c>
      <c r="AB1017" s="2">
        <v>600710</v>
      </c>
      <c r="AC1017" s="2">
        <v>108127.8</v>
      </c>
      <c r="AD1017" s="2">
        <v>708837.8</v>
      </c>
      <c r="AE1017" t="s">
        <v>3331</v>
      </c>
      <c r="AF1017" t="s">
        <v>72</v>
      </c>
      <c r="AG1017">
        <v>-17</v>
      </c>
      <c r="AH1017" t="s">
        <v>117</v>
      </c>
      <c r="AI1017" t="s">
        <v>74</v>
      </c>
      <c r="AJ1017" t="s">
        <v>75</v>
      </c>
      <c r="AK1017" t="s">
        <v>76</v>
      </c>
      <c r="AL1017" t="s">
        <v>118</v>
      </c>
      <c r="AM1017" t="s">
        <v>78</v>
      </c>
      <c r="AN1017" t="s">
        <v>92</v>
      </c>
      <c r="AO1017" t="s">
        <v>119</v>
      </c>
      <c r="AP1017" t="s">
        <v>46</v>
      </c>
      <c r="AQ1017" t="s">
        <v>81</v>
      </c>
      <c r="AR1017" t="str">
        <f t="shared" si="30"/>
        <v>60603912.STATAM</v>
      </c>
      <c r="AS1017">
        <f t="shared" si="31"/>
        <v>2088856.5899999999</v>
      </c>
      <c r="AT1017" t="s">
        <v>82</v>
      </c>
    </row>
    <row r="1018" spans="1:46" x14ac:dyDescent="0.35">
      <c r="A1018" t="s">
        <v>52</v>
      </c>
      <c r="B1018" t="s">
        <v>53</v>
      </c>
      <c r="C1018" t="s">
        <v>54</v>
      </c>
      <c r="D1018" t="s">
        <v>55</v>
      </c>
      <c r="E1018" t="s">
        <v>56</v>
      </c>
      <c r="F1018" t="s">
        <v>3319</v>
      </c>
      <c r="G1018" t="s">
        <v>3327</v>
      </c>
      <c r="H1018" t="s">
        <v>56</v>
      </c>
      <c r="I1018" t="s">
        <v>3328</v>
      </c>
      <c r="J1018" t="s">
        <v>61</v>
      </c>
      <c r="K1018" t="s">
        <v>640</v>
      </c>
      <c r="L1018" t="s">
        <v>3329</v>
      </c>
      <c r="M1018" t="s">
        <v>56</v>
      </c>
      <c r="N1018" t="s">
        <v>254</v>
      </c>
      <c r="O1018" t="s">
        <v>1844</v>
      </c>
      <c r="P1018" t="s">
        <v>1845</v>
      </c>
      <c r="Q1018" t="s">
        <v>641</v>
      </c>
      <c r="R1018" t="s">
        <v>248</v>
      </c>
      <c r="S1018">
        <v>2000000</v>
      </c>
      <c r="T1018">
        <v>-1400115.48</v>
      </c>
      <c r="U1018" t="s">
        <v>68</v>
      </c>
      <c r="V1018" t="s">
        <v>3323</v>
      </c>
      <c r="W1018" s="9">
        <v>60603912</v>
      </c>
      <c r="X1018" t="s">
        <v>3330</v>
      </c>
      <c r="Y1018" s="1">
        <v>46035</v>
      </c>
      <c r="Z1018" s="1">
        <v>46095</v>
      </c>
      <c r="AA1018" s="2">
        <v>257498.42</v>
      </c>
      <c r="AB1018" s="2">
        <v>218219</v>
      </c>
      <c r="AC1018" s="2">
        <v>39279.42</v>
      </c>
      <c r="AD1018" s="2">
        <v>257498.42</v>
      </c>
      <c r="AE1018" t="s">
        <v>3332</v>
      </c>
      <c r="AF1018" t="s">
        <v>72</v>
      </c>
      <c r="AG1018">
        <v>-17</v>
      </c>
      <c r="AH1018" t="s">
        <v>117</v>
      </c>
      <c r="AI1018" t="s">
        <v>74</v>
      </c>
      <c r="AJ1018" t="s">
        <v>75</v>
      </c>
      <c r="AK1018" t="s">
        <v>76</v>
      </c>
      <c r="AL1018" t="s">
        <v>118</v>
      </c>
      <c r="AM1018" t="s">
        <v>78</v>
      </c>
      <c r="AN1018" t="s">
        <v>92</v>
      </c>
      <c r="AO1018" t="s">
        <v>119</v>
      </c>
      <c r="AP1018" t="s">
        <v>46</v>
      </c>
      <c r="AQ1018" t="s">
        <v>81</v>
      </c>
      <c r="AR1018" t="str">
        <f t="shared" si="30"/>
        <v>60603912.STATAM</v>
      </c>
      <c r="AS1018">
        <f t="shared" si="31"/>
        <v>2088856.5899999999</v>
      </c>
      <c r="AT1018" t="s">
        <v>82</v>
      </c>
    </row>
    <row r="1019" spans="1:46" x14ac:dyDescent="0.35">
      <c r="A1019" t="s">
        <v>52</v>
      </c>
      <c r="B1019" t="s">
        <v>53</v>
      </c>
      <c r="C1019" t="s">
        <v>54</v>
      </c>
      <c r="D1019" t="s">
        <v>55</v>
      </c>
      <c r="E1019" t="s">
        <v>56</v>
      </c>
      <c r="F1019" t="s">
        <v>3319</v>
      </c>
      <c r="G1019" t="s">
        <v>3333</v>
      </c>
      <c r="H1019" t="s">
        <v>56</v>
      </c>
      <c r="I1019" t="s">
        <v>3334</v>
      </c>
      <c r="J1019" t="s">
        <v>56</v>
      </c>
      <c r="K1019" t="s">
        <v>640</v>
      </c>
      <c r="L1019" t="s">
        <v>3329</v>
      </c>
      <c r="M1019" t="s">
        <v>56</v>
      </c>
      <c r="N1019" t="s">
        <v>252</v>
      </c>
      <c r="O1019" t="s">
        <v>1844</v>
      </c>
      <c r="P1019" t="s">
        <v>1845</v>
      </c>
      <c r="Q1019" t="s">
        <v>853</v>
      </c>
      <c r="R1019" t="s">
        <v>248</v>
      </c>
      <c r="S1019">
        <v>2000000</v>
      </c>
      <c r="T1019">
        <v>-1400115.48</v>
      </c>
      <c r="U1019" t="s">
        <v>68</v>
      </c>
      <c r="V1019" t="s">
        <v>3323</v>
      </c>
      <c r="W1019" s="9">
        <v>60603912</v>
      </c>
      <c r="X1019" t="s">
        <v>3335</v>
      </c>
      <c r="Y1019" s="1">
        <v>46035</v>
      </c>
      <c r="Z1019" s="1">
        <v>46095</v>
      </c>
      <c r="AA1019" s="2">
        <v>11176.42</v>
      </c>
      <c r="AB1019" s="2">
        <v>9471.5400000000009</v>
      </c>
      <c r="AC1019" s="2">
        <v>1704.88</v>
      </c>
      <c r="AD1019" s="2">
        <v>11176.42</v>
      </c>
      <c r="AE1019" t="s">
        <v>3336</v>
      </c>
      <c r="AF1019" t="s">
        <v>72</v>
      </c>
      <c r="AG1019">
        <v>-17</v>
      </c>
      <c r="AH1019" t="s">
        <v>117</v>
      </c>
      <c r="AI1019" t="s">
        <v>74</v>
      </c>
      <c r="AJ1019" t="s">
        <v>75</v>
      </c>
      <c r="AK1019" t="s">
        <v>76</v>
      </c>
      <c r="AL1019" t="s">
        <v>118</v>
      </c>
      <c r="AM1019" t="s">
        <v>78</v>
      </c>
      <c r="AN1019" t="s">
        <v>92</v>
      </c>
      <c r="AO1019" t="s">
        <v>119</v>
      </c>
      <c r="AP1019" t="s">
        <v>46</v>
      </c>
      <c r="AQ1019" t="s">
        <v>81</v>
      </c>
      <c r="AR1019" t="str">
        <f t="shared" si="30"/>
        <v>60603912.STATAM</v>
      </c>
      <c r="AS1019">
        <f t="shared" si="31"/>
        <v>2088856.5899999999</v>
      </c>
      <c r="AT1019" t="s">
        <v>82</v>
      </c>
    </row>
    <row r="1020" spans="1:46" x14ac:dyDescent="0.35">
      <c r="A1020" t="s">
        <v>52</v>
      </c>
      <c r="B1020" t="s">
        <v>53</v>
      </c>
      <c r="C1020" t="s">
        <v>54</v>
      </c>
      <c r="D1020" t="s">
        <v>55</v>
      </c>
      <c r="E1020" t="s">
        <v>56</v>
      </c>
      <c r="F1020" t="s">
        <v>3319</v>
      </c>
      <c r="G1020" t="s">
        <v>3333</v>
      </c>
      <c r="H1020" t="s">
        <v>56</v>
      </c>
      <c r="I1020" t="s">
        <v>3334</v>
      </c>
      <c r="J1020" t="s">
        <v>56</v>
      </c>
      <c r="K1020" t="s">
        <v>640</v>
      </c>
      <c r="L1020" t="s">
        <v>3329</v>
      </c>
      <c r="M1020" t="s">
        <v>56</v>
      </c>
      <c r="N1020" t="s">
        <v>261</v>
      </c>
      <c r="O1020" t="s">
        <v>1844</v>
      </c>
      <c r="P1020" t="s">
        <v>1845</v>
      </c>
      <c r="Q1020" t="s">
        <v>853</v>
      </c>
      <c r="R1020" t="s">
        <v>248</v>
      </c>
      <c r="S1020">
        <v>2000000</v>
      </c>
      <c r="T1020">
        <v>-1400115.48</v>
      </c>
      <c r="U1020" t="s">
        <v>68</v>
      </c>
      <c r="V1020" t="s">
        <v>3323</v>
      </c>
      <c r="W1020" s="9">
        <v>60603912</v>
      </c>
      <c r="X1020" t="s">
        <v>3335</v>
      </c>
      <c r="Y1020" s="1">
        <v>46035</v>
      </c>
      <c r="Z1020" s="1">
        <v>46095</v>
      </c>
      <c r="AA1020" s="2">
        <v>115276.42</v>
      </c>
      <c r="AB1020" s="2">
        <v>97691.88</v>
      </c>
      <c r="AC1020" s="2">
        <v>17584.54</v>
      </c>
      <c r="AD1020" s="2">
        <v>115276.42</v>
      </c>
      <c r="AE1020" t="s">
        <v>3337</v>
      </c>
      <c r="AF1020" t="s">
        <v>72</v>
      </c>
      <c r="AG1020">
        <v>-17</v>
      </c>
      <c r="AH1020" t="s">
        <v>117</v>
      </c>
      <c r="AI1020" t="s">
        <v>74</v>
      </c>
      <c r="AJ1020" t="s">
        <v>75</v>
      </c>
      <c r="AK1020" t="s">
        <v>76</v>
      </c>
      <c r="AL1020" t="s">
        <v>118</v>
      </c>
      <c r="AM1020" t="s">
        <v>78</v>
      </c>
      <c r="AN1020" t="s">
        <v>92</v>
      </c>
      <c r="AO1020" t="s">
        <v>119</v>
      </c>
      <c r="AP1020" t="s">
        <v>46</v>
      </c>
      <c r="AQ1020" t="s">
        <v>81</v>
      </c>
      <c r="AR1020" t="str">
        <f t="shared" si="30"/>
        <v>60603912.STATAM</v>
      </c>
      <c r="AS1020">
        <f t="shared" si="31"/>
        <v>2088856.5899999999</v>
      </c>
      <c r="AT1020" t="s">
        <v>82</v>
      </c>
    </row>
    <row r="1021" spans="1:46" x14ac:dyDescent="0.35">
      <c r="A1021" t="s">
        <v>52</v>
      </c>
      <c r="B1021" t="s">
        <v>53</v>
      </c>
      <c r="C1021" t="s">
        <v>54</v>
      </c>
      <c r="D1021" t="s">
        <v>55</v>
      </c>
      <c r="E1021" t="s">
        <v>56</v>
      </c>
      <c r="F1021" t="s">
        <v>3319</v>
      </c>
      <c r="G1021" t="s">
        <v>3338</v>
      </c>
      <c r="H1021" t="s">
        <v>56</v>
      </c>
      <c r="I1021" t="s">
        <v>3339</v>
      </c>
      <c r="J1021" t="s">
        <v>56</v>
      </c>
      <c r="K1021" t="s">
        <v>640</v>
      </c>
      <c r="L1021" t="s">
        <v>56</v>
      </c>
      <c r="M1021" t="s">
        <v>56</v>
      </c>
      <c r="N1021" t="s">
        <v>261</v>
      </c>
      <c r="O1021" t="s">
        <v>1844</v>
      </c>
      <c r="P1021" t="s">
        <v>1845</v>
      </c>
      <c r="Q1021" t="s">
        <v>853</v>
      </c>
      <c r="R1021" t="s">
        <v>248</v>
      </c>
      <c r="S1021">
        <v>2000000</v>
      </c>
      <c r="T1021">
        <v>-1400115.48</v>
      </c>
      <c r="U1021" t="s">
        <v>68</v>
      </c>
      <c r="V1021" t="s">
        <v>3323</v>
      </c>
      <c r="W1021" s="9">
        <v>60603912</v>
      </c>
      <c r="X1021" t="s">
        <v>3340</v>
      </c>
      <c r="Y1021" s="1">
        <v>46035</v>
      </c>
      <c r="Z1021" s="1">
        <v>46095</v>
      </c>
      <c r="AA1021" s="2">
        <v>167319.51999999999</v>
      </c>
      <c r="AB1021" s="2">
        <v>141796.20000000001</v>
      </c>
      <c r="AC1021" s="2">
        <v>25523.32</v>
      </c>
      <c r="AD1021" s="2">
        <v>167319.51999999999</v>
      </c>
      <c r="AE1021" t="s">
        <v>3341</v>
      </c>
      <c r="AF1021" t="s">
        <v>72</v>
      </c>
      <c r="AG1021">
        <v>-17</v>
      </c>
      <c r="AH1021" t="s">
        <v>117</v>
      </c>
      <c r="AI1021" t="s">
        <v>74</v>
      </c>
      <c r="AJ1021" t="s">
        <v>75</v>
      </c>
      <c r="AK1021" t="s">
        <v>76</v>
      </c>
      <c r="AL1021" t="s">
        <v>118</v>
      </c>
      <c r="AM1021" t="s">
        <v>78</v>
      </c>
      <c r="AN1021" t="s">
        <v>92</v>
      </c>
      <c r="AO1021" t="s">
        <v>119</v>
      </c>
      <c r="AP1021" t="s">
        <v>46</v>
      </c>
      <c r="AQ1021" t="s">
        <v>81</v>
      </c>
      <c r="AR1021" t="str">
        <f t="shared" si="30"/>
        <v>60603912.STATAM</v>
      </c>
      <c r="AS1021">
        <f t="shared" si="31"/>
        <v>2088856.5899999999</v>
      </c>
      <c r="AT1021" t="s">
        <v>82</v>
      </c>
    </row>
    <row r="1022" spans="1:46" x14ac:dyDescent="0.35">
      <c r="A1022" t="s">
        <v>52</v>
      </c>
      <c r="B1022" t="s">
        <v>53</v>
      </c>
      <c r="C1022" t="s">
        <v>54</v>
      </c>
      <c r="D1022" t="s">
        <v>55</v>
      </c>
      <c r="E1022" t="s">
        <v>56</v>
      </c>
      <c r="F1022" t="s">
        <v>3319</v>
      </c>
      <c r="G1022" t="s">
        <v>3338</v>
      </c>
      <c r="H1022" t="s">
        <v>56</v>
      </c>
      <c r="I1022" t="s">
        <v>3339</v>
      </c>
      <c r="J1022" t="s">
        <v>56</v>
      </c>
      <c r="K1022" t="s">
        <v>640</v>
      </c>
      <c r="L1022" t="s">
        <v>56</v>
      </c>
      <c r="M1022" t="s">
        <v>56</v>
      </c>
      <c r="N1022" t="s">
        <v>252</v>
      </c>
      <c r="O1022" t="s">
        <v>1844</v>
      </c>
      <c r="P1022" t="s">
        <v>1845</v>
      </c>
      <c r="Q1022" t="s">
        <v>853</v>
      </c>
      <c r="R1022" t="s">
        <v>248</v>
      </c>
      <c r="S1022">
        <v>2000000</v>
      </c>
      <c r="T1022">
        <v>-1400115.48</v>
      </c>
      <c r="U1022" t="s">
        <v>68</v>
      </c>
      <c r="V1022" t="s">
        <v>3323</v>
      </c>
      <c r="W1022" s="9">
        <v>60603912</v>
      </c>
      <c r="X1022" t="s">
        <v>3340</v>
      </c>
      <c r="Y1022" s="1">
        <v>46035</v>
      </c>
      <c r="Z1022" s="1">
        <v>46095</v>
      </c>
      <c r="AA1022" s="2">
        <v>181868.28</v>
      </c>
      <c r="AB1022" s="2">
        <v>154125.66</v>
      </c>
      <c r="AC1022" s="2">
        <v>27742.62</v>
      </c>
      <c r="AD1022" s="2">
        <v>181868.28</v>
      </c>
      <c r="AE1022" t="s">
        <v>3342</v>
      </c>
      <c r="AF1022" t="s">
        <v>72</v>
      </c>
      <c r="AG1022">
        <v>-17</v>
      </c>
      <c r="AH1022" t="s">
        <v>117</v>
      </c>
      <c r="AI1022" t="s">
        <v>74</v>
      </c>
      <c r="AJ1022" t="s">
        <v>75</v>
      </c>
      <c r="AK1022" t="s">
        <v>76</v>
      </c>
      <c r="AL1022" t="s">
        <v>118</v>
      </c>
      <c r="AM1022" t="s">
        <v>78</v>
      </c>
      <c r="AN1022" t="s">
        <v>92</v>
      </c>
      <c r="AO1022" t="s">
        <v>119</v>
      </c>
      <c r="AP1022" t="s">
        <v>46</v>
      </c>
      <c r="AQ1022" t="s">
        <v>81</v>
      </c>
      <c r="AR1022" t="str">
        <f t="shared" si="30"/>
        <v>60603912.STATAM</v>
      </c>
      <c r="AS1022">
        <f t="shared" si="31"/>
        <v>2088856.5899999999</v>
      </c>
      <c r="AT1022" t="s">
        <v>82</v>
      </c>
    </row>
    <row r="1023" spans="1:46" x14ac:dyDescent="0.35">
      <c r="A1023" t="s">
        <v>52</v>
      </c>
      <c r="B1023" t="s">
        <v>53</v>
      </c>
      <c r="C1023" t="s">
        <v>54</v>
      </c>
      <c r="D1023" t="s">
        <v>55</v>
      </c>
      <c r="E1023" t="s">
        <v>56</v>
      </c>
      <c r="F1023" t="s">
        <v>3319</v>
      </c>
      <c r="G1023" t="s">
        <v>3343</v>
      </c>
      <c r="H1023" t="s">
        <v>56</v>
      </c>
      <c r="I1023" t="s">
        <v>3344</v>
      </c>
      <c r="J1023" t="s">
        <v>56</v>
      </c>
      <c r="K1023" t="s">
        <v>640</v>
      </c>
      <c r="L1023" t="s">
        <v>3345</v>
      </c>
      <c r="M1023" t="s">
        <v>56</v>
      </c>
      <c r="N1023" t="s">
        <v>1384</v>
      </c>
      <c r="O1023" t="s">
        <v>1844</v>
      </c>
      <c r="P1023" t="s">
        <v>1845</v>
      </c>
      <c r="Q1023" t="s">
        <v>853</v>
      </c>
      <c r="R1023" t="s">
        <v>248</v>
      </c>
      <c r="S1023">
        <v>2000000</v>
      </c>
      <c r="T1023">
        <v>-1400115.48</v>
      </c>
      <c r="U1023" t="s">
        <v>68</v>
      </c>
      <c r="V1023" t="s">
        <v>3323</v>
      </c>
      <c r="W1023" s="9">
        <v>60603912</v>
      </c>
      <c r="X1023" t="s">
        <v>3346</v>
      </c>
      <c r="Y1023" s="1">
        <v>46043</v>
      </c>
      <c r="Z1023" s="1">
        <v>46103</v>
      </c>
      <c r="AA1023" s="2">
        <v>217272.38</v>
      </c>
      <c r="AB1023" s="2">
        <v>184129.14</v>
      </c>
      <c r="AC1023" s="2">
        <v>33143.24</v>
      </c>
      <c r="AD1023" s="2">
        <v>217272.38</v>
      </c>
      <c r="AE1023" t="s">
        <v>3347</v>
      </c>
      <c r="AF1023" t="s">
        <v>72</v>
      </c>
      <c r="AG1023">
        <v>-25</v>
      </c>
      <c r="AH1023" t="s">
        <v>117</v>
      </c>
      <c r="AI1023" t="s">
        <v>74</v>
      </c>
      <c r="AJ1023" t="s">
        <v>75</v>
      </c>
      <c r="AK1023" t="s">
        <v>76</v>
      </c>
      <c r="AL1023" t="s">
        <v>118</v>
      </c>
      <c r="AM1023" t="s">
        <v>78</v>
      </c>
      <c r="AN1023" t="s">
        <v>92</v>
      </c>
      <c r="AO1023" t="s">
        <v>119</v>
      </c>
      <c r="AP1023" t="s">
        <v>46</v>
      </c>
      <c r="AQ1023" t="s">
        <v>81</v>
      </c>
      <c r="AR1023" t="str">
        <f t="shared" si="30"/>
        <v>60603912.STATAM</v>
      </c>
      <c r="AS1023">
        <f t="shared" si="31"/>
        <v>2088856.5899999999</v>
      </c>
      <c r="AT1023" t="s">
        <v>82</v>
      </c>
    </row>
    <row r="1024" spans="1:46" x14ac:dyDescent="0.35">
      <c r="A1024" t="s">
        <v>52</v>
      </c>
      <c r="B1024" t="s">
        <v>53</v>
      </c>
      <c r="C1024" t="s">
        <v>54</v>
      </c>
      <c r="D1024" t="s">
        <v>55</v>
      </c>
      <c r="E1024" t="s">
        <v>56</v>
      </c>
      <c r="F1024" t="s">
        <v>3319</v>
      </c>
      <c r="G1024" t="s">
        <v>3343</v>
      </c>
      <c r="H1024" t="s">
        <v>56</v>
      </c>
      <c r="I1024" t="s">
        <v>3344</v>
      </c>
      <c r="J1024" t="s">
        <v>56</v>
      </c>
      <c r="K1024" t="s">
        <v>640</v>
      </c>
      <c r="L1024" t="s">
        <v>3345</v>
      </c>
      <c r="M1024" t="s">
        <v>56</v>
      </c>
      <c r="N1024" t="s">
        <v>252</v>
      </c>
      <c r="O1024" t="s">
        <v>1844</v>
      </c>
      <c r="P1024" t="s">
        <v>1845</v>
      </c>
      <c r="Q1024" t="s">
        <v>853</v>
      </c>
      <c r="R1024" t="s">
        <v>248</v>
      </c>
      <c r="S1024">
        <v>2000000</v>
      </c>
      <c r="T1024">
        <v>-1400115.48</v>
      </c>
      <c r="U1024" t="s">
        <v>68</v>
      </c>
      <c r="V1024" t="s">
        <v>3323</v>
      </c>
      <c r="W1024" s="9">
        <v>60603912</v>
      </c>
      <c r="X1024" t="s">
        <v>3346</v>
      </c>
      <c r="Y1024" s="1">
        <v>46043</v>
      </c>
      <c r="Z1024" s="1">
        <v>46103</v>
      </c>
      <c r="AA1024" s="2">
        <v>2671</v>
      </c>
      <c r="AB1024" s="2">
        <v>2263.56</v>
      </c>
      <c r="AC1024" s="2">
        <v>407.44</v>
      </c>
      <c r="AD1024" s="2">
        <v>2671</v>
      </c>
      <c r="AE1024" t="s">
        <v>3348</v>
      </c>
      <c r="AF1024" t="s">
        <v>72</v>
      </c>
      <c r="AG1024">
        <v>-25</v>
      </c>
      <c r="AH1024" t="s">
        <v>117</v>
      </c>
      <c r="AI1024" t="s">
        <v>74</v>
      </c>
      <c r="AJ1024" t="s">
        <v>75</v>
      </c>
      <c r="AK1024" t="s">
        <v>76</v>
      </c>
      <c r="AL1024" t="s">
        <v>118</v>
      </c>
      <c r="AM1024" t="s">
        <v>78</v>
      </c>
      <c r="AN1024" t="s">
        <v>92</v>
      </c>
      <c r="AO1024" t="s">
        <v>119</v>
      </c>
      <c r="AP1024" t="s">
        <v>46</v>
      </c>
      <c r="AQ1024" t="s">
        <v>81</v>
      </c>
      <c r="AR1024" t="str">
        <f t="shared" si="30"/>
        <v>60603912.STATAM</v>
      </c>
      <c r="AS1024">
        <f t="shared" si="31"/>
        <v>2088856.5899999999</v>
      </c>
      <c r="AT1024" t="s">
        <v>82</v>
      </c>
    </row>
    <row r="1025" spans="1:46" x14ac:dyDescent="0.35">
      <c r="A1025" t="s">
        <v>52</v>
      </c>
      <c r="B1025" t="s">
        <v>53</v>
      </c>
      <c r="C1025" t="s">
        <v>54</v>
      </c>
      <c r="D1025" t="s">
        <v>55</v>
      </c>
      <c r="E1025" t="s">
        <v>56</v>
      </c>
      <c r="F1025" t="s">
        <v>3319</v>
      </c>
      <c r="G1025" t="s">
        <v>3349</v>
      </c>
      <c r="H1025" t="s">
        <v>56</v>
      </c>
      <c r="I1025" t="s">
        <v>3350</v>
      </c>
      <c r="J1025" t="s">
        <v>56</v>
      </c>
      <c r="K1025" t="s">
        <v>640</v>
      </c>
      <c r="L1025" t="s">
        <v>56</v>
      </c>
      <c r="M1025" t="s">
        <v>56</v>
      </c>
      <c r="N1025" t="s">
        <v>252</v>
      </c>
      <c r="O1025" t="s">
        <v>1844</v>
      </c>
      <c r="P1025" t="s">
        <v>1845</v>
      </c>
      <c r="Q1025" t="s">
        <v>853</v>
      </c>
      <c r="R1025" t="s">
        <v>248</v>
      </c>
      <c r="S1025">
        <v>2000000</v>
      </c>
      <c r="T1025">
        <v>-1400115.48</v>
      </c>
      <c r="U1025" t="s">
        <v>68</v>
      </c>
      <c r="V1025" t="s">
        <v>3323</v>
      </c>
      <c r="W1025" s="9">
        <v>60603912</v>
      </c>
      <c r="X1025" t="s">
        <v>3351</v>
      </c>
      <c r="Y1025" s="1">
        <v>46043</v>
      </c>
      <c r="Z1025" s="1">
        <v>46103</v>
      </c>
      <c r="AA1025" s="2">
        <v>42480.14</v>
      </c>
      <c r="AB1025" s="2">
        <v>36000.120000000003</v>
      </c>
      <c r="AC1025" s="2">
        <v>6480.02</v>
      </c>
      <c r="AD1025" s="2">
        <v>42480.14</v>
      </c>
      <c r="AE1025" t="s">
        <v>3352</v>
      </c>
      <c r="AF1025" t="s">
        <v>72</v>
      </c>
      <c r="AG1025">
        <v>-25</v>
      </c>
      <c r="AH1025" t="s">
        <v>117</v>
      </c>
      <c r="AI1025" t="s">
        <v>74</v>
      </c>
      <c r="AJ1025" t="s">
        <v>75</v>
      </c>
      <c r="AK1025" t="s">
        <v>76</v>
      </c>
      <c r="AL1025" t="s">
        <v>118</v>
      </c>
      <c r="AM1025" t="s">
        <v>78</v>
      </c>
      <c r="AN1025" t="s">
        <v>92</v>
      </c>
      <c r="AO1025" t="s">
        <v>119</v>
      </c>
      <c r="AP1025" t="s">
        <v>46</v>
      </c>
      <c r="AQ1025" t="s">
        <v>81</v>
      </c>
      <c r="AR1025" t="str">
        <f t="shared" si="30"/>
        <v>60603912.STATAM</v>
      </c>
      <c r="AS1025">
        <f t="shared" si="31"/>
        <v>2088856.5899999999</v>
      </c>
      <c r="AT1025" t="s">
        <v>82</v>
      </c>
    </row>
    <row r="1026" spans="1:46" x14ac:dyDescent="0.35">
      <c r="A1026" t="s">
        <v>52</v>
      </c>
      <c r="B1026" t="s">
        <v>53</v>
      </c>
      <c r="C1026" t="s">
        <v>54</v>
      </c>
      <c r="D1026" t="s">
        <v>55</v>
      </c>
      <c r="E1026" t="s">
        <v>56</v>
      </c>
      <c r="F1026" t="s">
        <v>3319</v>
      </c>
      <c r="G1026" t="s">
        <v>3349</v>
      </c>
      <c r="H1026" t="s">
        <v>56</v>
      </c>
      <c r="I1026" t="s">
        <v>3353</v>
      </c>
      <c r="J1026" t="s">
        <v>56</v>
      </c>
      <c r="K1026" t="s">
        <v>640</v>
      </c>
      <c r="L1026" t="s">
        <v>56</v>
      </c>
      <c r="M1026" t="s">
        <v>56</v>
      </c>
      <c r="N1026" t="s">
        <v>252</v>
      </c>
      <c r="O1026" t="s">
        <v>1844</v>
      </c>
      <c r="P1026" t="s">
        <v>1845</v>
      </c>
      <c r="Q1026" t="s">
        <v>853</v>
      </c>
      <c r="R1026" t="s">
        <v>248</v>
      </c>
      <c r="S1026">
        <v>2000000</v>
      </c>
      <c r="T1026">
        <v>-1400115.48</v>
      </c>
      <c r="U1026" t="s">
        <v>68</v>
      </c>
      <c r="V1026" t="s">
        <v>3323</v>
      </c>
      <c r="W1026" s="9">
        <v>60603912</v>
      </c>
      <c r="X1026" t="s">
        <v>3354</v>
      </c>
      <c r="Y1026" s="1">
        <v>46043</v>
      </c>
      <c r="Z1026" s="1">
        <v>46103</v>
      </c>
      <c r="AA1026" s="2">
        <v>15660.16</v>
      </c>
      <c r="AB1026" s="2">
        <v>13271.32</v>
      </c>
      <c r="AC1026" s="2">
        <v>2388.84</v>
      </c>
      <c r="AD1026" s="2">
        <v>15660.16</v>
      </c>
      <c r="AE1026" t="s">
        <v>3355</v>
      </c>
      <c r="AF1026" t="s">
        <v>72</v>
      </c>
      <c r="AG1026">
        <v>-25</v>
      </c>
      <c r="AH1026" t="s">
        <v>117</v>
      </c>
      <c r="AI1026" t="s">
        <v>74</v>
      </c>
      <c r="AJ1026" t="s">
        <v>75</v>
      </c>
      <c r="AK1026" t="s">
        <v>76</v>
      </c>
      <c r="AL1026" t="s">
        <v>118</v>
      </c>
      <c r="AM1026" t="s">
        <v>78</v>
      </c>
      <c r="AN1026" t="s">
        <v>92</v>
      </c>
      <c r="AO1026" t="s">
        <v>119</v>
      </c>
      <c r="AP1026" t="s">
        <v>46</v>
      </c>
      <c r="AQ1026" t="s">
        <v>81</v>
      </c>
      <c r="AR1026" t="str">
        <f t="shared" si="30"/>
        <v>60603912.STATAM</v>
      </c>
      <c r="AS1026">
        <f t="shared" si="31"/>
        <v>2088856.5899999999</v>
      </c>
      <c r="AT1026" t="s">
        <v>82</v>
      </c>
    </row>
    <row r="1027" spans="1:46" x14ac:dyDescent="0.35">
      <c r="A1027" t="s">
        <v>52</v>
      </c>
      <c r="B1027" t="s">
        <v>53</v>
      </c>
      <c r="C1027" t="s">
        <v>54</v>
      </c>
      <c r="D1027" t="s">
        <v>55</v>
      </c>
      <c r="E1027" t="s">
        <v>56</v>
      </c>
      <c r="F1027" t="s">
        <v>3319</v>
      </c>
      <c r="G1027" t="s">
        <v>3356</v>
      </c>
      <c r="H1027" t="s">
        <v>56</v>
      </c>
      <c r="I1027" t="s">
        <v>3357</v>
      </c>
      <c r="J1027" t="s">
        <v>56</v>
      </c>
      <c r="K1027" t="s">
        <v>640</v>
      </c>
      <c r="L1027" t="s">
        <v>3358</v>
      </c>
      <c r="M1027" t="s">
        <v>56</v>
      </c>
      <c r="N1027" t="s">
        <v>252</v>
      </c>
      <c r="O1027" t="s">
        <v>1844</v>
      </c>
      <c r="P1027" t="s">
        <v>1845</v>
      </c>
      <c r="Q1027" t="s">
        <v>853</v>
      </c>
      <c r="R1027" t="s">
        <v>248</v>
      </c>
      <c r="S1027">
        <v>2000000</v>
      </c>
      <c r="T1027">
        <v>-1400115.48</v>
      </c>
      <c r="U1027" t="s">
        <v>68</v>
      </c>
      <c r="V1027" t="s">
        <v>3323</v>
      </c>
      <c r="W1027" s="9">
        <v>60603912</v>
      </c>
      <c r="X1027" t="s">
        <v>3359</v>
      </c>
      <c r="Y1027" s="1">
        <v>46050</v>
      </c>
      <c r="Z1027" s="1">
        <v>46110</v>
      </c>
      <c r="AA1027" s="2">
        <v>2240.25</v>
      </c>
      <c r="AB1027" s="2">
        <v>1898.52</v>
      </c>
      <c r="AC1027" s="2">
        <v>341.73</v>
      </c>
      <c r="AD1027" s="2">
        <v>2240.25</v>
      </c>
      <c r="AE1027" t="s">
        <v>3360</v>
      </c>
      <c r="AF1027" t="s">
        <v>72</v>
      </c>
      <c r="AG1027">
        <v>-32</v>
      </c>
      <c r="AH1027" t="s">
        <v>117</v>
      </c>
      <c r="AI1027" t="s">
        <v>74</v>
      </c>
      <c r="AJ1027" t="s">
        <v>75</v>
      </c>
      <c r="AK1027" t="s">
        <v>76</v>
      </c>
      <c r="AL1027" t="s">
        <v>118</v>
      </c>
      <c r="AM1027" t="s">
        <v>78</v>
      </c>
      <c r="AN1027" t="s">
        <v>92</v>
      </c>
      <c r="AO1027" t="s">
        <v>119</v>
      </c>
      <c r="AP1027" t="s">
        <v>46</v>
      </c>
      <c r="AQ1027" t="s">
        <v>81</v>
      </c>
      <c r="AR1027" t="str">
        <f t="shared" si="30"/>
        <v>60603912.STATAM</v>
      </c>
      <c r="AS1027">
        <f t="shared" si="31"/>
        <v>2088856.5899999999</v>
      </c>
      <c r="AT1027" t="s">
        <v>82</v>
      </c>
    </row>
    <row r="1028" spans="1:46" x14ac:dyDescent="0.35">
      <c r="A1028" t="s">
        <v>52</v>
      </c>
      <c r="B1028" t="s">
        <v>53</v>
      </c>
      <c r="C1028" t="s">
        <v>54</v>
      </c>
      <c r="D1028" t="s">
        <v>55</v>
      </c>
      <c r="E1028" t="s">
        <v>56</v>
      </c>
      <c r="F1028" t="s">
        <v>3319</v>
      </c>
      <c r="G1028" t="s">
        <v>3356</v>
      </c>
      <c r="H1028" t="s">
        <v>56</v>
      </c>
      <c r="I1028" t="s">
        <v>3357</v>
      </c>
      <c r="J1028" t="s">
        <v>56</v>
      </c>
      <c r="K1028" t="s">
        <v>640</v>
      </c>
      <c r="L1028" t="s">
        <v>3358</v>
      </c>
      <c r="M1028" t="s">
        <v>56</v>
      </c>
      <c r="N1028" t="s">
        <v>261</v>
      </c>
      <c r="O1028" t="s">
        <v>1844</v>
      </c>
      <c r="P1028" t="s">
        <v>1845</v>
      </c>
      <c r="Q1028" t="s">
        <v>853</v>
      </c>
      <c r="R1028" t="s">
        <v>248</v>
      </c>
      <c r="S1028">
        <v>2000000</v>
      </c>
      <c r="T1028">
        <v>-1400115.48</v>
      </c>
      <c r="U1028" t="s">
        <v>68</v>
      </c>
      <c r="V1028" t="s">
        <v>3323</v>
      </c>
      <c r="W1028" s="9">
        <v>60603912</v>
      </c>
      <c r="X1028" t="s">
        <v>3359</v>
      </c>
      <c r="Y1028" s="1">
        <v>46050</v>
      </c>
      <c r="Z1028" s="1">
        <v>46110</v>
      </c>
      <c r="AA1028" s="2">
        <v>112103.8</v>
      </c>
      <c r="AB1028" s="2">
        <v>95003.22</v>
      </c>
      <c r="AC1028" s="2">
        <v>17100.580000000002</v>
      </c>
      <c r="AD1028" s="2">
        <v>112103.8</v>
      </c>
      <c r="AE1028" t="s">
        <v>3361</v>
      </c>
      <c r="AF1028" t="s">
        <v>72</v>
      </c>
      <c r="AG1028">
        <v>-32</v>
      </c>
      <c r="AH1028" t="s">
        <v>117</v>
      </c>
      <c r="AI1028" t="s">
        <v>74</v>
      </c>
      <c r="AJ1028" t="s">
        <v>75</v>
      </c>
      <c r="AK1028" t="s">
        <v>76</v>
      </c>
      <c r="AL1028" t="s">
        <v>118</v>
      </c>
      <c r="AM1028" t="s">
        <v>78</v>
      </c>
      <c r="AN1028" t="s">
        <v>92</v>
      </c>
      <c r="AO1028" t="s">
        <v>119</v>
      </c>
      <c r="AP1028" t="s">
        <v>46</v>
      </c>
      <c r="AQ1028" t="s">
        <v>81</v>
      </c>
      <c r="AR1028" t="str">
        <f t="shared" si="30"/>
        <v>60603912.STATAM</v>
      </c>
      <c r="AS1028">
        <f t="shared" si="31"/>
        <v>2088856.5899999999</v>
      </c>
      <c r="AT1028" t="s">
        <v>82</v>
      </c>
    </row>
    <row r="1029" spans="1:46" x14ac:dyDescent="0.35">
      <c r="A1029" t="s">
        <v>52</v>
      </c>
      <c r="B1029" t="s">
        <v>53</v>
      </c>
      <c r="C1029" t="s">
        <v>54</v>
      </c>
      <c r="D1029" t="s">
        <v>55</v>
      </c>
      <c r="E1029" t="s">
        <v>56</v>
      </c>
      <c r="F1029" t="s">
        <v>3319</v>
      </c>
      <c r="G1029" t="s">
        <v>3356</v>
      </c>
      <c r="H1029" t="s">
        <v>56</v>
      </c>
      <c r="I1029" t="s">
        <v>3362</v>
      </c>
      <c r="J1029" t="s">
        <v>56</v>
      </c>
      <c r="K1029" t="s">
        <v>640</v>
      </c>
      <c r="L1029" t="s">
        <v>3358</v>
      </c>
      <c r="M1029" t="s">
        <v>56</v>
      </c>
      <c r="N1029" t="s">
        <v>252</v>
      </c>
      <c r="O1029" t="s">
        <v>1844</v>
      </c>
      <c r="P1029" t="s">
        <v>1845</v>
      </c>
      <c r="Q1029" t="s">
        <v>853</v>
      </c>
      <c r="R1029" t="s">
        <v>248</v>
      </c>
      <c r="S1029">
        <v>2000000</v>
      </c>
      <c r="T1029">
        <v>-1400115.48</v>
      </c>
      <c r="U1029" t="s">
        <v>68</v>
      </c>
      <c r="V1029" t="s">
        <v>3323</v>
      </c>
      <c r="W1029" s="9">
        <v>60603912</v>
      </c>
      <c r="X1029" t="s">
        <v>3363</v>
      </c>
      <c r="Y1029" s="1">
        <v>46050</v>
      </c>
      <c r="Z1029" s="1">
        <v>46110</v>
      </c>
      <c r="AA1029" s="2">
        <v>175623.23</v>
      </c>
      <c r="AB1029" s="2">
        <v>148833.24</v>
      </c>
      <c r="AC1029" s="2">
        <v>26789.99</v>
      </c>
      <c r="AD1029" s="2">
        <v>175623.23</v>
      </c>
      <c r="AE1029" t="s">
        <v>3364</v>
      </c>
      <c r="AF1029" t="s">
        <v>72</v>
      </c>
      <c r="AG1029">
        <v>-32</v>
      </c>
      <c r="AH1029" t="s">
        <v>117</v>
      </c>
      <c r="AI1029" t="s">
        <v>74</v>
      </c>
      <c r="AJ1029" t="s">
        <v>75</v>
      </c>
      <c r="AK1029" t="s">
        <v>76</v>
      </c>
      <c r="AL1029" t="s">
        <v>118</v>
      </c>
      <c r="AM1029" t="s">
        <v>78</v>
      </c>
      <c r="AN1029" t="s">
        <v>92</v>
      </c>
      <c r="AO1029" t="s">
        <v>119</v>
      </c>
      <c r="AP1029" t="s">
        <v>46</v>
      </c>
      <c r="AQ1029" t="s">
        <v>81</v>
      </c>
      <c r="AR1029" t="str">
        <f t="shared" si="30"/>
        <v>60603912.STATAM</v>
      </c>
      <c r="AS1029">
        <f t="shared" si="31"/>
        <v>2088856.5899999999</v>
      </c>
      <c r="AT1029" t="s">
        <v>82</v>
      </c>
    </row>
    <row r="1030" spans="1:46" x14ac:dyDescent="0.35">
      <c r="A1030" t="s">
        <v>52</v>
      </c>
      <c r="B1030" t="s">
        <v>53</v>
      </c>
      <c r="C1030" t="s">
        <v>54</v>
      </c>
      <c r="D1030" t="s">
        <v>55</v>
      </c>
      <c r="E1030" t="s">
        <v>56</v>
      </c>
      <c r="F1030" t="s">
        <v>3319</v>
      </c>
      <c r="G1030" t="s">
        <v>3365</v>
      </c>
      <c r="H1030" t="s">
        <v>56</v>
      </c>
      <c r="I1030" t="s">
        <v>3366</v>
      </c>
      <c r="J1030" t="s">
        <v>56</v>
      </c>
      <c r="K1030" t="s">
        <v>640</v>
      </c>
      <c r="L1030" t="s">
        <v>3367</v>
      </c>
      <c r="M1030" t="s">
        <v>56</v>
      </c>
      <c r="N1030" t="s">
        <v>680</v>
      </c>
      <c r="O1030" t="s">
        <v>1844</v>
      </c>
      <c r="P1030" t="s">
        <v>1845</v>
      </c>
      <c r="Q1030" t="s">
        <v>853</v>
      </c>
      <c r="R1030" t="s">
        <v>248</v>
      </c>
      <c r="S1030">
        <v>2000000</v>
      </c>
      <c r="T1030">
        <v>-1400115.48</v>
      </c>
      <c r="U1030" t="s">
        <v>68</v>
      </c>
      <c r="V1030" t="s">
        <v>3323</v>
      </c>
      <c r="W1030" s="9">
        <v>60603912</v>
      </c>
      <c r="X1030" t="s">
        <v>3368</v>
      </c>
      <c r="Y1030" s="1">
        <v>46058</v>
      </c>
      <c r="Z1030" s="1">
        <v>46118</v>
      </c>
      <c r="AA1030" s="2">
        <v>39222.839999999997</v>
      </c>
      <c r="AB1030" s="2">
        <v>33239.699999999997</v>
      </c>
      <c r="AC1030" s="2">
        <v>5983.14</v>
      </c>
      <c r="AD1030" s="2">
        <v>39222.839999999997</v>
      </c>
      <c r="AE1030" t="s">
        <v>3369</v>
      </c>
      <c r="AF1030" t="s">
        <v>72</v>
      </c>
      <c r="AG1030">
        <v>-40</v>
      </c>
      <c r="AH1030" t="s">
        <v>117</v>
      </c>
      <c r="AI1030" t="s">
        <v>74</v>
      </c>
      <c r="AJ1030" t="s">
        <v>127</v>
      </c>
      <c r="AK1030" t="s">
        <v>334</v>
      </c>
      <c r="AL1030" t="s">
        <v>118</v>
      </c>
      <c r="AM1030" t="s">
        <v>78</v>
      </c>
      <c r="AN1030" t="s">
        <v>92</v>
      </c>
      <c r="AO1030" t="s">
        <v>119</v>
      </c>
      <c r="AP1030" t="s">
        <v>46</v>
      </c>
      <c r="AQ1030" t="s">
        <v>335</v>
      </c>
      <c r="AR1030" t="str">
        <f t="shared" si="30"/>
        <v>60603912.SPMINAM</v>
      </c>
      <c r="AS1030">
        <f t="shared" si="31"/>
        <v>39222.839999999997</v>
      </c>
      <c r="AT1030" t="s">
        <v>82</v>
      </c>
    </row>
    <row r="1031" spans="1:46" x14ac:dyDescent="0.35">
      <c r="A1031" t="s">
        <v>52</v>
      </c>
      <c r="B1031" t="s">
        <v>53</v>
      </c>
      <c r="C1031" t="s">
        <v>54</v>
      </c>
      <c r="D1031" t="s">
        <v>55</v>
      </c>
      <c r="E1031" t="s">
        <v>56</v>
      </c>
      <c r="F1031" t="s">
        <v>3319</v>
      </c>
      <c r="G1031" t="s">
        <v>3370</v>
      </c>
      <c r="H1031" t="s">
        <v>56</v>
      </c>
      <c r="I1031" t="s">
        <v>3371</v>
      </c>
      <c r="J1031" t="s">
        <v>56</v>
      </c>
      <c r="K1031" t="s">
        <v>640</v>
      </c>
      <c r="L1031" t="s">
        <v>3367</v>
      </c>
      <c r="M1031" t="s">
        <v>56</v>
      </c>
      <c r="N1031" t="s">
        <v>1384</v>
      </c>
      <c r="O1031" t="s">
        <v>1844</v>
      </c>
      <c r="P1031" t="s">
        <v>1845</v>
      </c>
      <c r="Q1031" t="s">
        <v>853</v>
      </c>
      <c r="R1031" t="s">
        <v>248</v>
      </c>
      <c r="S1031">
        <v>2000000</v>
      </c>
      <c r="T1031">
        <v>-1400115.48</v>
      </c>
      <c r="U1031" t="s">
        <v>68</v>
      </c>
      <c r="V1031" t="s">
        <v>3323</v>
      </c>
      <c r="W1031" s="9">
        <v>60603912</v>
      </c>
      <c r="X1031" t="s">
        <v>3372</v>
      </c>
      <c r="Y1031" s="1">
        <v>46073</v>
      </c>
      <c r="Z1031" s="1">
        <v>46133</v>
      </c>
      <c r="AA1031" s="2">
        <v>66924.12</v>
      </c>
      <c r="AB1031" s="2">
        <v>56715.360000000001</v>
      </c>
      <c r="AC1031" s="2">
        <v>10208.76</v>
      </c>
      <c r="AD1031" s="2">
        <v>66924.12</v>
      </c>
      <c r="AE1031" t="s">
        <v>3373</v>
      </c>
      <c r="AF1031" t="s">
        <v>72</v>
      </c>
      <c r="AG1031">
        <v>-55</v>
      </c>
      <c r="AH1031" t="s">
        <v>117</v>
      </c>
      <c r="AI1031" t="s">
        <v>74</v>
      </c>
      <c r="AJ1031" t="s">
        <v>75</v>
      </c>
      <c r="AK1031" t="s">
        <v>76</v>
      </c>
      <c r="AL1031" t="s">
        <v>118</v>
      </c>
      <c r="AM1031" t="s">
        <v>78</v>
      </c>
      <c r="AN1031" t="s">
        <v>92</v>
      </c>
      <c r="AO1031" t="s">
        <v>119</v>
      </c>
      <c r="AP1031" t="s">
        <v>46</v>
      </c>
      <c r="AQ1031" t="s">
        <v>81</v>
      </c>
      <c r="AR1031" t="str">
        <f t="shared" si="30"/>
        <v>60603912.STATAM</v>
      </c>
      <c r="AS1031">
        <f t="shared" si="31"/>
        <v>2088856.5899999999</v>
      </c>
      <c r="AT1031" t="s">
        <v>82</v>
      </c>
    </row>
    <row r="1032" spans="1:46" x14ac:dyDescent="0.35">
      <c r="A1032" t="s">
        <v>52</v>
      </c>
      <c r="B1032" t="s">
        <v>53</v>
      </c>
      <c r="C1032" t="s">
        <v>54</v>
      </c>
      <c r="D1032" t="s">
        <v>55</v>
      </c>
      <c r="E1032" t="s">
        <v>56</v>
      </c>
      <c r="F1032" t="s">
        <v>3319</v>
      </c>
      <c r="G1032" t="s">
        <v>3370</v>
      </c>
      <c r="H1032" t="s">
        <v>56</v>
      </c>
      <c r="I1032" t="s">
        <v>3371</v>
      </c>
      <c r="J1032" t="s">
        <v>56</v>
      </c>
      <c r="K1032" t="s">
        <v>640</v>
      </c>
      <c r="L1032" t="s">
        <v>3367</v>
      </c>
      <c r="M1032" t="s">
        <v>56</v>
      </c>
      <c r="N1032" t="s">
        <v>252</v>
      </c>
      <c r="O1032" t="s">
        <v>1844</v>
      </c>
      <c r="P1032" t="s">
        <v>1845</v>
      </c>
      <c r="Q1032" t="s">
        <v>853</v>
      </c>
      <c r="R1032" t="s">
        <v>248</v>
      </c>
      <c r="S1032">
        <v>2000000</v>
      </c>
      <c r="T1032">
        <v>-1400115.48</v>
      </c>
      <c r="U1032" t="s">
        <v>68</v>
      </c>
      <c r="V1032" t="s">
        <v>3323</v>
      </c>
      <c r="W1032" s="9">
        <v>60603912</v>
      </c>
      <c r="X1032" t="s">
        <v>3372</v>
      </c>
      <c r="Y1032" s="1">
        <v>46073</v>
      </c>
      <c r="Z1032" s="1">
        <v>46133</v>
      </c>
      <c r="AA1032" s="2">
        <v>6163</v>
      </c>
      <c r="AB1032" s="2">
        <v>5222.88</v>
      </c>
      <c r="AC1032" s="2">
        <v>940.12</v>
      </c>
      <c r="AD1032" s="2">
        <v>6163</v>
      </c>
      <c r="AE1032" t="s">
        <v>3374</v>
      </c>
      <c r="AF1032" t="s">
        <v>72</v>
      </c>
      <c r="AG1032">
        <v>-55</v>
      </c>
      <c r="AH1032" t="s">
        <v>117</v>
      </c>
      <c r="AI1032" t="s">
        <v>74</v>
      </c>
      <c r="AJ1032" t="s">
        <v>75</v>
      </c>
      <c r="AK1032" t="s">
        <v>76</v>
      </c>
      <c r="AL1032" t="s">
        <v>118</v>
      </c>
      <c r="AM1032" t="s">
        <v>78</v>
      </c>
      <c r="AN1032" t="s">
        <v>92</v>
      </c>
      <c r="AO1032" t="s">
        <v>119</v>
      </c>
      <c r="AP1032" t="s">
        <v>46</v>
      </c>
      <c r="AQ1032" t="s">
        <v>81</v>
      </c>
      <c r="AR1032" t="str">
        <f t="shared" ref="AR1032:AR1095" si="32">W1032&amp;"."&amp;AQ1032</f>
        <v>60603912.STATAM</v>
      </c>
      <c r="AS1032">
        <f t="shared" ref="AS1032:AS1095" si="33">SUMIFS(AD:AD,AQ:AQ,AQ1032,W:W,W1032)</f>
        <v>2088856.5899999999</v>
      </c>
      <c r="AT1032" t="s">
        <v>82</v>
      </c>
    </row>
    <row r="1033" spans="1:46" x14ac:dyDescent="0.35">
      <c r="A1033" t="s">
        <v>52</v>
      </c>
      <c r="B1033" t="s">
        <v>53</v>
      </c>
      <c r="C1033" t="s">
        <v>54</v>
      </c>
      <c r="D1033" t="s">
        <v>55</v>
      </c>
      <c r="E1033" t="s">
        <v>56</v>
      </c>
      <c r="F1033" t="s">
        <v>3375</v>
      </c>
      <c r="G1033" t="s">
        <v>56</v>
      </c>
      <c r="H1033" t="s">
        <v>56</v>
      </c>
      <c r="I1033" t="s">
        <v>3376</v>
      </c>
      <c r="J1033" t="s">
        <v>61</v>
      </c>
      <c r="K1033" t="s">
        <v>62</v>
      </c>
      <c r="L1033" t="s">
        <v>56</v>
      </c>
      <c r="M1033" t="s">
        <v>56</v>
      </c>
      <c r="N1033" t="s">
        <v>56</v>
      </c>
      <c r="O1033" t="s">
        <v>3377</v>
      </c>
      <c r="P1033" t="s">
        <v>3378</v>
      </c>
      <c r="Q1033" t="s">
        <v>87</v>
      </c>
      <c r="R1033" t="s">
        <v>248</v>
      </c>
      <c r="S1033">
        <v>500000</v>
      </c>
      <c r="T1033">
        <v>1041105.81</v>
      </c>
      <c r="U1033" t="s">
        <v>68</v>
      </c>
      <c r="V1033" t="s">
        <v>3379</v>
      </c>
      <c r="W1033" s="9">
        <v>60604075</v>
      </c>
      <c r="X1033" t="s">
        <v>3380</v>
      </c>
      <c r="Y1033" s="1">
        <v>46050</v>
      </c>
      <c r="Z1033" s="1">
        <v>46050</v>
      </c>
      <c r="AA1033" s="2">
        <v>-2000000</v>
      </c>
      <c r="AB1033" s="2">
        <v>-2000000</v>
      </c>
      <c r="AC1033" s="2">
        <v>0</v>
      </c>
      <c r="AD1033" s="2">
        <v>-541105.81000000006</v>
      </c>
      <c r="AE1033" t="s">
        <v>3380</v>
      </c>
      <c r="AF1033" t="s">
        <v>72</v>
      </c>
      <c r="AG1033">
        <v>28</v>
      </c>
      <c r="AH1033" t="s">
        <v>73</v>
      </c>
      <c r="AI1033" t="s">
        <v>74</v>
      </c>
      <c r="AJ1033" t="s">
        <v>75</v>
      </c>
      <c r="AK1033" t="s">
        <v>102</v>
      </c>
      <c r="AL1033" t="s">
        <v>77</v>
      </c>
      <c r="AM1033" t="s">
        <v>103</v>
      </c>
      <c r="AN1033" t="s">
        <v>239</v>
      </c>
      <c r="AO1033" t="s">
        <v>80</v>
      </c>
      <c r="AP1033" t="e">
        <v>#N/A</v>
      </c>
      <c r="AQ1033" t="s">
        <v>105</v>
      </c>
      <c r="AR1033" t="str">
        <f t="shared" si="32"/>
        <v>60604075.STATEQ</v>
      </c>
      <c r="AS1033">
        <f t="shared" si="33"/>
        <v>-541105.81000000006</v>
      </c>
      <c r="AT1033" t="s">
        <v>93</v>
      </c>
    </row>
    <row r="1034" spans="1:46" x14ac:dyDescent="0.35">
      <c r="A1034" t="s">
        <v>52</v>
      </c>
      <c r="B1034" t="s">
        <v>53</v>
      </c>
      <c r="C1034" t="s">
        <v>54</v>
      </c>
      <c r="D1034" t="s">
        <v>55</v>
      </c>
      <c r="E1034" t="s">
        <v>56</v>
      </c>
      <c r="F1034" t="s">
        <v>3381</v>
      </c>
      <c r="G1034" t="s">
        <v>3382</v>
      </c>
      <c r="H1034" t="s">
        <v>59</v>
      </c>
      <c r="I1034" t="s">
        <v>3383</v>
      </c>
      <c r="J1034" t="s">
        <v>61</v>
      </c>
      <c r="K1034" t="s">
        <v>62</v>
      </c>
      <c r="L1034" t="s">
        <v>56</v>
      </c>
      <c r="M1034" t="s">
        <v>56</v>
      </c>
      <c r="N1034" t="s">
        <v>63</v>
      </c>
      <c r="O1034" t="s">
        <v>245</v>
      </c>
      <c r="P1034" t="s">
        <v>246</v>
      </c>
      <c r="Q1034" t="s">
        <v>3384</v>
      </c>
      <c r="R1034" t="s">
        <v>248</v>
      </c>
      <c r="T1034">
        <v>-4477646.4000000004</v>
      </c>
      <c r="U1034" t="s">
        <v>68</v>
      </c>
      <c r="V1034" t="s">
        <v>3385</v>
      </c>
      <c r="W1034" s="9">
        <v>60604394</v>
      </c>
      <c r="X1034" t="s">
        <v>3386</v>
      </c>
      <c r="Y1034" s="1">
        <v>45951</v>
      </c>
      <c r="Z1034" s="1">
        <v>46011</v>
      </c>
      <c r="AA1034" s="2">
        <v>1964182.39</v>
      </c>
      <c r="AB1034" s="2">
        <v>1664561.35</v>
      </c>
      <c r="AC1034" s="2">
        <v>299621.03999999998</v>
      </c>
      <c r="AD1034" s="2">
        <v>1964182.39</v>
      </c>
      <c r="AE1034" t="s">
        <v>3387</v>
      </c>
      <c r="AF1034" t="s">
        <v>72</v>
      </c>
      <c r="AG1034">
        <v>67</v>
      </c>
      <c r="AH1034" t="s">
        <v>260</v>
      </c>
      <c r="AI1034" t="s">
        <v>74</v>
      </c>
      <c r="AJ1034" t="s">
        <v>75</v>
      </c>
      <c r="AK1034" t="s">
        <v>76</v>
      </c>
      <c r="AL1034" t="s">
        <v>77</v>
      </c>
      <c r="AM1034" t="s">
        <v>78</v>
      </c>
      <c r="AN1034" t="s">
        <v>239</v>
      </c>
      <c r="AO1034" t="s">
        <v>80</v>
      </c>
      <c r="AP1034" t="e">
        <v>#N/A</v>
      </c>
      <c r="AQ1034" t="s">
        <v>81</v>
      </c>
      <c r="AR1034" t="str">
        <f t="shared" si="32"/>
        <v>60604394.STATAM</v>
      </c>
      <c r="AS1034">
        <f t="shared" si="33"/>
        <v>4412239</v>
      </c>
      <c r="AT1034" t="s">
        <v>82</v>
      </c>
    </row>
    <row r="1035" spans="1:46" x14ac:dyDescent="0.35">
      <c r="A1035" t="s">
        <v>52</v>
      </c>
      <c r="B1035" t="s">
        <v>53</v>
      </c>
      <c r="C1035" t="s">
        <v>54</v>
      </c>
      <c r="D1035" t="s">
        <v>55</v>
      </c>
      <c r="E1035" t="s">
        <v>56</v>
      </c>
      <c r="F1035" t="s">
        <v>3381</v>
      </c>
      <c r="G1035" t="s">
        <v>3382</v>
      </c>
      <c r="H1035" t="s">
        <v>59</v>
      </c>
      <c r="I1035" t="s">
        <v>3383</v>
      </c>
      <c r="J1035" t="s">
        <v>61</v>
      </c>
      <c r="K1035" t="s">
        <v>62</v>
      </c>
      <c r="L1035" t="s">
        <v>56</v>
      </c>
      <c r="M1035" t="s">
        <v>56</v>
      </c>
      <c r="N1035" t="s">
        <v>63</v>
      </c>
      <c r="O1035" t="s">
        <v>245</v>
      </c>
      <c r="P1035" t="s">
        <v>246</v>
      </c>
      <c r="Q1035" t="s">
        <v>3384</v>
      </c>
      <c r="R1035" t="s">
        <v>248</v>
      </c>
      <c r="T1035">
        <v>-4477646.4000000004</v>
      </c>
      <c r="U1035" t="s">
        <v>68</v>
      </c>
      <c r="V1035" t="s">
        <v>3385</v>
      </c>
      <c r="W1035" s="9">
        <v>60604394</v>
      </c>
      <c r="X1035" t="s">
        <v>3388</v>
      </c>
      <c r="Y1035" s="1">
        <v>45982</v>
      </c>
      <c r="Z1035" s="1">
        <v>46042</v>
      </c>
      <c r="AA1035" s="2">
        <v>1203781.5900000001</v>
      </c>
      <c r="AB1035" s="2">
        <v>1020153.89</v>
      </c>
      <c r="AC1035" s="2">
        <v>183627.7</v>
      </c>
      <c r="AD1035" s="2">
        <v>1203781.5900000001</v>
      </c>
      <c r="AE1035" t="s">
        <v>3389</v>
      </c>
      <c r="AF1035" t="s">
        <v>72</v>
      </c>
      <c r="AG1035">
        <v>36</v>
      </c>
      <c r="AH1035" t="s">
        <v>236</v>
      </c>
      <c r="AI1035" t="s">
        <v>74</v>
      </c>
      <c r="AJ1035" t="s">
        <v>75</v>
      </c>
      <c r="AK1035" t="s">
        <v>76</v>
      </c>
      <c r="AL1035" t="s">
        <v>77</v>
      </c>
      <c r="AM1035" t="s">
        <v>78</v>
      </c>
      <c r="AN1035" t="s">
        <v>239</v>
      </c>
      <c r="AO1035" t="s">
        <v>80</v>
      </c>
      <c r="AP1035" t="e">
        <v>#N/A</v>
      </c>
      <c r="AQ1035" t="s">
        <v>81</v>
      </c>
      <c r="AR1035" t="str">
        <f t="shared" si="32"/>
        <v>60604394.STATAM</v>
      </c>
      <c r="AS1035">
        <f t="shared" si="33"/>
        <v>4412239</v>
      </c>
      <c r="AT1035" t="s">
        <v>82</v>
      </c>
    </row>
    <row r="1036" spans="1:46" x14ac:dyDescent="0.35">
      <c r="A1036" t="s">
        <v>52</v>
      </c>
      <c r="B1036" t="s">
        <v>53</v>
      </c>
      <c r="C1036" t="s">
        <v>54</v>
      </c>
      <c r="D1036" t="s">
        <v>55</v>
      </c>
      <c r="E1036" t="s">
        <v>56</v>
      </c>
      <c r="F1036" t="s">
        <v>3381</v>
      </c>
      <c r="G1036" t="s">
        <v>3382</v>
      </c>
      <c r="H1036" t="s">
        <v>59</v>
      </c>
      <c r="I1036" t="s">
        <v>3383</v>
      </c>
      <c r="J1036" t="s">
        <v>61</v>
      </c>
      <c r="K1036" t="s">
        <v>62</v>
      </c>
      <c r="L1036" t="s">
        <v>56</v>
      </c>
      <c r="M1036" t="s">
        <v>56</v>
      </c>
      <c r="N1036" t="s">
        <v>63</v>
      </c>
      <c r="O1036" t="s">
        <v>245</v>
      </c>
      <c r="P1036" t="s">
        <v>246</v>
      </c>
      <c r="Q1036" t="s">
        <v>3384</v>
      </c>
      <c r="R1036" t="s">
        <v>248</v>
      </c>
      <c r="T1036">
        <v>-4477646.4000000004</v>
      </c>
      <c r="U1036" t="s">
        <v>68</v>
      </c>
      <c r="V1036" t="s">
        <v>3385</v>
      </c>
      <c r="W1036" s="9">
        <v>60604394</v>
      </c>
      <c r="X1036" t="s">
        <v>3390</v>
      </c>
      <c r="Y1036" s="1">
        <v>46027</v>
      </c>
      <c r="Z1036" s="1">
        <v>46087</v>
      </c>
      <c r="AA1036" s="2">
        <v>736206.73</v>
      </c>
      <c r="AB1036" s="2">
        <v>623904.01</v>
      </c>
      <c r="AC1036" s="2">
        <v>112302.72</v>
      </c>
      <c r="AD1036" s="2">
        <v>736206.73</v>
      </c>
      <c r="AE1036" t="s">
        <v>3391</v>
      </c>
      <c r="AF1036" t="s">
        <v>72</v>
      </c>
      <c r="AG1036">
        <v>-9</v>
      </c>
      <c r="AH1036" t="s">
        <v>117</v>
      </c>
      <c r="AI1036" t="s">
        <v>74</v>
      </c>
      <c r="AJ1036" t="s">
        <v>75</v>
      </c>
      <c r="AK1036" t="s">
        <v>76</v>
      </c>
      <c r="AL1036" t="s">
        <v>118</v>
      </c>
      <c r="AM1036" t="s">
        <v>78</v>
      </c>
      <c r="AN1036" t="s">
        <v>239</v>
      </c>
      <c r="AO1036" t="s">
        <v>119</v>
      </c>
      <c r="AP1036" t="e">
        <v>#N/A</v>
      </c>
      <c r="AQ1036" t="s">
        <v>81</v>
      </c>
      <c r="AR1036" t="str">
        <f t="shared" si="32"/>
        <v>60604394.STATAM</v>
      </c>
      <c r="AS1036">
        <f t="shared" si="33"/>
        <v>4412239</v>
      </c>
      <c r="AT1036" t="s">
        <v>82</v>
      </c>
    </row>
    <row r="1037" spans="1:46" x14ac:dyDescent="0.35">
      <c r="A1037" t="s">
        <v>52</v>
      </c>
      <c r="B1037" t="s">
        <v>53</v>
      </c>
      <c r="C1037" t="s">
        <v>54</v>
      </c>
      <c r="D1037" t="s">
        <v>55</v>
      </c>
      <c r="E1037" t="s">
        <v>56</v>
      </c>
      <c r="F1037" t="s">
        <v>3381</v>
      </c>
      <c r="G1037" t="s">
        <v>3382</v>
      </c>
      <c r="H1037" t="s">
        <v>59</v>
      </c>
      <c r="I1037" t="s">
        <v>3383</v>
      </c>
      <c r="J1037" t="s">
        <v>61</v>
      </c>
      <c r="K1037" t="s">
        <v>62</v>
      </c>
      <c r="L1037" t="s">
        <v>56</v>
      </c>
      <c r="M1037" t="s">
        <v>56</v>
      </c>
      <c r="N1037" t="s">
        <v>63</v>
      </c>
      <c r="O1037" t="s">
        <v>245</v>
      </c>
      <c r="P1037" t="s">
        <v>246</v>
      </c>
      <c r="Q1037" t="s">
        <v>3384</v>
      </c>
      <c r="R1037" t="s">
        <v>248</v>
      </c>
      <c r="T1037">
        <v>-4477646.4000000004</v>
      </c>
      <c r="U1037" t="s">
        <v>68</v>
      </c>
      <c r="V1037" t="s">
        <v>3385</v>
      </c>
      <c r="W1037" s="9">
        <v>60604394</v>
      </c>
      <c r="X1037" t="s">
        <v>3392</v>
      </c>
      <c r="Y1037" s="1">
        <v>46048</v>
      </c>
      <c r="Z1037" s="1">
        <v>46108</v>
      </c>
      <c r="AA1037" s="2">
        <v>508068.29</v>
      </c>
      <c r="AB1037" s="2">
        <v>430566.35</v>
      </c>
      <c r="AC1037" s="2">
        <v>77501.94</v>
      </c>
      <c r="AD1037" s="2">
        <v>508068.29</v>
      </c>
      <c r="AE1037" t="s">
        <v>3393</v>
      </c>
      <c r="AF1037" t="s">
        <v>72</v>
      </c>
      <c r="AG1037">
        <v>-30</v>
      </c>
      <c r="AH1037" t="s">
        <v>117</v>
      </c>
      <c r="AI1037" t="s">
        <v>74</v>
      </c>
      <c r="AJ1037" t="s">
        <v>75</v>
      </c>
      <c r="AK1037" t="s">
        <v>76</v>
      </c>
      <c r="AL1037" t="s">
        <v>118</v>
      </c>
      <c r="AM1037" t="s">
        <v>78</v>
      </c>
      <c r="AN1037" t="s">
        <v>239</v>
      </c>
      <c r="AO1037" t="s">
        <v>119</v>
      </c>
      <c r="AP1037" t="e">
        <v>#N/A</v>
      </c>
      <c r="AQ1037" t="s">
        <v>81</v>
      </c>
      <c r="AR1037" t="str">
        <f t="shared" si="32"/>
        <v>60604394.STATAM</v>
      </c>
      <c r="AS1037">
        <f t="shared" si="33"/>
        <v>4412239</v>
      </c>
      <c r="AT1037" t="s">
        <v>82</v>
      </c>
    </row>
    <row r="1038" spans="1:46" x14ac:dyDescent="0.35">
      <c r="A1038" t="s">
        <v>52</v>
      </c>
      <c r="B1038" t="s">
        <v>53</v>
      </c>
      <c r="C1038" t="s">
        <v>54</v>
      </c>
      <c r="D1038" t="s">
        <v>55</v>
      </c>
      <c r="E1038" t="s">
        <v>56</v>
      </c>
      <c r="F1038" t="s">
        <v>3394</v>
      </c>
      <c r="G1038" t="s">
        <v>56</v>
      </c>
      <c r="H1038" t="s">
        <v>56</v>
      </c>
      <c r="I1038" t="s">
        <v>3395</v>
      </c>
      <c r="J1038" t="s">
        <v>61</v>
      </c>
      <c r="K1038" t="s">
        <v>62</v>
      </c>
      <c r="L1038" t="s">
        <v>56</v>
      </c>
      <c r="M1038" t="s">
        <v>56</v>
      </c>
      <c r="N1038" t="s">
        <v>56</v>
      </c>
      <c r="O1038" t="s">
        <v>2629</v>
      </c>
      <c r="P1038" t="s">
        <v>2630</v>
      </c>
      <c r="Q1038" t="s">
        <v>87</v>
      </c>
      <c r="R1038" t="s">
        <v>88</v>
      </c>
      <c r="T1038">
        <v>2450000</v>
      </c>
      <c r="U1038" t="s">
        <v>68</v>
      </c>
      <c r="V1038" t="s">
        <v>3396</v>
      </c>
      <c r="W1038" s="9">
        <v>60601509</v>
      </c>
      <c r="X1038" t="s">
        <v>3397</v>
      </c>
      <c r="Y1038" s="1">
        <v>46006</v>
      </c>
      <c r="Z1038" s="1">
        <v>46006</v>
      </c>
      <c r="AA1038" s="2">
        <v>-2450000</v>
      </c>
      <c r="AB1038" s="2">
        <v>-2450000</v>
      </c>
      <c r="AC1038" s="2">
        <v>0</v>
      </c>
      <c r="AD1038" s="2">
        <v>-2450000</v>
      </c>
      <c r="AE1038" t="s">
        <v>3397</v>
      </c>
      <c r="AF1038" t="s">
        <v>72</v>
      </c>
      <c r="AG1038">
        <v>72</v>
      </c>
      <c r="AH1038" t="s">
        <v>260</v>
      </c>
      <c r="AI1038" t="s">
        <v>74</v>
      </c>
      <c r="AJ1038" t="s">
        <v>75</v>
      </c>
      <c r="AK1038" t="s">
        <v>102</v>
      </c>
      <c r="AL1038" t="s">
        <v>77</v>
      </c>
      <c r="AM1038" t="s">
        <v>103</v>
      </c>
      <c r="AN1038" t="s">
        <v>2346</v>
      </c>
      <c r="AO1038" t="s">
        <v>80</v>
      </c>
      <c r="AP1038" t="e">
        <v>#N/A</v>
      </c>
      <c r="AQ1038" t="s">
        <v>105</v>
      </c>
      <c r="AR1038" t="str">
        <f t="shared" si="32"/>
        <v>60601509.STATEQ</v>
      </c>
      <c r="AS1038">
        <f t="shared" si="33"/>
        <v>-2450000</v>
      </c>
      <c r="AT1038" t="s">
        <v>93</v>
      </c>
    </row>
    <row r="1039" spans="1:46" x14ac:dyDescent="0.35">
      <c r="A1039" t="s">
        <v>52</v>
      </c>
      <c r="B1039" t="s">
        <v>53</v>
      </c>
      <c r="C1039" t="s">
        <v>54</v>
      </c>
      <c r="D1039" t="s">
        <v>55</v>
      </c>
      <c r="E1039" t="s">
        <v>56</v>
      </c>
      <c r="F1039" t="s">
        <v>3398</v>
      </c>
      <c r="G1039" t="s">
        <v>3399</v>
      </c>
      <c r="H1039" t="s">
        <v>56</v>
      </c>
      <c r="I1039" t="s">
        <v>3400</v>
      </c>
      <c r="J1039" t="s">
        <v>61</v>
      </c>
      <c r="K1039" t="s">
        <v>640</v>
      </c>
      <c r="L1039" t="s">
        <v>3401</v>
      </c>
      <c r="M1039" t="s">
        <v>56</v>
      </c>
      <c r="N1039" t="s">
        <v>1384</v>
      </c>
      <c r="O1039" t="s">
        <v>245</v>
      </c>
      <c r="P1039" t="s">
        <v>246</v>
      </c>
      <c r="Q1039" t="s">
        <v>444</v>
      </c>
      <c r="R1039" t="s">
        <v>248</v>
      </c>
      <c r="S1039">
        <v>3000000</v>
      </c>
      <c r="T1039">
        <v>-13257294.16</v>
      </c>
      <c r="U1039" t="s">
        <v>68</v>
      </c>
      <c r="V1039" t="s">
        <v>3402</v>
      </c>
      <c r="W1039" s="9">
        <v>60603968</v>
      </c>
      <c r="X1039" t="s">
        <v>3403</v>
      </c>
      <c r="Y1039" s="1">
        <v>46039</v>
      </c>
      <c r="Z1039" s="1">
        <v>46099</v>
      </c>
      <c r="AA1039" s="2">
        <v>5546000</v>
      </c>
      <c r="AB1039" s="2">
        <v>4700000</v>
      </c>
      <c r="AC1039" s="2">
        <v>846000</v>
      </c>
      <c r="AD1039" s="2">
        <v>3634946.3</v>
      </c>
      <c r="AE1039" t="s">
        <v>3404</v>
      </c>
      <c r="AF1039" t="s">
        <v>72</v>
      </c>
      <c r="AG1039">
        <v>-21</v>
      </c>
      <c r="AH1039" t="s">
        <v>117</v>
      </c>
      <c r="AI1039" t="s">
        <v>74</v>
      </c>
      <c r="AJ1039" t="s">
        <v>75</v>
      </c>
      <c r="AK1039" t="s">
        <v>76</v>
      </c>
      <c r="AL1039" t="s">
        <v>118</v>
      </c>
      <c r="AM1039" t="s">
        <v>78</v>
      </c>
      <c r="AN1039" t="s">
        <v>239</v>
      </c>
      <c r="AO1039" t="s">
        <v>119</v>
      </c>
      <c r="AP1039" t="s">
        <v>46</v>
      </c>
      <c r="AQ1039" t="s">
        <v>81</v>
      </c>
      <c r="AR1039" t="str">
        <f t="shared" si="32"/>
        <v>60603968.STATAM</v>
      </c>
      <c r="AS1039">
        <f t="shared" si="33"/>
        <v>7638306.3799999999</v>
      </c>
      <c r="AT1039" t="s">
        <v>82</v>
      </c>
    </row>
    <row r="1040" spans="1:46" x14ac:dyDescent="0.35">
      <c r="A1040" t="s">
        <v>52</v>
      </c>
      <c r="B1040" t="s">
        <v>53</v>
      </c>
      <c r="C1040" t="s">
        <v>54</v>
      </c>
      <c r="D1040" t="s">
        <v>55</v>
      </c>
      <c r="E1040" t="s">
        <v>56</v>
      </c>
      <c r="F1040" t="s">
        <v>3398</v>
      </c>
      <c r="G1040" t="s">
        <v>3405</v>
      </c>
      <c r="H1040" t="s">
        <v>56</v>
      </c>
      <c r="I1040" t="s">
        <v>3406</v>
      </c>
      <c r="J1040" t="s">
        <v>61</v>
      </c>
      <c r="K1040" t="s">
        <v>640</v>
      </c>
      <c r="L1040" t="s">
        <v>56</v>
      </c>
      <c r="M1040" t="s">
        <v>56</v>
      </c>
      <c r="N1040" t="s">
        <v>261</v>
      </c>
      <c r="O1040" t="s">
        <v>318</v>
      </c>
      <c r="P1040" t="s">
        <v>319</v>
      </c>
      <c r="Q1040" t="s">
        <v>444</v>
      </c>
      <c r="R1040" t="s">
        <v>248</v>
      </c>
      <c r="S1040">
        <v>3000000</v>
      </c>
      <c r="T1040">
        <v>-13257294.16</v>
      </c>
      <c r="U1040" t="s">
        <v>68</v>
      </c>
      <c r="V1040" t="s">
        <v>3402</v>
      </c>
      <c r="W1040" s="9">
        <v>60603968</v>
      </c>
      <c r="X1040" t="s">
        <v>3407</v>
      </c>
      <c r="Y1040" s="1">
        <v>46043</v>
      </c>
      <c r="Z1040" s="1">
        <v>46103</v>
      </c>
      <c r="AA1040" s="2">
        <v>118214.34</v>
      </c>
      <c r="AB1040" s="2">
        <v>100181.64</v>
      </c>
      <c r="AC1040" s="2">
        <v>18032.7</v>
      </c>
      <c r="AD1040" s="2">
        <v>118214.34</v>
      </c>
      <c r="AE1040" t="s">
        <v>3408</v>
      </c>
      <c r="AF1040" t="s">
        <v>72</v>
      </c>
      <c r="AG1040">
        <v>-25</v>
      </c>
      <c r="AH1040" t="s">
        <v>117</v>
      </c>
      <c r="AI1040" t="s">
        <v>74</v>
      </c>
      <c r="AJ1040" t="s">
        <v>75</v>
      </c>
      <c r="AK1040" t="s">
        <v>76</v>
      </c>
      <c r="AL1040" t="s">
        <v>118</v>
      </c>
      <c r="AM1040" t="s">
        <v>78</v>
      </c>
      <c r="AN1040" t="s">
        <v>239</v>
      </c>
      <c r="AO1040" t="s">
        <v>119</v>
      </c>
      <c r="AP1040" t="s">
        <v>46</v>
      </c>
      <c r="AQ1040" t="s">
        <v>81</v>
      </c>
      <c r="AR1040" t="str">
        <f t="shared" si="32"/>
        <v>60603968.STATAM</v>
      </c>
      <c r="AS1040">
        <f t="shared" si="33"/>
        <v>7638306.3799999999</v>
      </c>
      <c r="AT1040" t="s">
        <v>82</v>
      </c>
    </row>
    <row r="1041" spans="1:46" x14ac:dyDescent="0.35">
      <c r="A1041" t="s">
        <v>52</v>
      </c>
      <c r="B1041" t="s">
        <v>53</v>
      </c>
      <c r="C1041" t="s">
        <v>54</v>
      </c>
      <c r="D1041" t="s">
        <v>55</v>
      </c>
      <c r="E1041" t="s">
        <v>56</v>
      </c>
      <c r="F1041" t="s">
        <v>3398</v>
      </c>
      <c r="G1041" t="s">
        <v>3405</v>
      </c>
      <c r="H1041" t="s">
        <v>56</v>
      </c>
      <c r="I1041" t="s">
        <v>3406</v>
      </c>
      <c r="J1041" t="s">
        <v>61</v>
      </c>
      <c r="K1041" t="s">
        <v>640</v>
      </c>
      <c r="L1041" t="s">
        <v>56</v>
      </c>
      <c r="M1041" t="s">
        <v>56</v>
      </c>
      <c r="N1041" t="s">
        <v>295</v>
      </c>
      <c r="O1041" t="s">
        <v>318</v>
      </c>
      <c r="P1041" t="s">
        <v>319</v>
      </c>
      <c r="Q1041" t="s">
        <v>444</v>
      </c>
      <c r="R1041" t="s">
        <v>248</v>
      </c>
      <c r="S1041">
        <v>3000000</v>
      </c>
      <c r="T1041">
        <v>-13257294.16</v>
      </c>
      <c r="U1041" t="s">
        <v>68</v>
      </c>
      <c r="V1041" t="s">
        <v>3402</v>
      </c>
      <c r="W1041" s="9">
        <v>60603968</v>
      </c>
      <c r="X1041" t="s">
        <v>3407</v>
      </c>
      <c r="Y1041" s="1">
        <v>46043</v>
      </c>
      <c r="Z1041" s="1">
        <v>46103</v>
      </c>
      <c r="AA1041" s="2">
        <v>62069.02</v>
      </c>
      <c r="AB1041" s="2">
        <v>52600.86</v>
      </c>
      <c r="AC1041" s="2">
        <v>9468.16</v>
      </c>
      <c r="AD1041" s="2">
        <v>62069.02</v>
      </c>
      <c r="AE1041" t="s">
        <v>3409</v>
      </c>
      <c r="AF1041" t="s">
        <v>72</v>
      </c>
      <c r="AG1041">
        <v>-25</v>
      </c>
      <c r="AH1041" t="s">
        <v>117</v>
      </c>
      <c r="AI1041" t="s">
        <v>74</v>
      </c>
      <c r="AJ1041" t="s">
        <v>75</v>
      </c>
      <c r="AK1041" t="s">
        <v>76</v>
      </c>
      <c r="AL1041" t="s">
        <v>118</v>
      </c>
      <c r="AM1041" t="s">
        <v>78</v>
      </c>
      <c r="AN1041" t="s">
        <v>239</v>
      </c>
      <c r="AO1041" t="s">
        <v>119</v>
      </c>
      <c r="AP1041" t="s">
        <v>46</v>
      </c>
      <c r="AQ1041" t="s">
        <v>81</v>
      </c>
      <c r="AR1041" t="str">
        <f t="shared" si="32"/>
        <v>60603968.STATAM</v>
      </c>
      <c r="AS1041">
        <f t="shared" si="33"/>
        <v>7638306.3799999999</v>
      </c>
      <c r="AT1041" t="s">
        <v>82</v>
      </c>
    </row>
    <row r="1042" spans="1:46" x14ac:dyDescent="0.35">
      <c r="A1042" t="s">
        <v>52</v>
      </c>
      <c r="B1042" t="s">
        <v>53</v>
      </c>
      <c r="C1042" t="s">
        <v>54</v>
      </c>
      <c r="D1042" t="s">
        <v>55</v>
      </c>
      <c r="E1042" t="s">
        <v>56</v>
      </c>
      <c r="F1042" t="s">
        <v>3398</v>
      </c>
      <c r="G1042" t="s">
        <v>3405</v>
      </c>
      <c r="H1042" t="s">
        <v>56</v>
      </c>
      <c r="I1042" t="s">
        <v>3406</v>
      </c>
      <c r="J1042" t="s">
        <v>61</v>
      </c>
      <c r="K1042" t="s">
        <v>640</v>
      </c>
      <c r="L1042" t="s">
        <v>56</v>
      </c>
      <c r="M1042" t="s">
        <v>56</v>
      </c>
      <c r="N1042" t="s">
        <v>252</v>
      </c>
      <c r="O1042" t="s">
        <v>318</v>
      </c>
      <c r="P1042" t="s">
        <v>319</v>
      </c>
      <c r="Q1042" t="s">
        <v>444</v>
      </c>
      <c r="R1042" t="s">
        <v>248</v>
      </c>
      <c r="S1042">
        <v>3000000</v>
      </c>
      <c r="T1042">
        <v>-13257294.16</v>
      </c>
      <c r="U1042" t="s">
        <v>68</v>
      </c>
      <c r="V1042" t="s">
        <v>3402</v>
      </c>
      <c r="W1042" s="9">
        <v>60603968</v>
      </c>
      <c r="X1042" t="s">
        <v>3407</v>
      </c>
      <c r="Y1042" s="1">
        <v>46043</v>
      </c>
      <c r="Z1042" s="1">
        <v>46103</v>
      </c>
      <c r="AA1042" s="2">
        <v>241131</v>
      </c>
      <c r="AB1042" s="2">
        <v>204348.3</v>
      </c>
      <c r="AC1042" s="2">
        <v>36782.699999999997</v>
      </c>
      <c r="AD1042" s="2">
        <v>241131</v>
      </c>
      <c r="AE1042" t="s">
        <v>3410</v>
      </c>
      <c r="AF1042" t="s">
        <v>72</v>
      </c>
      <c r="AG1042">
        <v>-25</v>
      </c>
      <c r="AH1042" t="s">
        <v>117</v>
      </c>
      <c r="AI1042" t="s">
        <v>74</v>
      </c>
      <c r="AJ1042" t="s">
        <v>75</v>
      </c>
      <c r="AK1042" t="s">
        <v>76</v>
      </c>
      <c r="AL1042" t="s">
        <v>118</v>
      </c>
      <c r="AM1042" t="s">
        <v>78</v>
      </c>
      <c r="AN1042" t="s">
        <v>239</v>
      </c>
      <c r="AO1042" t="s">
        <v>119</v>
      </c>
      <c r="AP1042" t="s">
        <v>46</v>
      </c>
      <c r="AQ1042" t="s">
        <v>81</v>
      </c>
      <c r="AR1042" t="str">
        <f t="shared" si="32"/>
        <v>60603968.STATAM</v>
      </c>
      <c r="AS1042">
        <f t="shared" si="33"/>
        <v>7638306.3799999999</v>
      </c>
      <c r="AT1042" t="s">
        <v>82</v>
      </c>
    </row>
    <row r="1043" spans="1:46" x14ac:dyDescent="0.35">
      <c r="A1043" t="s">
        <v>52</v>
      </c>
      <c r="B1043" t="s">
        <v>53</v>
      </c>
      <c r="C1043" t="s">
        <v>54</v>
      </c>
      <c r="D1043" t="s">
        <v>55</v>
      </c>
      <c r="E1043" t="s">
        <v>56</v>
      </c>
      <c r="F1043" t="s">
        <v>3398</v>
      </c>
      <c r="G1043" t="s">
        <v>3411</v>
      </c>
      <c r="H1043" t="s">
        <v>56</v>
      </c>
      <c r="I1043" t="s">
        <v>3412</v>
      </c>
      <c r="J1043" t="s">
        <v>61</v>
      </c>
      <c r="K1043" t="s">
        <v>640</v>
      </c>
      <c r="L1043" t="s">
        <v>56</v>
      </c>
      <c r="M1043" t="s">
        <v>56</v>
      </c>
      <c r="N1043" t="s">
        <v>254</v>
      </c>
      <c r="O1043" t="s">
        <v>318</v>
      </c>
      <c r="P1043" t="s">
        <v>319</v>
      </c>
      <c r="Q1043" t="s">
        <v>1486</v>
      </c>
      <c r="R1043" t="s">
        <v>248</v>
      </c>
      <c r="S1043">
        <v>3000000</v>
      </c>
      <c r="T1043">
        <v>-13257294.16</v>
      </c>
      <c r="U1043" t="s">
        <v>68</v>
      </c>
      <c r="V1043" t="s">
        <v>3402</v>
      </c>
      <c r="W1043" s="9">
        <v>60603968</v>
      </c>
      <c r="X1043" t="s">
        <v>3413</v>
      </c>
      <c r="Y1043" s="1">
        <v>46043</v>
      </c>
      <c r="Z1043" s="1">
        <v>46103</v>
      </c>
      <c r="AA1043" s="2">
        <v>295315.06</v>
      </c>
      <c r="AB1043" s="2">
        <v>250267</v>
      </c>
      <c r="AC1043" s="2">
        <v>45048.06</v>
      </c>
      <c r="AD1043" s="2">
        <v>295315.06</v>
      </c>
      <c r="AE1043" t="s">
        <v>3414</v>
      </c>
      <c r="AF1043" t="s">
        <v>72</v>
      </c>
      <c r="AG1043">
        <v>-25</v>
      </c>
      <c r="AH1043" t="s">
        <v>117</v>
      </c>
      <c r="AI1043" t="s">
        <v>74</v>
      </c>
      <c r="AJ1043" t="s">
        <v>75</v>
      </c>
      <c r="AK1043" t="s">
        <v>76</v>
      </c>
      <c r="AL1043" t="s">
        <v>118</v>
      </c>
      <c r="AM1043" t="s">
        <v>78</v>
      </c>
      <c r="AN1043" t="s">
        <v>239</v>
      </c>
      <c r="AO1043" t="s">
        <v>119</v>
      </c>
      <c r="AP1043" t="s">
        <v>46</v>
      </c>
      <c r="AQ1043" t="s">
        <v>81</v>
      </c>
      <c r="AR1043" t="str">
        <f t="shared" si="32"/>
        <v>60603968.STATAM</v>
      </c>
      <c r="AS1043">
        <f t="shared" si="33"/>
        <v>7638306.3799999999</v>
      </c>
      <c r="AT1043" t="s">
        <v>82</v>
      </c>
    </row>
    <row r="1044" spans="1:46" x14ac:dyDescent="0.35">
      <c r="A1044" t="s">
        <v>52</v>
      </c>
      <c r="B1044" t="s">
        <v>53</v>
      </c>
      <c r="C1044" t="s">
        <v>54</v>
      </c>
      <c r="D1044" t="s">
        <v>55</v>
      </c>
      <c r="E1044" t="s">
        <v>56</v>
      </c>
      <c r="F1044" t="s">
        <v>3398</v>
      </c>
      <c r="G1044" t="s">
        <v>3415</v>
      </c>
      <c r="H1044" t="s">
        <v>56</v>
      </c>
      <c r="I1044" t="s">
        <v>3416</v>
      </c>
      <c r="J1044" t="s">
        <v>61</v>
      </c>
      <c r="K1044" t="s">
        <v>640</v>
      </c>
      <c r="L1044" t="s">
        <v>56</v>
      </c>
      <c r="M1044" t="s">
        <v>56</v>
      </c>
      <c r="N1044" t="s">
        <v>244</v>
      </c>
      <c r="O1044" t="s">
        <v>245</v>
      </c>
      <c r="P1044" t="s">
        <v>246</v>
      </c>
      <c r="Q1044" t="s">
        <v>1486</v>
      </c>
      <c r="R1044" t="s">
        <v>248</v>
      </c>
      <c r="S1044">
        <v>3000000</v>
      </c>
      <c r="T1044">
        <v>-13257294.16</v>
      </c>
      <c r="U1044" t="s">
        <v>68</v>
      </c>
      <c r="V1044" t="s">
        <v>3402</v>
      </c>
      <c r="W1044" s="9">
        <v>60603968</v>
      </c>
      <c r="X1044" t="s">
        <v>3417</v>
      </c>
      <c r="Y1044" s="1">
        <v>46043</v>
      </c>
      <c r="Z1044" s="1">
        <v>46103</v>
      </c>
      <c r="AA1044" s="2">
        <v>49712.22</v>
      </c>
      <c r="AB1044" s="2">
        <v>42129</v>
      </c>
      <c r="AC1044" s="2">
        <v>7583.22</v>
      </c>
      <c r="AD1044" s="2">
        <v>49712.22</v>
      </c>
      <c r="AE1044" t="s">
        <v>3418</v>
      </c>
      <c r="AF1044" t="s">
        <v>72</v>
      </c>
      <c r="AG1044">
        <v>-25</v>
      </c>
      <c r="AH1044" t="s">
        <v>117</v>
      </c>
      <c r="AI1044" t="s">
        <v>74</v>
      </c>
      <c r="AJ1044" t="s">
        <v>75</v>
      </c>
      <c r="AK1044" t="s">
        <v>76</v>
      </c>
      <c r="AL1044" t="s">
        <v>118</v>
      </c>
      <c r="AM1044" t="s">
        <v>78</v>
      </c>
      <c r="AN1044" t="s">
        <v>239</v>
      </c>
      <c r="AO1044" t="s">
        <v>119</v>
      </c>
      <c r="AP1044" t="s">
        <v>46</v>
      </c>
      <c r="AQ1044" t="s">
        <v>81</v>
      </c>
      <c r="AR1044" t="str">
        <f t="shared" si="32"/>
        <v>60603968.STATAM</v>
      </c>
      <c r="AS1044">
        <f t="shared" si="33"/>
        <v>7638306.3799999999</v>
      </c>
      <c r="AT1044" t="s">
        <v>82</v>
      </c>
    </row>
    <row r="1045" spans="1:46" x14ac:dyDescent="0.35">
      <c r="A1045" t="s">
        <v>52</v>
      </c>
      <c r="B1045" t="s">
        <v>53</v>
      </c>
      <c r="C1045" t="s">
        <v>54</v>
      </c>
      <c r="D1045" t="s">
        <v>55</v>
      </c>
      <c r="E1045" t="s">
        <v>56</v>
      </c>
      <c r="F1045" t="s">
        <v>3398</v>
      </c>
      <c r="G1045" t="s">
        <v>3419</v>
      </c>
      <c r="H1045" t="s">
        <v>56</v>
      </c>
      <c r="I1045" t="s">
        <v>3420</v>
      </c>
      <c r="J1045" t="s">
        <v>61</v>
      </c>
      <c r="K1045" t="s">
        <v>640</v>
      </c>
      <c r="L1045" t="s">
        <v>56</v>
      </c>
      <c r="M1045" t="s">
        <v>56</v>
      </c>
      <c r="N1045" t="s">
        <v>252</v>
      </c>
      <c r="O1045" t="s">
        <v>245</v>
      </c>
      <c r="P1045" t="s">
        <v>246</v>
      </c>
      <c r="Q1045" t="s">
        <v>444</v>
      </c>
      <c r="R1045" t="s">
        <v>248</v>
      </c>
      <c r="S1045">
        <v>3000000</v>
      </c>
      <c r="T1045">
        <v>-13257294.16</v>
      </c>
      <c r="U1045" t="s">
        <v>68</v>
      </c>
      <c r="V1045" t="s">
        <v>3402</v>
      </c>
      <c r="W1045" s="9">
        <v>60603968</v>
      </c>
      <c r="X1045" t="s">
        <v>3421</v>
      </c>
      <c r="Y1045" s="1">
        <v>46043</v>
      </c>
      <c r="Z1045" s="1">
        <v>46103</v>
      </c>
      <c r="AA1045" s="2">
        <v>3944.83</v>
      </c>
      <c r="AB1045" s="2">
        <v>3343.08</v>
      </c>
      <c r="AC1045" s="2">
        <v>601.75</v>
      </c>
      <c r="AD1045" s="2">
        <v>3944.83</v>
      </c>
      <c r="AE1045" t="s">
        <v>3422</v>
      </c>
      <c r="AF1045" t="s">
        <v>72</v>
      </c>
      <c r="AG1045">
        <v>-25</v>
      </c>
      <c r="AH1045" t="s">
        <v>117</v>
      </c>
      <c r="AI1045" t="s">
        <v>74</v>
      </c>
      <c r="AJ1045" t="s">
        <v>75</v>
      </c>
      <c r="AK1045" t="s">
        <v>76</v>
      </c>
      <c r="AL1045" t="s">
        <v>118</v>
      </c>
      <c r="AM1045" t="s">
        <v>78</v>
      </c>
      <c r="AN1045" t="s">
        <v>239</v>
      </c>
      <c r="AO1045" t="s">
        <v>119</v>
      </c>
      <c r="AP1045" t="s">
        <v>46</v>
      </c>
      <c r="AQ1045" t="s">
        <v>81</v>
      </c>
      <c r="AR1045" t="str">
        <f t="shared" si="32"/>
        <v>60603968.STATAM</v>
      </c>
      <c r="AS1045">
        <f t="shared" si="33"/>
        <v>7638306.3799999999</v>
      </c>
      <c r="AT1045" t="s">
        <v>82</v>
      </c>
    </row>
    <row r="1046" spans="1:46" x14ac:dyDescent="0.35">
      <c r="A1046" t="s">
        <v>52</v>
      </c>
      <c r="B1046" t="s">
        <v>53</v>
      </c>
      <c r="C1046" t="s">
        <v>54</v>
      </c>
      <c r="D1046" t="s">
        <v>55</v>
      </c>
      <c r="E1046" t="s">
        <v>56</v>
      </c>
      <c r="F1046" t="s">
        <v>3398</v>
      </c>
      <c r="G1046" t="s">
        <v>3419</v>
      </c>
      <c r="H1046" t="s">
        <v>56</v>
      </c>
      <c r="I1046" t="s">
        <v>3420</v>
      </c>
      <c r="J1046" t="s">
        <v>61</v>
      </c>
      <c r="K1046" t="s">
        <v>640</v>
      </c>
      <c r="L1046" t="s">
        <v>56</v>
      </c>
      <c r="M1046" t="s">
        <v>56</v>
      </c>
      <c r="N1046" t="s">
        <v>263</v>
      </c>
      <c r="O1046" t="s">
        <v>245</v>
      </c>
      <c r="P1046" t="s">
        <v>246</v>
      </c>
      <c r="Q1046" t="s">
        <v>444</v>
      </c>
      <c r="R1046" t="s">
        <v>248</v>
      </c>
      <c r="S1046">
        <v>3000000</v>
      </c>
      <c r="T1046">
        <v>-13257294.16</v>
      </c>
      <c r="U1046" t="s">
        <v>68</v>
      </c>
      <c r="V1046" t="s">
        <v>3402</v>
      </c>
      <c r="W1046" s="9">
        <v>60603968</v>
      </c>
      <c r="X1046" t="s">
        <v>3421</v>
      </c>
      <c r="Y1046" s="1">
        <v>46043</v>
      </c>
      <c r="Z1046" s="1">
        <v>46103</v>
      </c>
      <c r="AA1046" s="2">
        <v>15201.32</v>
      </c>
      <c r="AB1046" s="2">
        <v>12882.48</v>
      </c>
      <c r="AC1046" s="2">
        <v>2318.84</v>
      </c>
      <c r="AD1046" s="2">
        <v>15201.32</v>
      </c>
      <c r="AE1046" t="s">
        <v>3423</v>
      </c>
      <c r="AF1046" t="s">
        <v>72</v>
      </c>
      <c r="AG1046">
        <v>-25</v>
      </c>
      <c r="AH1046" t="s">
        <v>117</v>
      </c>
      <c r="AI1046" t="s">
        <v>74</v>
      </c>
      <c r="AJ1046" t="s">
        <v>75</v>
      </c>
      <c r="AK1046" t="s">
        <v>76</v>
      </c>
      <c r="AL1046" t="s">
        <v>118</v>
      </c>
      <c r="AM1046" t="s">
        <v>78</v>
      </c>
      <c r="AN1046" t="s">
        <v>239</v>
      </c>
      <c r="AO1046" t="s">
        <v>119</v>
      </c>
      <c r="AP1046" t="s">
        <v>46</v>
      </c>
      <c r="AQ1046" t="s">
        <v>81</v>
      </c>
      <c r="AR1046" t="str">
        <f t="shared" si="32"/>
        <v>60603968.STATAM</v>
      </c>
      <c r="AS1046">
        <f t="shared" si="33"/>
        <v>7638306.3799999999</v>
      </c>
      <c r="AT1046" t="s">
        <v>82</v>
      </c>
    </row>
    <row r="1047" spans="1:46" x14ac:dyDescent="0.35">
      <c r="A1047" t="s">
        <v>52</v>
      </c>
      <c r="B1047" t="s">
        <v>53</v>
      </c>
      <c r="C1047" t="s">
        <v>54</v>
      </c>
      <c r="D1047" t="s">
        <v>55</v>
      </c>
      <c r="E1047" t="s">
        <v>56</v>
      </c>
      <c r="F1047" t="s">
        <v>3398</v>
      </c>
      <c r="G1047" t="s">
        <v>3419</v>
      </c>
      <c r="H1047" t="s">
        <v>56</v>
      </c>
      <c r="I1047" t="s">
        <v>3420</v>
      </c>
      <c r="J1047" t="s">
        <v>61</v>
      </c>
      <c r="K1047" t="s">
        <v>640</v>
      </c>
      <c r="L1047" t="s">
        <v>56</v>
      </c>
      <c r="M1047" t="s">
        <v>56</v>
      </c>
      <c r="N1047" t="s">
        <v>1384</v>
      </c>
      <c r="O1047" t="s">
        <v>245</v>
      </c>
      <c r="P1047" t="s">
        <v>246</v>
      </c>
      <c r="Q1047" t="s">
        <v>444</v>
      </c>
      <c r="R1047" t="s">
        <v>248</v>
      </c>
      <c r="S1047">
        <v>3000000</v>
      </c>
      <c r="T1047">
        <v>-13257294.16</v>
      </c>
      <c r="U1047" t="s">
        <v>68</v>
      </c>
      <c r="V1047" t="s">
        <v>3402</v>
      </c>
      <c r="W1047" s="9">
        <v>60603968</v>
      </c>
      <c r="X1047" t="s">
        <v>3421</v>
      </c>
      <c r="Y1047" s="1">
        <v>46043</v>
      </c>
      <c r="Z1047" s="1">
        <v>46103</v>
      </c>
      <c r="AA1047" s="2">
        <v>37117.89</v>
      </c>
      <c r="AB1047" s="2">
        <v>31455.84</v>
      </c>
      <c r="AC1047" s="2">
        <v>5662.05</v>
      </c>
      <c r="AD1047" s="2">
        <v>37117.89</v>
      </c>
      <c r="AE1047" t="s">
        <v>3424</v>
      </c>
      <c r="AF1047" t="s">
        <v>72</v>
      </c>
      <c r="AG1047">
        <v>-25</v>
      </c>
      <c r="AH1047" t="s">
        <v>117</v>
      </c>
      <c r="AI1047" t="s">
        <v>74</v>
      </c>
      <c r="AJ1047" t="s">
        <v>75</v>
      </c>
      <c r="AK1047" t="s">
        <v>76</v>
      </c>
      <c r="AL1047" t="s">
        <v>118</v>
      </c>
      <c r="AM1047" t="s">
        <v>78</v>
      </c>
      <c r="AN1047" t="s">
        <v>239</v>
      </c>
      <c r="AO1047" t="s">
        <v>119</v>
      </c>
      <c r="AP1047" t="s">
        <v>46</v>
      </c>
      <c r="AQ1047" t="s">
        <v>81</v>
      </c>
      <c r="AR1047" t="str">
        <f t="shared" si="32"/>
        <v>60603968.STATAM</v>
      </c>
      <c r="AS1047">
        <f t="shared" si="33"/>
        <v>7638306.3799999999</v>
      </c>
      <c r="AT1047" t="s">
        <v>82</v>
      </c>
    </row>
    <row r="1048" spans="1:46" x14ac:dyDescent="0.35">
      <c r="A1048" t="s">
        <v>52</v>
      </c>
      <c r="B1048" t="s">
        <v>53</v>
      </c>
      <c r="C1048" t="s">
        <v>54</v>
      </c>
      <c r="D1048" t="s">
        <v>55</v>
      </c>
      <c r="E1048" t="s">
        <v>56</v>
      </c>
      <c r="F1048" t="s">
        <v>3398</v>
      </c>
      <c r="G1048" t="s">
        <v>3419</v>
      </c>
      <c r="H1048" t="s">
        <v>56</v>
      </c>
      <c r="I1048" t="s">
        <v>3420</v>
      </c>
      <c r="J1048" t="s">
        <v>61</v>
      </c>
      <c r="K1048" t="s">
        <v>640</v>
      </c>
      <c r="L1048" t="s">
        <v>56</v>
      </c>
      <c r="M1048" t="s">
        <v>56</v>
      </c>
      <c r="N1048" t="s">
        <v>295</v>
      </c>
      <c r="O1048" t="s">
        <v>245</v>
      </c>
      <c r="P1048" t="s">
        <v>246</v>
      </c>
      <c r="Q1048" t="s">
        <v>444</v>
      </c>
      <c r="R1048" t="s">
        <v>248</v>
      </c>
      <c r="S1048">
        <v>3000000</v>
      </c>
      <c r="T1048">
        <v>-13257294.16</v>
      </c>
      <c r="U1048" t="s">
        <v>68</v>
      </c>
      <c r="V1048" t="s">
        <v>3402</v>
      </c>
      <c r="W1048" s="9">
        <v>60603968</v>
      </c>
      <c r="X1048" t="s">
        <v>3421</v>
      </c>
      <c r="Y1048" s="1">
        <v>46043</v>
      </c>
      <c r="Z1048" s="1">
        <v>46103</v>
      </c>
      <c r="AA1048" s="2">
        <v>24954.799999999999</v>
      </c>
      <c r="AB1048" s="2">
        <v>21148.14</v>
      </c>
      <c r="AC1048" s="2">
        <v>3806.66</v>
      </c>
      <c r="AD1048" s="2">
        <v>24954.799999999999</v>
      </c>
      <c r="AE1048" t="s">
        <v>3425</v>
      </c>
      <c r="AF1048" t="s">
        <v>72</v>
      </c>
      <c r="AG1048">
        <v>-25</v>
      </c>
      <c r="AH1048" t="s">
        <v>117</v>
      </c>
      <c r="AI1048" t="s">
        <v>74</v>
      </c>
      <c r="AJ1048" t="s">
        <v>75</v>
      </c>
      <c r="AK1048" t="s">
        <v>76</v>
      </c>
      <c r="AL1048" t="s">
        <v>118</v>
      </c>
      <c r="AM1048" t="s">
        <v>78</v>
      </c>
      <c r="AN1048" t="s">
        <v>239</v>
      </c>
      <c r="AO1048" t="s">
        <v>119</v>
      </c>
      <c r="AP1048" t="s">
        <v>46</v>
      </c>
      <c r="AQ1048" t="s">
        <v>81</v>
      </c>
      <c r="AR1048" t="str">
        <f t="shared" si="32"/>
        <v>60603968.STATAM</v>
      </c>
      <c r="AS1048">
        <f t="shared" si="33"/>
        <v>7638306.3799999999</v>
      </c>
      <c r="AT1048" t="s">
        <v>82</v>
      </c>
    </row>
    <row r="1049" spans="1:46" x14ac:dyDescent="0.35">
      <c r="A1049" t="s">
        <v>52</v>
      </c>
      <c r="B1049" t="s">
        <v>53</v>
      </c>
      <c r="C1049" t="s">
        <v>54</v>
      </c>
      <c r="D1049" t="s">
        <v>55</v>
      </c>
      <c r="E1049" t="s">
        <v>56</v>
      </c>
      <c r="F1049" t="s">
        <v>3398</v>
      </c>
      <c r="G1049" t="s">
        <v>3419</v>
      </c>
      <c r="H1049" t="s">
        <v>56</v>
      </c>
      <c r="I1049" t="s">
        <v>3420</v>
      </c>
      <c r="J1049" t="s">
        <v>61</v>
      </c>
      <c r="K1049" t="s">
        <v>640</v>
      </c>
      <c r="L1049" t="s">
        <v>56</v>
      </c>
      <c r="M1049" t="s">
        <v>56</v>
      </c>
      <c r="N1049" t="s">
        <v>261</v>
      </c>
      <c r="O1049" t="s">
        <v>245</v>
      </c>
      <c r="P1049" t="s">
        <v>246</v>
      </c>
      <c r="Q1049" t="s">
        <v>444</v>
      </c>
      <c r="R1049" t="s">
        <v>248</v>
      </c>
      <c r="S1049">
        <v>3000000</v>
      </c>
      <c r="T1049">
        <v>-13257294.16</v>
      </c>
      <c r="U1049" t="s">
        <v>68</v>
      </c>
      <c r="V1049" t="s">
        <v>3402</v>
      </c>
      <c r="W1049" s="9">
        <v>60603968</v>
      </c>
      <c r="X1049" t="s">
        <v>3421</v>
      </c>
      <c r="Y1049" s="1">
        <v>46043</v>
      </c>
      <c r="Z1049" s="1">
        <v>46103</v>
      </c>
      <c r="AA1049" s="2">
        <v>12018.58</v>
      </c>
      <c r="AB1049" s="2">
        <v>10185.24</v>
      </c>
      <c r="AC1049" s="2">
        <v>1833.34</v>
      </c>
      <c r="AD1049" s="2">
        <v>12018.58</v>
      </c>
      <c r="AE1049" t="s">
        <v>3426</v>
      </c>
      <c r="AF1049" t="s">
        <v>72</v>
      </c>
      <c r="AG1049">
        <v>-25</v>
      </c>
      <c r="AH1049" t="s">
        <v>117</v>
      </c>
      <c r="AI1049" t="s">
        <v>74</v>
      </c>
      <c r="AJ1049" t="s">
        <v>75</v>
      </c>
      <c r="AK1049" t="s">
        <v>76</v>
      </c>
      <c r="AL1049" t="s">
        <v>118</v>
      </c>
      <c r="AM1049" t="s">
        <v>78</v>
      </c>
      <c r="AN1049" t="s">
        <v>239</v>
      </c>
      <c r="AO1049" t="s">
        <v>119</v>
      </c>
      <c r="AP1049" t="s">
        <v>46</v>
      </c>
      <c r="AQ1049" t="s">
        <v>81</v>
      </c>
      <c r="AR1049" t="str">
        <f t="shared" si="32"/>
        <v>60603968.STATAM</v>
      </c>
      <c r="AS1049">
        <f t="shared" si="33"/>
        <v>7638306.3799999999</v>
      </c>
      <c r="AT1049" t="s">
        <v>82</v>
      </c>
    </row>
    <row r="1050" spans="1:46" x14ac:dyDescent="0.35">
      <c r="A1050" t="s">
        <v>52</v>
      </c>
      <c r="B1050" t="s">
        <v>53</v>
      </c>
      <c r="C1050" t="s">
        <v>54</v>
      </c>
      <c r="D1050" t="s">
        <v>55</v>
      </c>
      <c r="E1050" t="s">
        <v>56</v>
      </c>
      <c r="F1050" t="s">
        <v>3398</v>
      </c>
      <c r="G1050" t="s">
        <v>3427</v>
      </c>
      <c r="H1050" t="s">
        <v>56</v>
      </c>
      <c r="I1050" t="s">
        <v>3428</v>
      </c>
      <c r="J1050" t="s">
        <v>61</v>
      </c>
      <c r="K1050" t="s">
        <v>640</v>
      </c>
      <c r="L1050" t="s">
        <v>56</v>
      </c>
      <c r="M1050" t="s">
        <v>56</v>
      </c>
      <c r="N1050" t="s">
        <v>252</v>
      </c>
      <c r="O1050" t="s">
        <v>318</v>
      </c>
      <c r="P1050" t="s">
        <v>319</v>
      </c>
      <c r="Q1050" t="s">
        <v>444</v>
      </c>
      <c r="R1050" t="s">
        <v>248</v>
      </c>
      <c r="S1050">
        <v>3000000</v>
      </c>
      <c r="T1050">
        <v>-13257294.16</v>
      </c>
      <c r="U1050" t="s">
        <v>68</v>
      </c>
      <c r="V1050" t="s">
        <v>3402</v>
      </c>
      <c r="W1050" s="9">
        <v>60603968</v>
      </c>
      <c r="X1050" t="s">
        <v>3429</v>
      </c>
      <c r="Y1050" s="1">
        <v>46045</v>
      </c>
      <c r="Z1050" s="1">
        <v>46105</v>
      </c>
      <c r="AA1050" s="2">
        <v>392846.97</v>
      </c>
      <c r="AB1050" s="2">
        <v>332921.15999999997</v>
      </c>
      <c r="AC1050" s="2">
        <v>59925.81</v>
      </c>
      <c r="AD1050" s="2">
        <v>392846.97</v>
      </c>
      <c r="AE1050" t="s">
        <v>3430</v>
      </c>
      <c r="AF1050" t="s">
        <v>72</v>
      </c>
      <c r="AG1050">
        <v>-27</v>
      </c>
      <c r="AH1050" t="s">
        <v>117</v>
      </c>
      <c r="AI1050" t="s">
        <v>74</v>
      </c>
      <c r="AJ1050" t="s">
        <v>75</v>
      </c>
      <c r="AK1050" t="s">
        <v>76</v>
      </c>
      <c r="AL1050" t="s">
        <v>118</v>
      </c>
      <c r="AM1050" t="s">
        <v>78</v>
      </c>
      <c r="AN1050" t="s">
        <v>239</v>
      </c>
      <c r="AO1050" t="s">
        <v>119</v>
      </c>
      <c r="AP1050" t="s">
        <v>46</v>
      </c>
      <c r="AQ1050" t="s">
        <v>81</v>
      </c>
      <c r="AR1050" t="str">
        <f t="shared" si="32"/>
        <v>60603968.STATAM</v>
      </c>
      <c r="AS1050">
        <f t="shared" si="33"/>
        <v>7638306.3799999999</v>
      </c>
      <c r="AT1050" t="s">
        <v>82</v>
      </c>
    </row>
    <row r="1051" spans="1:46" x14ac:dyDescent="0.35">
      <c r="A1051" t="s">
        <v>52</v>
      </c>
      <c r="B1051" t="s">
        <v>53</v>
      </c>
      <c r="C1051" t="s">
        <v>54</v>
      </c>
      <c r="D1051" t="s">
        <v>55</v>
      </c>
      <c r="E1051" t="s">
        <v>56</v>
      </c>
      <c r="F1051" t="s">
        <v>3398</v>
      </c>
      <c r="G1051" t="s">
        <v>3415</v>
      </c>
      <c r="H1051" t="s">
        <v>56</v>
      </c>
      <c r="I1051" t="s">
        <v>3431</v>
      </c>
      <c r="J1051" t="s">
        <v>61</v>
      </c>
      <c r="K1051" t="s">
        <v>640</v>
      </c>
      <c r="L1051" t="s">
        <v>56</v>
      </c>
      <c r="M1051" t="s">
        <v>56</v>
      </c>
      <c r="N1051" t="s">
        <v>254</v>
      </c>
      <c r="O1051" t="s">
        <v>245</v>
      </c>
      <c r="P1051" t="s">
        <v>246</v>
      </c>
      <c r="Q1051" t="s">
        <v>1486</v>
      </c>
      <c r="R1051" t="s">
        <v>248</v>
      </c>
      <c r="S1051">
        <v>3000000</v>
      </c>
      <c r="T1051">
        <v>-13257294.16</v>
      </c>
      <c r="U1051" t="s">
        <v>68</v>
      </c>
      <c r="V1051" t="s">
        <v>3402</v>
      </c>
      <c r="W1051" s="9">
        <v>60603968</v>
      </c>
      <c r="X1051" t="s">
        <v>3432</v>
      </c>
      <c r="Y1051" s="1">
        <v>46057</v>
      </c>
      <c r="Z1051" s="1">
        <v>46117</v>
      </c>
      <c r="AA1051" s="2">
        <v>404047.34</v>
      </c>
      <c r="AB1051" s="2">
        <v>342413</v>
      </c>
      <c r="AC1051" s="2">
        <v>61634.34</v>
      </c>
      <c r="AD1051" s="2">
        <v>404047.34</v>
      </c>
      <c r="AE1051" t="s">
        <v>3433</v>
      </c>
      <c r="AF1051" t="s">
        <v>72</v>
      </c>
      <c r="AG1051">
        <v>-39</v>
      </c>
      <c r="AH1051" t="s">
        <v>117</v>
      </c>
      <c r="AI1051" t="s">
        <v>74</v>
      </c>
      <c r="AJ1051" t="s">
        <v>75</v>
      </c>
      <c r="AK1051" t="s">
        <v>76</v>
      </c>
      <c r="AL1051" t="s">
        <v>118</v>
      </c>
      <c r="AM1051" t="s">
        <v>78</v>
      </c>
      <c r="AN1051" t="s">
        <v>239</v>
      </c>
      <c r="AO1051" t="s">
        <v>119</v>
      </c>
      <c r="AP1051" t="s">
        <v>46</v>
      </c>
      <c r="AQ1051" t="s">
        <v>81</v>
      </c>
      <c r="AR1051" t="str">
        <f t="shared" si="32"/>
        <v>60603968.STATAM</v>
      </c>
      <c r="AS1051">
        <f t="shared" si="33"/>
        <v>7638306.3799999999</v>
      </c>
      <c r="AT1051" t="s">
        <v>82</v>
      </c>
    </row>
    <row r="1052" spans="1:46" x14ac:dyDescent="0.35">
      <c r="A1052" t="s">
        <v>52</v>
      </c>
      <c r="B1052" t="s">
        <v>53</v>
      </c>
      <c r="C1052" t="s">
        <v>54</v>
      </c>
      <c r="D1052" t="s">
        <v>55</v>
      </c>
      <c r="E1052" t="s">
        <v>56</v>
      </c>
      <c r="F1052" t="s">
        <v>3398</v>
      </c>
      <c r="G1052" t="s">
        <v>3434</v>
      </c>
      <c r="H1052" t="s">
        <v>56</v>
      </c>
      <c r="I1052" t="s">
        <v>3435</v>
      </c>
      <c r="J1052" t="s">
        <v>61</v>
      </c>
      <c r="K1052" t="s">
        <v>640</v>
      </c>
      <c r="L1052" t="s">
        <v>56</v>
      </c>
      <c r="M1052" t="s">
        <v>56</v>
      </c>
      <c r="N1052" t="s">
        <v>261</v>
      </c>
      <c r="O1052" t="s">
        <v>245</v>
      </c>
      <c r="P1052" t="s">
        <v>246</v>
      </c>
      <c r="Q1052" t="s">
        <v>444</v>
      </c>
      <c r="R1052" t="s">
        <v>248</v>
      </c>
      <c r="S1052">
        <v>3000000</v>
      </c>
      <c r="T1052">
        <v>-13257294.16</v>
      </c>
      <c r="U1052" t="s">
        <v>68</v>
      </c>
      <c r="V1052" t="s">
        <v>3402</v>
      </c>
      <c r="W1052" s="9">
        <v>60603968</v>
      </c>
      <c r="X1052" t="s">
        <v>3436</v>
      </c>
      <c r="Y1052" s="1">
        <v>46057</v>
      </c>
      <c r="Z1052" s="1">
        <v>46117</v>
      </c>
      <c r="AA1052" s="2">
        <v>6009.29</v>
      </c>
      <c r="AB1052" s="2">
        <v>5092.62</v>
      </c>
      <c r="AC1052" s="2">
        <v>916.67</v>
      </c>
      <c r="AD1052" s="2">
        <v>6009.29</v>
      </c>
      <c r="AE1052" t="s">
        <v>3437</v>
      </c>
      <c r="AF1052" t="s">
        <v>72</v>
      </c>
      <c r="AG1052">
        <v>-39</v>
      </c>
      <c r="AH1052" t="s">
        <v>117</v>
      </c>
      <c r="AI1052" t="s">
        <v>74</v>
      </c>
      <c r="AJ1052" t="s">
        <v>75</v>
      </c>
      <c r="AK1052" t="s">
        <v>76</v>
      </c>
      <c r="AL1052" t="s">
        <v>118</v>
      </c>
      <c r="AM1052" t="s">
        <v>78</v>
      </c>
      <c r="AN1052" t="s">
        <v>239</v>
      </c>
      <c r="AO1052" t="s">
        <v>119</v>
      </c>
      <c r="AP1052" t="s">
        <v>46</v>
      </c>
      <c r="AQ1052" t="s">
        <v>81</v>
      </c>
      <c r="AR1052" t="str">
        <f t="shared" si="32"/>
        <v>60603968.STATAM</v>
      </c>
      <c r="AS1052">
        <f t="shared" si="33"/>
        <v>7638306.3799999999</v>
      </c>
      <c r="AT1052" t="s">
        <v>82</v>
      </c>
    </row>
    <row r="1053" spans="1:46" x14ac:dyDescent="0.35">
      <c r="A1053" t="s">
        <v>52</v>
      </c>
      <c r="B1053" t="s">
        <v>53</v>
      </c>
      <c r="C1053" t="s">
        <v>54</v>
      </c>
      <c r="D1053" t="s">
        <v>55</v>
      </c>
      <c r="E1053" t="s">
        <v>56</v>
      </c>
      <c r="F1053" t="s">
        <v>3398</v>
      </c>
      <c r="G1053" t="s">
        <v>3434</v>
      </c>
      <c r="H1053" t="s">
        <v>56</v>
      </c>
      <c r="I1053" t="s">
        <v>3435</v>
      </c>
      <c r="J1053" t="s">
        <v>61</v>
      </c>
      <c r="K1053" t="s">
        <v>640</v>
      </c>
      <c r="L1053" t="s">
        <v>56</v>
      </c>
      <c r="M1053" t="s">
        <v>56</v>
      </c>
      <c r="N1053" t="s">
        <v>263</v>
      </c>
      <c r="O1053" t="s">
        <v>245</v>
      </c>
      <c r="P1053" t="s">
        <v>246</v>
      </c>
      <c r="Q1053" t="s">
        <v>444</v>
      </c>
      <c r="R1053" t="s">
        <v>248</v>
      </c>
      <c r="S1053">
        <v>3000000</v>
      </c>
      <c r="T1053">
        <v>-13257294.16</v>
      </c>
      <c r="U1053" t="s">
        <v>68</v>
      </c>
      <c r="V1053" t="s">
        <v>3402</v>
      </c>
      <c r="W1053" s="9">
        <v>60603968</v>
      </c>
      <c r="X1053" t="s">
        <v>3436</v>
      </c>
      <c r="Y1053" s="1">
        <v>46057</v>
      </c>
      <c r="Z1053" s="1">
        <v>46117</v>
      </c>
      <c r="AA1053" s="2">
        <v>1222.29</v>
      </c>
      <c r="AB1053" s="2">
        <v>1035.8399999999999</v>
      </c>
      <c r="AC1053" s="2">
        <v>186.45</v>
      </c>
      <c r="AD1053" s="2">
        <v>1222.29</v>
      </c>
      <c r="AE1053" t="s">
        <v>3438</v>
      </c>
      <c r="AF1053" t="s">
        <v>72</v>
      </c>
      <c r="AG1053">
        <v>-39</v>
      </c>
      <c r="AH1053" t="s">
        <v>117</v>
      </c>
      <c r="AI1053" t="s">
        <v>74</v>
      </c>
      <c r="AJ1053" t="s">
        <v>75</v>
      </c>
      <c r="AK1053" t="s">
        <v>76</v>
      </c>
      <c r="AL1053" t="s">
        <v>118</v>
      </c>
      <c r="AM1053" t="s">
        <v>78</v>
      </c>
      <c r="AN1053" t="s">
        <v>239</v>
      </c>
      <c r="AO1053" t="s">
        <v>119</v>
      </c>
      <c r="AP1053" t="s">
        <v>46</v>
      </c>
      <c r="AQ1053" t="s">
        <v>81</v>
      </c>
      <c r="AR1053" t="str">
        <f t="shared" si="32"/>
        <v>60603968.STATAM</v>
      </c>
      <c r="AS1053">
        <f t="shared" si="33"/>
        <v>7638306.3799999999</v>
      </c>
      <c r="AT1053" t="s">
        <v>82</v>
      </c>
    </row>
    <row r="1054" spans="1:46" x14ac:dyDescent="0.35">
      <c r="A1054" t="s">
        <v>52</v>
      </c>
      <c r="B1054" t="s">
        <v>53</v>
      </c>
      <c r="C1054" t="s">
        <v>54</v>
      </c>
      <c r="D1054" t="s">
        <v>55</v>
      </c>
      <c r="E1054" t="s">
        <v>56</v>
      </c>
      <c r="F1054" t="s">
        <v>3398</v>
      </c>
      <c r="G1054" t="s">
        <v>3434</v>
      </c>
      <c r="H1054" t="s">
        <v>56</v>
      </c>
      <c r="I1054" t="s">
        <v>3435</v>
      </c>
      <c r="J1054" t="s">
        <v>61</v>
      </c>
      <c r="K1054" t="s">
        <v>640</v>
      </c>
      <c r="L1054" t="s">
        <v>56</v>
      </c>
      <c r="M1054" t="s">
        <v>56</v>
      </c>
      <c r="N1054" t="s">
        <v>252</v>
      </c>
      <c r="O1054" t="s">
        <v>245</v>
      </c>
      <c r="P1054" t="s">
        <v>246</v>
      </c>
      <c r="Q1054" t="s">
        <v>444</v>
      </c>
      <c r="R1054" t="s">
        <v>248</v>
      </c>
      <c r="S1054">
        <v>3000000</v>
      </c>
      <c r="T1054">
        <v>-13257294.16</v>
      </c>
      <c r="U1054" t="s">
        <v>68</v>
      </c>
      <c r="V1054" t="s">
        <v>3402</v>
      </c>
      <c r="W1054" s="9">
        <v>60603968</v>
      </c>
      <c r="X1054" t="s">
        <v>3436</v>
      </c>
      <c r="Y1054" s="1">
        <v>46057</v>
      </c>
      <c r="Z1054" s="1">
        <v>46117</v>
      </c>
      <c r="AA1054" s="2">
        <v>5486.51</v>
      </c>
      <c r="AB1054" s="2">
        <v>4649.58</v>
      </c>
      <c r="AC1054" s="2">
        <v>836.93</v>
      </c>
      <c r="AD1054" s="2">
        <v>5486.51</v>
      </c>
      <c r="AE1054" t="s">
        <v>3439</v>
      </c>
      <c r="AF1054" t="s">
        <v>72</v>
      </c>
      <c r="AG1054">
        <v>-39</v>
      </c>
      <c r="AH1054" t="s">
        <v>117</v>
      </c>
      <c r="AI1054" t="s">
        <v>74</v>
      </c>
      <c r="AJ1054" t="s">
        <v>75</v>
      </c>
      <c r="AK1054" t="s">
        <v>76</v>
      </c>
      <c r="AL1054" t="s">
        <v>118</v>
      </c>
      <c r="AM1054" t="s">
        <v>78</v>
      </c>
      <c r="AN1054" t="s">
        <v>239</v>
      </c>
      <c r="AO1054" t="s">
        <v>119</v>
      </c>
      <c r="AP1054" t="s">
        <v>46</v>
      </c>
      <c r="AQ1054" t="s">
        <v>81</v>
      </c>
      <c r="AR1054" t="str">
        <f t="shared" si="32"/>
        <v>60603968.STATAM</v>
      </c>
      <c r="AS1054">
        <f t="shared" si="33"/>
        <v>7638306.3799999999</v>
      </c>
      <c r="AT1054" t="s">
        <v>82</v>
      </c>
    </row>
    <row r="1055" spans="1:46" x14ac:dyDescent="0.35">
      <c r="A1055" t="s">
        <v>52</v>
      </c>
      <c r="B1055" t="s">
        <v>53</v>
      </c>
      <c r="C1055" t="s">
        <v>54</v>
      </c>
      <c r="D1055" t="s">
        <v>55</v>
      </c>
      <c r="E1055" t="s">
        <v>56</v>
      </c>
      <c r="F1055" t="s">
        <v>3398</v>
      </c>
      <c r="G1055" t="s">
        <v>3440</v>
      </c>
      <c r="H1055" t="s">
        <v>56</v>
      </c>
      <c r="I1055" t="s">
        <v>3441</v>
      </c>
      <c r="J1055" t="s">
        <v>61</v>
      </c>
      <c r="K1055" t="s">
        <v>640</v>
      </c>
      <c r="L1055" t="s">
        <v>56</v>
      </c>
      <c r="M1055" t="s">
        <v>56</v>
      </c>
      <c r="N1055" t="s">
        <v>3073</v>
      </c>
      <c r="O1055" t="s">
        <v>318</v>
      </c>
      <c r="P1055" t="s">
        <v>319</v>
      </c>
      <c r="Q1055" t="s">
        <v>444</v>
      </c>
      <c r="R1055" t="s">
        <v>248</v>
      </c>
      <c r="S1055">
        <v>3000000</v>
      </c>
      <c r="T1055">
        <v>-13257294.16</v>
      </c>
      <c r="U1055" t="s">
        <v>68</v>
      </c>
      <c r="V1055" t="s">
        <v>3402</v>
      </c>
      <c r="W1055" s="9">
        <v>60603968</v>
      </c>
      <c r="X1055" t="s">
        <v>3442</v>
      </c>
      <c r="Y1055" s="1">
        <v>46057</v>
      </c>
      <c r="Z1055" s="1">
        <v>46117</v>
      </c>
      <c r="AA1055" s="2">
        <v>1063033.68</v>
      </c>
      <c r="AB1055" s="2">
        <v>900876</v>
      </c>
      <c r="AC1055" s="2">
        <v>162157.68</v>
      </c>
      <c r="AD1055" s="2">
        <v>1063033.68</v>
      </c>
      <c r="AE1055" t="s">
        <v>3443</v>
      </c>
      <c r="AF1055" t="s">
        <v>72</v>
      </c>
      <c r="AG1055">
        <v>-39</v>
      </c>
      <c r="AH1055" t="s">
        <v>117</v>
      </c>
      <c r="AI1055" t="s">
        <v>74</v>
      </c>
      <c r="AJ1055" t="s">
        <v>127</v>
      </c>
      <c r="AK1055" t="s">
        <v>334</v>
      </c>
      <c r="AL1055" t="s">
        <v>118</v>
      </c>
      <c r="AM1055" t="s">
        <v>78</v>
      </c>
      <c r="AN1055" t="s">
        <v>239</v>
      </c>
      <c r="AO1055" t="s">
        <v>119</v>
      </c>
      <c r="AP1055" t="s">
        <v>46</v>
      </c>
      <c r="AQ1055" t="s">
        <v>335</v>
      </c>
      <c r="AR1055" t="str">
        <f t="shared" si="32"/>
        <v>60603968.SPMINAM</v>
      </c>
      <c r="AS1055">
        <f t="shared" si="33"/>
        <v>1146978.2</v>
      </c>
      <c r="AT1055" t="s">
        <v>82</v>
      </c>
    </row>
    <row r="1056" spans="1:46" x14ac:dyDescent="0.35">
      <c r="A1056" t="s">
        <v>52</v>
      </c>
      <c r="B1056" t="s">
        <v>53</v>
      </c>
      <c r="C1056" t="s">
        <v>54</v>
      </c>
      <c r="D1056" t="s">
        <v>55</v>
      </c>
      <c r="E1056" t="s">
        <v>56</v>
      </c>
      <c r="F1056" t="s">
        <v>3398</v>
      </c>
      <c r="G1056" t="s">
        <v>3440</v>
      </c>
      <c r="H1056" t="s">
        <v>56</v>
      </c>
      <c r="I1056" t="s">
        <v>3441</v>
      </c>
      <c r="J1056" t="s">
        <v>61</v>
      </c>
      <c r="K1056" t="s">
        <v>640</v>
      </c>
      <c r="L1056" t="s">
        <v>56</v>
      </c>
      <c r="M1056" t="s">
        <v>56</v>
      </c>
      <c r="N1056" t="s">
        <v>806</v>
      </c>
      <c r="O1056" t="s">
        <v>318</v>
      </c>
      <c r="P1056" t="s">
        <v>319</v>
      </c>
      <c r="Q1056" t="s">
        <v>444</v>
      </c>
      <c r="R1056" t="s">
        <v>248</v>
      </c>
      <c r="S1056">
        <v>3000000</v>
      </c>
      <c r="T1056">
        <v>-13257294.16</v>
      </c>
      <c r="U1056" t="s">
        <v>68</v>
      </c>
      <c r="V1056" t="s">
        <v>3402</v>
      </c>
      <c r="W1056" s="9">
        <v>60603968</v>
      </c>
      <c r="X1056" t="s">
        <v>3442</v>
      </c>
      <c r="Y1056" s="1">
        <v>46057</v>
      </c>
      <c r="Z1056" s="1">
        <v>46117</v>
      </c>
      <c r="AA1056" s="2">
        <v>8566.7999999999993</v>
      </c>
      <c r="AB1056" s="2">
        <v>7260</v>
      </c>
      <c r="AC1056" s="2">
        <v>1306.8</v>
      </c>
      <c r="AD1056" s="2">
        <v>8566.7999999999993</v>
      </c>
      <c r="AE1056" t="s">
        <v>3444</v>
      </c>
      <c r="AF1056" t="s">
        <v>72</v>
      </c>
      <c r="AG1056">
        <v>-39</v>
      </c>
      <c r="AH1056" t="s">
        <v>117</v>
      </c>
      <c r="AI1056" t="s">
        <v>74</v>
      </c>
      <c r="AJ1056" t="s">
        <v>127</v>
      </c>
      <c r="AK1056" t="s">
        <v>334</v>
      </c>
      <c r="AL1056" t="s">
        <v>118</v>
      </c>
      <c r="AM1056" t="s">
        <v>78</v>
      </c>
      <c r="AN1056" t="s">
        <v>239</v>
      </c>
      <c r="AO1056" t="s">
        <v>119</v>
      </c>
      <c r="AP1056" t="s">
        <v>46</v>
      </c>
      <c r="AQ1056" t="s">
        <v>335</v>
      </c>
      <c r="AR1056" t="str">
        <f t="shared" si="32"/>
        <v>60603968.SPMINAM</v>
      </c>
      <c r="AS1056">
        <f t="shared" si="33"/>
        <v>1146978.2</v>
      </c>
      <c r="AT1056" t="s">
        <v>82</v>
      </c>
    </row>
    <row r="1057" spans="1:46" x14ac:dyDescent="0.35">
      <c r="A1057" t="s">
        <v>52</v>
      </c>
      <c r="B1057" t="s">
        <v>53</v>
      </c>
      <c r="C1057" t="s">
        <v>54</v>
      </c>
      <c r="D1057" t="s">
        <v>55</v>
      </c>
      <c r="E1057" t="s">
        <v>56</v>
      </c>
      <c r="F1057" t="s">
        <v>3398</v>
      </c>
      <c r="G1057" t="s">
        <v>3445</v>
      </c>
      <c r="H1057" t="s">
        <v>56</v>
      </c>
      <c r="I1057" t="s">
        <v>3446</v>
      </c>
      <c r="J1057" t="s">
        <v>61</v>
      </c>
      <c r="K1057" t="s">
        <v>640</v>
      </c>
      <c r="L1057" t="s">
        <v>56</v>
      </c>
      <c r="M1057" t="s">
        <v>56</v>
      </c>
      <c r="N1057" t="s">
        <v>252</v>
      </c>
      <c r="O1057" t="s">
        <v>318</v>
      </c>
      <c r="P1057" t="s">
        <v>319</v>
      </c>
      <c r="Q1057" t="s">
        <v>444</v>
      </c>
      <c r="R1057" t="s">
        <v>248</v>
      </c>
      <c r="S1057">
        <v>3000000</v>
      </c>
      <c r="T1057">
        <v>-13257294.16</v>
      </c>
      <c r="U1057" t="s">
        <v>68</v>
      </c>
      <c r="V1057" t="s">
        <v>3402</v>
      </c>
      <c r="W1057" s="9">
        <v>60603968</v>
      </c>
      <c r="X1057" t="s">
        <v>3447</v>
      </c>
      <c r="Y1057" s="1">
        <v>46062</v>
      </c>
      <c r="Z1057" s="1">
        <v>46122</v>
      </c>
      <c r="AA1057" s="2">
        <v>178303.57</v>
      </c>
      <c r="AB1057" s="2">
        <v>151104.72</v>
      </c>
      <c r="AC1057" s="2">
        <v>27198.85</v>
      </c>
      <c r="AD1057" s="2">
        <v>178303.57</v>
      </c>
      <c r="AE1057" t="s">
        <v>3448</v>
      </c>
      <c r="AF1057" t="s">
        <v>72</v>
      </c>
      <c r="AG1057">
        <v>-44</v>
      </c>
      <c r="AH1057" t="s">
        <v>117</v>
      </c>
      <c r="AI1057" t="s">
        <v>74</v>
      </c>
      <c r="AJ1057" t="s">
        <v>75</v>
      </c>
      <c r="AK1057" t="s">
        <v>76</v>
      </c>
      <c r="AL1057" t="s">
        <v>118</v>
      </c>
      <c r="AM1057" t="s">
        <v>78</v>
      </c>
      <c r="AN1057" t="s">
        <v>239</v>
      </c>
      <c r="AO1057" t="s">
        <v>119</v>
      </c>
      <c r="AP1057" t="s">
        <v>46</v>
      </c>
      <c r="AQ1057" t="s">
        <v>81</v>
      </c>
      <c r="AR1057" t="str">
        <f t="shared" si="32"/>
        <v>60603968.STATAM</v>
      </c>
      <c r="AS1057">
        <f t="shared" si="33"/>
        <v>7638306.3799999999</v>
      </c>
      <c r="AT1057" t="s">
        <v>82</v>
      </c>
    </row>
    <row r="1058" spans="1:46" x14ac:dyDescent="0.35">
      <c r="A1058" t="s">
        <v>52</v>
      </c>
      <c r="B1058" t="s">
        <v>53</v>
      </c>
      <c r="C1058" t="s">
        <v>54</v>
      </c>
      <c r="D1058" t="s">
        <v>55</v>
      </c>
      <c r="E1058" t="s">
        <v>56</v>
      </c>
      <c r="F1058" t="s">
        <v>3398</v>
      </c>
      <c r="G1058" t="s">
        <v>3445</v>
      </c>
      <c r="H1058" t="s">
        <v>56</v>
      </c>
      <c r="I1058" t="s">
        <v>3446</v>
      </c>
      <c r="J1058" t="s">
        <v>61</v>
      </c>
      <c r="K1058" t="s">
        <v>640</v>
      </c>
      <c r="L1058" t="s">
        <v>56</v>
      </c>
      <c r="M1058" t="s">
        <v>56</v>
      </c>
      <c r="N1058" t="s">
        <v>295</v>
      </c>
      <c r="O1058" t="s">
        <v>318</v>
      </c>
      <c r="P1058" t="s">
        <v>319</v>
      </c>
      <c r="Q1058" t="s">
        <v>444</v>
      </c>
      <c r="R1058" t="s">
        <v>248</v>
      </c>
      <c r="S1058">
        <v>3000000</v>
      </c>
      <c r="T1058">
        <v>-13257294.16</v>
      </c>
      <c r="U1058" t="s">
        <v>68</v>
      </c>
      <c r="V1058" t="s">
        <v>3402</v>
      </c>
      <c r="W1058" s="9">
        <v>60603968</v>
      </c>
      <c r="X1058" t="s">
        <v>3447</v>
      </c>
      <c r="Y1058" s="1">
        <v>46062</v>
      </c>
      <c r="Z1058" s="1">
        <v>46122</v>
      </c>
      <c r="AA1058" s="2">
        <v>19836.46</v>
      </c>
      <c r="AB1058" s="2">
        <v>16810.560000000001</v>
      </c>
      <c r="AC1058" s="2">
        <v>3025.9</v>
      </c>
      <c r="AD1058" s="2">
        <v>19836.46</v>
      </c>
      <c r="AE1058" t="s">
        <v>3449</v>
      </c>
      <c r="AF1058" t="s">
        <v>72</v>
      </c>
      <c r="AG1058">
        <v>-44</v>
      </c>
      <c r="AH1058" t="s">
        <v>117</v>
      </c>
      <c r="AI1058" t="s">
        <v>74</v>
      </c>
      <c r="AJ1058" t="s">
        <v>75</v>
      </c>
      <c r="AK1058" t="s">
        <v>76</v>
      </c>
      <c r="AL1058" t="s">
        <v>118</v>
      </c>
      <c r="AM1058" t="s">
        <v>78</v>
      </c>
      <c r="AN1058" t="s">
        <v>239</v>
      </c>
      <c r="AO1058" t="s">
        <v>119</v>
      </c>
      <c r="AP1058" t="s">
        <v>46</v>
      </c>
      <c r="AQ1058" t="s">
        <v>81</v>
      </c>
      <c r="AR1058" t="str">
        <f t="shared" si="32"/>
        <v>60603968.STATAM</v>
      </c>
      <c r="AS1058">
        <f t="shared" si="33"/>
        <v>7638306.3799999999</v>
      </c>
      <c r="AT1058" t="s">
        <v>82</v>
      </c>
    </row>
    <row r="1059" spans="1:46" x14ac:dyDescent="0.35">
      <c r="A1059" t="s">
        <v>52</v>
      </c>
      <c r="B1059" t="s">
        <v>53</v>
      </c>
      <c r="C1059" t="s">
        <v>54</v>
      </c>
      <c r="D1059" t="s">
        <v>55</v>
      </c>
      <c r="E1059" t="s">
        <v>56</v>
      </c>
      <c r="F1059" t="s">
        <v>3398</v>
      </c>
      <c r="G1059" t="s">
        <v>3445</v>
      </c>
      <c r="H1059" t="s">
        <v>56</v>
      </c>
      <c r="I1059" t="s">
        <v>3446</v>
      </c>
      <c r="J1059" t="s">
        <v>61</v>
      </c>
      <c r="K1059" t="s">
        <v>640</v>
      </c>
      <c r="L1059" t="s">
        <v>56</v>
      </c>
      <c r="M1059" t="s">
        <v>56</v>
      </c>
      <c r="N1059" t="s">
        <v>261</v>
      </c>
      <c r="O1059" t="s">
        <v>318</v>
      </c>
      <c r="P1059" t="s">
        <v>319</v>
      </c>
      <c r="Q1059" t="s">
        <v>444</v>
      </c>
      <c r="R1059" t="s">
        <v>248</v>
      </c>
      <c r="S1059">
        <v>3000000</v>
      </c>
      <c r="T1059">
        <v>-13257294.16</v>
      </c>
      <c r="U1059" t="s">
        <v>68</v>
      </c>
      <c r="V1059" t="s">
        <v>3402</v>
      </c>
      <c r="W1059" s="9">
        <v>60603968</v>
      </c>
      <c r="X1059" t="s">
        <v>3447</v>
      </c>
      <c r="Y1059" s="1">
        <v>46062</v>
      </c>
      <c r="Z1059" s="1">
        <v>46122</v>
      </c>
      <c r="AA1059" s="2">
        <v>238473.44</v>
      </c>
      <c r="AB1059" s="2">
        <v>202096.14</v>
      </c>
      <c r="AC1059" s="2">
        <v>36377.300000000003</v>
      </c>
      <c r="AD1059" s="2">
        <v>238473.44</v>
      </c>
      <c r="AE1059" t="s">
        <v>3450</v>
      </c>
      <c r="AF1059" t="s">
        <v>72</v>
      </c>
      <c r="AG1059">
        <v>-44</v>
      </c>
      <c r="AH1059" t="s">
        <v>117</v>
      </c>
      <c r="AI1059" t="s">
        <v>74</v>
      </c>
      <c r="AJ1059" t="s">
        <v>75</v>
      </c>
      <c r="AK1059" t="s">
        <v>76</v>
      </c>
      <c r="AL1059" t="s">
        <v>118</v>
      </c>
      <c r="AM1059" t="s">
        <v>78</v>
      </c>
      <c r="AN1059" t="s">
        <v>239</v>
      </c>
      <c r="AO1059" t="s">
        <v>119</v>
      </c>
      <c r="AP1059" t="s">
        <v>46</v>
      </c>
      <c r="AQ1059" t="s">
        <v>81</v>
      </c>
      <c r="AR1059" t="str">
        <f t="shared" si="32"/>
        <v>60603968.STATAM</v>
      </c>
      <c r="AS1059">
        <f t="shared" si="33"/>
        <v>7638306.3799999999</v>
      </c>
      <c r="AT1059" t="s">
        <v>82</v>
      </c>
    </row>
    <row r="1060" spans="1:46" x14ac:dyDescent="0.35">
      <c r="A1060" t="s">
        <v>52</v>
      </c>
      <c r="B1060" t="s">
        <v>53</v>
      </c>
      <c r="C1060" t="s">
        <v>54</v>
      </c>
      <c r="D1060" t="s">
        <v>55</v>
      </c>
      <c r="E1060" t="s">
        <v>56</v>
      </c>
      <c r="F1060" t="s">
        <v>3398</v>
      </c>
      <c r="G1060" t="s">
        <v>3451</v>
      </c>
      <c r="H1060" t="s">
        <v>56</v>
      </c>
      <c r="I1060" t="s">
        <v>3452</v>
      </c>
      <c r="J1060" t="s">
        <v>61</v>
      </c>
      <c r="K1060" t="s">
        <v>640</v>
      </c>
      <c r="L1060" t="s">
        <v>56</v>
      </c>
      <c r="M1060" t="s">
        <v>56</v>
      </c>
      <c r="N1060" t="s">
        <v>263</v>
      </c>
      <c r="O1060" t="s">
        <v>318</v>
      </c>
      <c r="P1060" t="s">
        <v>319</v>
      </c>
      <c r="Q1060" t="s">
        <v>444</v>
      </c>
      <c r="R1060" t="s">
        <v>248</v>
      </c>
      <c r="S1060">
        <v>3000000</v>
      </c>
      <c r="T1060">
        <v>-13257294.16</v>
      </c>
      <c r="U1060" t="s">
        <v>68</v>
      </c>
      <c r="V1060" t="s">
        <v>3402</v>
      </c>
      <c r="W1060" s="9">
        <v>60603968</v>
      </c>
      <c r="X1060" t="s">
        <v>3453</v>
      </c>
      <c r="Y1060" s="1">
        <v>46062</v>
      </c>
      <c r="Z1060" s="1">
        <v>46122</v>
      </c>
      <c r="AA1060" s="2">
        <v>26879.360000000001</v>
      </c>
      <c r="AB1060" s="2">
        <v>22779.119999999999</v>
      </c>
      <c r="AC1060" s="2">
        <v>4100.24</v>
      </c>
      <c r="AD1060" s="2">
        <v>26879.360000000001</v>
      </c>
      <c r="AE1060" t="s">
        <v>3454</v>
      </c>
      <c r="AF1060" t="s">
        <v>72</v>
      </c>
      <c r="AG1060">
        <v>-44</v>
      </c>
      <c r="AH1060" t="s">
        <v>117</v>
      </c>
      <c r="AI1060" t="s">
        <v>74</v>
      </c>
      <c r="AJ1060" t="s">
        <v>75</v>
      </c>
      <c r="AK1060" t="s">
        <v>76</v>
      </c>
      <c r="AL1060" t="s">
        <v>118</v>
      </c>
      <c r="AM1060" t="s">
        <v>78</v>
      </c>
      <c r="AN1060" t="s">
        <v>239</v>
      </c>
      <c r="AO1060" t="s">
        <v>119</v>
      </c>
      <c r="AP1060" t="s">
        <v>46</v>
      </c>
      <c r="AQ1060" t="s">
        <v>81</v>
      </c>
      <c r="AR1060" t="str">
        <f t="shared" si="32"/>
        <v>60603968.STATAM</v>
      </c>
      <c r="AS1060">
        <f t="shared" si="33"/>
        <v>7638306.3799999999</v>
      </c>
      <c r="AT1060" t="s">
        <v>82</v>
      </c>
    </row>
    <row r="1061" spans="1:46" x14ac:dyDescent="0.35">
      <c r="A1061" t="s">
        <v>52</v>
      </c>
      <c r="B1061" t="s">
        <v>53</v>
      </c>
      <c r="C1061" t="s">
        <v>54</v>
      </c>
      <c r="D1061" t="s">
        <v>55</v>
      </c>
      <c r="E1061" t="s">
        <v>56</v>
      </c>
      <c r="F1061" t="s">
        <v>3398</v>
      </c>
      <c r="G1061" t="s">
        <v>3451</v>
      </c>
      <c r="H1061" t="s">
        <v>56</v>
      </c>
      <c r="I1061" t="s">
        <v>3452</v>
      </c>
      <c r="J1061" t="s">
        <v>61</v>
      </c>
      <c r="K1061" t="s">
        <v>640</v>
      </c>
      <c r="L1061" t="s">
        <v>56</v>
      </c>
      <c r="M1061" t="s">
        <v>56</v>
      </c>
      <c r="N1061" t="s">
        <v>682</v>
      </c>
      <c r="O1061" t="s">
        <v>318</v>
      </c>
      <c r="P1061" t="s">
        <v>319</v>
      </c>
      <c r="Q1061" t="s">
        <v>444</v>
      </c>
      <c r="R1061" t="s">
        <v>248</v>
      </c>
      <c r="S1061">
        <v>3000000</v>
      </c>
      <c r="T1061">
        <v>-13257294.16</v>
      </c>
      <c r="U1061" t="s">
        <v>68</v>
      </c>
      <c r="V1061" t="s">
        <v>3402</v>
      </c>
      <c r="W1061" s="9">
        <v>60603968</v>
      </c>
      <c r="X1061" t="s">
        <v>3453</v>
      </c>
      <c r="Y1061" s="1">
        <v>46062</v>
      </c>
      <c r="Z1061" s="1">
        <v>46122</v>
      </c>
      <c r="AA1061" s="2">
        <v>18040.759999999998</v>
      </c>
      <c r="AB1061" s="2">
        <v>15288.78</v>
      </c>
      <c r="AC1061" s="2">
        <v>2751.98</v>
      </c>
      <c r="AD1061" s="2">
        <v>18040.759999999998</v>
      </c>
      <c r="AE1061" t="s">
        <v>3455</v>
      </c>
      <c r="AF1061" t="s">
        <v>72</v>
      </c>
      <c r="AG1061">
        <v>-44</v>
      </c>
      <c r="AH1061" t="s">
        <v>117</v>
      </c>
      <c r="AI1061" t="s">
        <v>74</v>
      </c>
      <c r="AJ1061" t="s">
        <v>127</v>
      </c>
      <c r="AK1061" t="s">
        <v>334</v>
      </c>
      <c r="AL1061" t="s">
        <v>118</v>
      </c>
      <c r="AM1061" t="s">
        <v>78</v>
      </c>
      <c r="AN1061" t="s">
        <v>239</v>
      </c>
      <c r="AO1061" t="s">
        <v>119</v>
      </c>
      <c r="AP1061" t="s">
        <v>46</v>
      </c>
      <c r="AQ1061" t="s">
        <v>335</v>
      </c>
      <c r="AR1061" t="str">
        <f t="shared" si="32"/>
        <v>60603968.SPMINAM</v>
      </c>
      <c r="AS1061">
        <f t="shared" si="33"/>
        <v>1146978.2</v>
      </c>
      <c r="AT1061" t="s">
        <v>82</v>
      </c>
    </row>
    <row r="1062" spans="1:46" x14ac:dyDescent="0.35">
      <c r="A1062" t="s">
        <v>52</v>
      </c>
      <c r="B1062" t="s">
        <v>53</v>
      </c>
      <c r="C1062" t="s">
        <v>54</v>
      </c>
      <c r="D1062" t="s">
        <v>55</v>
      </c>
      <c r="E1062" t="s">
        <v>56</v>
      </c>
      <c r="F1062" t="s">
        <v>3398</v>
      </c>
      <c r="G1062" t="s">
        <v>3456</v>
      </c>
      <c r="H1062" t="s">
        <v>56</v>
      </c>
      <c r="I1062" t="s">
        <v>3457</v>
      </c>
      <c r="J1062" t="s">
        <v>61</v>
      </c>
      <c r="K1062" t="s">
        <v>640</v>
      </c>
      <c r="L1062" t="s">
        <v>56</v>
      </c>
      <c r="M1062" t="s">
        <v>56</v>
      </c>
      <c r="N1062" t="s">
        <v>252</v>
      </c>
      <c r="O1062" t="s">
        <v>318</v>
      </c>
      <c r="P1062" t="s">
        <v>319</v>
      </c>
      <c r="Q1062" t="s">
        <v>444</v>
      </c>
      <c r="R1062" t="s">
        <v>248</v>
      </c>
      <c r="S1062">
        <v>3000000</v>
      </c>
      <c r="T1062">
        <v>-13257294.16</v>
      </c>
      <c r="U1062" t="s">
        <v>68</v>
      </c>
      <c r="V1062" t="s">
        <v>3402</v>
      </c>
      <c r="W1062" s="9">
        <v>60603968</v>
      </c>
      <c r="X1062" t="s">
        <v>3458</v>
      </c>
      <c r="Y1062" s="1">
        <v>46062</v>
      </c>
      <c r="Z1062" s="1">
        <v>46122</v>
      </c>
      <c r="AA1062" s="2">
        <v>47699.73</v>
      </c>
      <c r="AB1062" s="2">
        <v>40423.5</v>
      </c>
      <c r="AC1062" s="2">
        <v>7276.23</v>
      </c>
      <c r="AD1062" s="2">
        <v>47699.73</v>
      </c>
      <c r="AE1062" t="s">
        <v>3459</v>
      </c>
      <c r="AF1062" t="s">
        <v>72</v>
      </c>
      <c r="AG1062">
        <v>-44</v>
      </c>
      <c r="AH1062" t="s">
        <v>117</v>
      </c>
      <c r="AI1062" t="s">
        <v>74</v>
      </c>
      <c r="AJ1062" t="s">
        <v>75</v>
      </c>
      <c r="AK1062" t="s">
        <v>76</v>
      </c>
      <c r="AL1062" t="s">
        <v>118</v>
      </c>
      <c r="AM1062" t="s">
        <v>78</v>
      </c>
      <c r="AN1062" t="s">
        <v>239</v>
      </c>
      <c r="AO1062" t="s">
        <v>119</v>
      </c>
      <c r="AP1062" t="s">
        <v>46</v>
      </c>
      <c r="AQ1062" t="s">
        <v>81</v>
      </c>
      <c r="AR1062" t="str">
        <f t="shared" si="32"/>
        <v>60603968.STATAM</v>
      </c>
      <c r="AS1062">
        <f t="shared" si="33"/>
        <v>7638306.3799999999</v>
      </c>
      <c r="AT1062" t="s">
        <v>82</v>
      </c>
    </row>
    <row r="1063" spans="1:46" x14ac:dyDescent="0.35">
      <c r="A1063" t="s">
        <v>52</v>
      </c>
      <c r="B1063" t="s">
        <v>53</v>
      </c>
      <c r="C1063" t="s">
        <v>54</v>
      </c>
      <c r="D1063" t="s">
        <v>55</v>
      </c>
      <c r="E1063" t="s">
        <v>56</v>
      </c>
      <c r="F1063" t="s">
        <v>3398</v>
      </c>
      <c r="G1063" t="s">
        <v>3460</v>
      </c>
      <c r="H1063" t="s">
        <v>56</v>
      </c>
      <c r="I1063" t="s">
        <v>3461</v>
      </c>
      <c r="J1063" t="s">
        <v>61</v>
      </c>
      <c r="K1063" t="s">
        <v>640</v>
      </c>
      <c r="L1063" t="s">
        <v>56</v>
      </c>
      <c r="M1063" t="s">
        <v>56</v>
      </c>
      <c r="N1063" t="s">
        <v>252</v>
      </c>
      <c r="O1063" t="s">
        <v>245</v>
      </c>
      <c r="P1063" t="s">
        <v>246</v>
      </c>
      <c r="Q1063" t="s">
        <v>2899</v>
      </c>
      <c r="R1063" t="s">
        <v>248</v>
      </c>
      <c r="S1063">
        <v>3000000</v>
      </c>
      <c r="T1063">
        <v>-13257294.16</v>
      </c>
      <c r="U1063" t="s">
        <v>68</v>
      </c>
      <c r="V1063" t="s">
        <v>3402</v>
      </c>
      <c r="W1063" s="9">
        <v>60603968</v>
      </c>
      <c r="X1063" t="s">
        <v>3462</v>
      </c>
      <c r="Y1063" s="1">
        <v>46062</v>
      </c>
      <c r="Z1063" s="1">
        <v>46122</v>
      </c>
      <c r="AA1063" s="2">
        <v>17583.330000000002</v>
      </c>
      <c r="AB1063" s="2">
        <v>14901.12</v>
      </c>
      <c r="AC1063" s="2">
        <v>2682.21</v>
      </c>
      <c r="AD1063" s="2">
        <v>17583.330000000002</v>
      </c>
      <c r="AE1063" t="s">
        <v>3463</v>
      </c>
      <c r="AF1063" t="s">
        <v>72</v>
      </c>
      <c r="AG1063">
        <v>-44</v>
      </c>
      <c r="AH1063" t="s">
        <v>117</v>
      </c>
      <c r="AI1063" t="s">
        <v>74</v>
      </c>
      <c r="AJ1063" t="s">
        <v>75</v>
      </c>
      <c r="AK1063" t="s">
        <v>76</v>
      </c>
      <c r="AL1063" t="s">
        <v>118</v>
      </c>
      <c r="AM1063" t="s">
        <v>78</v>
      </c>
      <c r="AN1063" t="s">
        <v>239</v>
      </c>
      <c r="AO1063" t="s">
        <v>119</v>
      </c>
      <c r="AP1063" t="s">
        <v>46</v>
      </c>
      <c r="AQ1063" t="s">
        <v>81</v>
      </c>
      <c r="AR1063" t="str">
        <f t="shared" si="32"/>
        <v>60603968.STATAM</v>
      </c>
      <c r="AS1063">
        <f t="shared" si="33"/>
        <v>7638306.3799999999</v>
      </c>
      <c r="AT1063" t="s">
        <v>82</v>
      </c>
    </row>
    <row r="1064" spans="1:46" x14ac:dyDescent="0.35">
      <c r="A1064" t="s">
        <v>52</v>
      </c>
      <c r="B1064" t="s">
        <v>53</v>
      </c>
      <c r="C1064" t="s">
        <v>54</v>
      </c>
      <c r="D1064" t="s">
        <v>55</v>
      </c>
      <c r="E1064" t="s">
        <v>56</v>
      </c>
      <c r="F1064" t="s">
        <v>3398</v>
      </c>
      <c r="G1064" t="s">
        <v>3460</v>
      </c>
      <c r="H1064" t="s">
        <v>56</v>
      </c>
      <c r="I1064" t="s">
        <v>3461</v>
      </c>
      <c r="J1064" t="s">
        <v>61</v>
      </c>
      <c r="K1064" t="s">
        <v>640</v>
      </c>
      <c r="L1064" t="s">
        <v>56</v>
      </c>
      <c r="M1064" t="s">
        <v>56</v>
      </c>
      <c r="N1064" t="s">
        <v>295</v>
      </c>
      <c r="O1064" t="s">
        <v>245</v>
      </c>
      <c r="P1064" t="s">
        <v>246</v>
      </c>
      <c r="Q1064" t="s">
        <v>2899</v>
      </c>
      <c r="R1064" t="s">
        <v>248</v>
      </c>
      <c r="S1064">
        <v>3000000</v>
      </c>
      <c r="T1064">
        <v>-13257294.16</v>
      </c>
      <c r="U1064" t="s">
        <v>68</v>
      </c>
      <c r="V1064" t="s">
        <v>3402</v>
      </c>
      <c r="W1064" s="9">
        <v>60603968</v>
      </c>
      <c r="X1064" t="s">
        <v>3462</v>
      </c>
      <c r="Y1064" s="1">
        <v>46062</v>
      </c>
      <c r="Z1064" s="1">
        <v>46122</v>
      </c>
      <c r="AA1064" s="2">
        <v>19836.46</v>
      </c>
      <c r="AB1064" s="2">
        <v>16810.560000000001</v>
      </c>
      <c r="AC1064" s="2">
        <v>3025.9</v>
      </c>
      <c r="AD1064" s="2">
        <v>19836.46</v>
      </c>
      <c r="AE1064" t="s">
        <v>3464</v>
      </c>
      <c r="AF1064" t="s">
        <v>72</v>
      </c>
      <c r="AG1064">
        <v>-44</v>
      </c>
      <c r="AH1064" t="s">
        <v>117</v>
      </c>
      <c r="AI1064" t="s">
        <v>74</v>
      </c>
      <c r="AJ1064" t="s">
        <v>75</v>
      </c>
      <c r="AK1064" t="s">
        <v>76</v>
      </c>
      <c r="AL1064" t="s">
        <v>118</v>
      </c>
      <c r="AM1064" t="s">
        <v>78</v>
      </c>
      <c r="AN1064" t="s">
        <v>239</v>
      </c>
      <c r="AO1064" t="s">
        <v>119</v>
      </c>
      <c r="AP1064" t="s">
        <v>46</v>
      </c>
      <c r="AQ1064" t="s">
        <v>81</v>
      </c>
      <c r="AR1064" t="str">
        <f t="shared" si="32"/>
        <v>60603968.STATAM</v>
      </c>
      <c r="AS1064">
        <f t="shared" si="33"/>
        <v>7638306.3799999999</v>
      </c>
      <c r="AT1064" t="s">
        <v>82</v>
      </c>
    </row>
    <row r="1065" spans="1:46" x14ac:dyDescent="0.35">
      <c r="A1065" t="s">
        <v>52</v>
      </c>
      <c r="B1065" t="s">
        <v>53</v>
      </c>
      <c r="C1065" t="s">
        <v>54</v>
      </c>
      <c r="D1065" t="s">
        <v>55</v>
      </c>
      <c r="E1065" t="s">
        <v>56</v>
      </c>
      <c r="F1065" t="s">
        <v>3398</v>
      </c>
      <c r="G1065" t="s">
        <v>3465</v>
      </c>
      <c r="H1065" t="s">
        <v>56</v>
      </c>
      <c r="I1065" t="s">
        <v>3466</v>
      </c>
      <c r="J1065" t="s">
        <v>61</v>
      </c>
      <c r="K1065" t="s">
        <v>640</v>
      </c>
      <c r="L1065" t="s">
        <v>56</v>
      </c>
      <c r="M1065" t="s">
        <v>56</v>
      </c>
      <c r="N1065" t="s">
        <v>331</v>
      </c>
      <c r="O1065" t="s">
        <v>318</v>
      </c>
      <c r="P1065" t="s">
        <v>319</v>
      </c>
      <c r="Q1065" t="s">
        <v>444</v>
      </c>
      <c r="R1065" t="s">
        <v>248</v>
      </c>
      <c r="S1065">
        <v>3000000</v>
      </c>
      <c r="T1065">
        <v>-13257294.16</v>
      </c>
      <c r="U1065" t="s">
        <v>68</v>
      </c>
      <c r="V1065" t="s">
        <v>3402</v>
      </c>
      <c r="W1065" s="9">
        <v>60603968</v>
      </c>
      <c r="X1065" t="s">
        <v>3467</v>
      </c>
      <c r="Y1065" s="1">
        <v>46065</v>
      </c>
      <c r="Z1065" s="1">
        <v>46125</v>
      </c>
      <c r="AA1065" s="2">
        <v>5271.77</v>
      </c>
      <c r="AB1065" s="2">
        <v>4467.6000000000004</v>
      </c>
      <c r="AC1065" s="2">
        <v>804.17</v>
      </c>
      <c r="AD1065" s="2">
        <v>5271.77</v>
      </c>
      <c r="AE1065" t="s">
        <v>3468</v>
      </c>
      <c r="AF1065" t="s">
        <v>72</v>
      </c>
      <c r="AG1065">
        <v>-47</v>
      </c>
      <c r="AH1065" t="s">
        <v>117</v>
      </c>
      <c r="AI1065" t="s">
        <v>74</v>
      </c>
      <c r="AJ1065" t="s">
        <v>127</v>
      </c>
      <c r="AK1065" t="s">
        <v>334</v>
      </c>
      <c r="AL1065" t="s">
        <v>118</v>
      </c>
      <c r="AM1065" t="s">
        <v>78</v>
      </c>
      <c r="AN1065" t="s">
        <v>239</v>
      </c>
      <c r="AO1065" t="s">
        <v>119</v>
      </c>
      <c r="AP1065" t="s">
        <v>46</v>
      </c>
      <c r="AQ1065" t="s">
        <v>335</v>
      </c>
      <c r="AR1065" t="str">
        <f t="shared" si="32"/>
        <v>60603968.SPMINAM</v>
      </c>
      <c r="AS1065">
        <f t="shared" si="33"/>
        <v>1146978.2</v>
      </c>
      <c r="AT1065" t="s">
        <v>82</v>
      </c>
    </row>
    <row r="1066" spans="1:46" x14ac:dyDescent="0.35">
      <c r="A1066" t="s">
        <v>52</v>
      </c>
      <c r="B1066" t="s">
        <v>53</v>
      </c>
      <c r="C1066" t="s">
        <v>54</v>
      </c>
      <c r="D1066" t="s">
        <v>55</v>
      </c>
      <c r="E1066" t="s">
        <v>56</v>
      </c>
      <c r="F1066" t="s">
        <v>3398</v>
      </c>
      <c r="G1066" t="s">
        <v>3469</v>
      </c>
      <c r="H1066" t="s">
        <v>56</v>
      </c>
      <c r="I1066" t="s">
        <v>3470</v>
      </c>
      <c r="J1066" t="s">
        <v>61</v>
      </c>
      <c r="K1066" t="s">
        <v>640</v>
      </c>
      <c r="L1066" t="s">
        <v>56</v>
      </c>
      <c r="M1066" t="s">
        <v>56</v>
      </c>
      <c r="N1066" t="s">
        <v>254</v>
      </c>
      <c r="O1066" t="s">
        <v>318</v>
      </c>
      <c r="P1066" t="s">
        <v>319</v>
      </c>
      <c r="Q1066" t="s">
        <v>1486</v>
      </c>
      <c r="R1066" t="s">
        <v>248</v>
      </c>
      <c r="S1066">
        <v>3000000</v>
      </c>
      <c r="T1066">
        <v>-13257294.16</v>
      </c>
      <c r="U1066" t="s">
        <v>68</v>
      </c>
      <c r="V1066" t="s">
        <v>3402</v>
      </c>
      <c r="W1066" s="9">
        <v>60603968</v>
      </c>
      <c r="X1066" t="s">
        <v>3471</v>
      </c>
      <c r="Y1066" s="1">
        <v>46065</v>
      </c>
      <c r="Z1066" s="1">
        <v>46125</v>
      </c>
      <c r="AA1066" s="2">
        <v>689917.68</v>
      </c>
      <c r="AB1066" s="2">
        <v>584676</v>
      </c>
      <c r="AC1066" s="2">
        <v>105241.68</v>
      </c>
      <c r="AD1066" s="2">
        <v>689917.68</v>
      </c>
      <c r="AE1066" t="s">
        <v>3472</v>
      </c>
      <c r="AF1066" t="s">
        <v>72</v>
      </c>
      <c r="AG1066">
        <v>-47</v>
      </c>
      <c r="AH1066" t="s">
        <v>117</v>
      </c>
      <c r="AI1066" t="s">
        <v>74</v>
      </c>
      <c r="AJ1066" t="s">
        <v>75</v>
      </c>
      <c r="AK1066" t="s">
        <v>76</v>
      </c>
      <c r="AL1066" t="s">
        <v>118</v>
      </c>
      <c r="AM1066" t="s">
        <v>78</v>
      </c>
      <c r="AN1066" t="s">
        <v>239</v>
      </c>
      <c r="AO1066" t="s">
        <v>119</v>
      </c>
      <c r="AP1066" t="s">
        <v>46</v>
      </c>
      <c r="AQ1066" t="s">
        <v>81</v>
      </c>
      <c r="AR1066" t="str">
        <f t="shared" si="32"/>
        <v>60603968.STATAM</v>
      </c>
      <c r="AS1066">
        <f t="shared" si="33"/>
        <v>7638306.3799999999</v>
      </c>
      <c r="AT1066" t="s">
        <v>82</v>
      </c>
    </row>
    <row r="1067" spans="1:46" x14ac:dyDescent="0.35">
      <c r="A1067" t="s">
        <v>52</v>
      </c>
      <c r="B1067" t="s">
        <v>53</v>
      </c>
      <c r="C1067" t="s">
        <v>54</v>
      </c>
      <c r="D1067" t="s">
        <v>55</v>
      </c>
      <c r="E1067" t="s">
        <v>56</v>
      </c>
      <c r="F1067" t="s">
        <v>3398</v>
      </c>
      <c r="G1067" t="s">
        <v>3469</v>
      </c>
      <c r="H1067" t="s">
        <v>56</v>
      </c>
      <c r="I1067" t="s">
        <v>3473</v>
      </c>
      <c r="J1067" t="s">
        <v>61</v>
      </c>
      <c r="K1067" t="s">
        <v>640</v>
      </c>
      <c r="L1067" t="s">
        <v>56</v>
      </c>
      <c r="M1067" t="s">
        <v>56</v>
      </c>
      <c r="N1067" t="s">
        <v>261</v>
      </c>
      <c r="O1067" t="s">
        <v>318</v>
      </c>
      <c r="P1067" t="s">
        <v>319</v>
      </c>
      <c r="Q1067" t="s">
        <v>444</v>
      </c>
      <c r="R1067" t="s">
        <v>248</v>
      </c>
      <c r="S1067">
        <v>3000000</v>
      </c>
      <c r="T1067">
        <v>-13257294.16</v>
      </c>
      <c r="U1067" t="s">
        <v>68</v>
      </c>
      <c r="V1067" t="s">
        <v>3402</v>
      </c>
      <c r="W1067" s="9">
        <v>60603968</v>
      </c>
      <c r="X1067" t="s">
        <v>3474</v>
      </c>
      <c r="Y1067" s="1">
        <v>46065</v>
      </c>
      <c r="Z1067" s="1">
        <v>46125</v>
      </c>
      <c r="AA1067" s="2">
        <v>55111.43</v>
      </c>
      <c r="AB1067" s="2">
        <v>46704.6</v>
      </c>
      <c r="AC1067" s="2">
        <v>8406.83</v>
      </c>
      <c r="AD1067" s="2">
        <v>55111.43</v>
      </c>
      <c r="AE1067" t="s">
        <v>3475</v>
      </c>
      <c r="AF1067" t="s">
        <v>72</v>
      </c>
      <c r="AG1067">
        <v>-47</v>
      </c>
      <c r="AH1067" t="s">
        <v>117</v>
      </c>
      <c r="AI1067" t="s">
        <v>74</v>
      </c>
      <c r="AJ1067" t="s">
        <v>75</v>
      </c>
      <c r="AK1067" t="s">
        <v>76</v>
      </c>
      <c r="AL1067" t="s">
        <v>118</v>
      </c>
      <c r="AM1067" t="s">
        <v>78</v>
      </c>
      <c r="AN1067" t="s">
        <v>239</v>
      </c>
      <c r="AO1067" t="s">
        <v>119</v>
      </c>
      <c r="AP1067" t="s">
        <v>46</v>
      </c>
      <c r="AQ1067" t="s">
        <v>81</v>
      </c>
      <c r="AR1067" t="str">
        <f t="shared" si="32"/>
        <v>60603968.STATAM</v>
      </c>
      <c r="AS1067">
        <f t="shared" si="33"/>
        <v>7638306.3799999999</v>
      </c>
      <c r="AT1067" t="s">
        <v>82</v>
      </c>
    </row>
    <row r="1068" spans="1:46" x14ac:dyDescent="0.35">
      <c r="A1068" t="s">
        <v>52</v>
      </c>
      <c r="B1068" t="s">
        <v>53</v>
      </c>
      <c r="C1068" t="s">
        <v>54</v>
      </c>
      <c r="D1068" t="s">
        <v>55</v>
      </c>
      <c r="E1068" t="s">
        <v>56</v>
      </c>
      <c r="F1068" t="s">
        <v>3398</v>
      </c>
      <c r="G1068" t="s">
        <v>3469</v>
      </c>
      <c r="H1068" t="s">
        <v>56</v>
      </c>
      <c r="I1068" t="s">
        <v>3473</v>
      </c>
      <c r="J1068" t="s">
        <v>61</v>
      </c>
      <c r="K1068" t="s">
        <v>640</v>
      </c>
      <c r="L1068" t="s">
        <v>56</v>
      </c>
      <c r="M1068" t="s">
        <v>56</v>
      </c>
      <c r="N1068" t="s">
        <v>682</v>
      </c>
      <c r="O1068" t="s">
        <v>318</v>
      </c>
      <c r="P1068" t="s">
        <v>319</v>
      </c>
      <c r="Q1068" t="s">
        <v>444</v>
      </c>
      <c r="R1068" t="s">
        <v>248</v>
      </c>
      <c r="S1068">
        <v>3000000</v>
      </c>
      <c r="T1068">
        <v>-13257294.16</v>
      </c>
      <c r="U1068" t="s">
        <v>68</v>
      </c>
      <c r="V1068" t="s">
        <v>3402</v>
      </c>
      <c r="W1068" s="9">
        <v>60603968</v>
      </c>
      <c r="X1068" t="s">
        <v>3474</v>
      </c>
      <c r="Y1068" s="1">
        <v>46065</v>
      </c>
      <c r="Z1068" s="1">
        <v>46125</v>
      </c>
      <c r="AA1068" s="2">
        <v>4222.8</v>
      </c>
      <c r="AB1068" s="2">
        <v>3578.64</v>
      </c>
      <c r="AC1068" s="2">
        <v>644.16</v>
      </c>
      <c r="AD1068" s="2">
        <v>4222.8</v>
      </c>
      <c r="AE1068" t="s">
        <v>3476</v>
      </c>
      <c r="AF1068" t="s">
        <v>72</v>
      </c>
      <c r="AG1068">
        <v>-47</v>
      </c>
      <c r="AH1068" t="s">
        <v>117</v>
      </c>
      <c r="AI1068" t="s">
        <v>74</v>
      </c>
      <c r="AJ1068" t="s">
        <v>127</v>
      </c>
      <c r="AK1068" t="s">
        <v>334</v>
      </c>
      <c r="AL1068" t="s">
        <v>118</v>
      </c>
      <c r="AM1068" t="s">
        <v>78</v>
      </c>
      <c r="AN1068" t="s">
        <v>239</v>
      </c>
      <c r="AO1068" t="s">
        <v>119</v>
      </c>
      <c r="AP1068" t="s">
        <v>46</v>
      </c>
      <c r="AQ1068" t="s">
        <v>335</v>
      </c>
      <c r="AR1068" t="str">
        <f t="shared" si="32"/>
        <v>60603968.SPMINAM</v>
      </c>
      <c r="AS1068">
        <f t="shared" si="33"/>
        <v>1146978.2</v>
      </c>
      <c r="AT1068" t="s">
        <v>82</v>
      </c>
    </row>
    <row r="1069" spans="1:46" x14ac:dyDescent="0.35">
      <c r="A1069" t="s">
        <v>52</v>
      </c>
      <c r="B1069" t="s">
        <v>53</v>
      </c>
      <c r="C1069" t="s">
        <v>54</v>
      </c>
      <c r="D1069" t="s">
        <v>55</v>
      </c>
      <c r="E1069" t="s">
        <v>56</v>
      </c>
      <c r="F1069" t="s">
        <v>3398</v>
      </c>
      <c r="G1069" t="s">
        <v>3477</v>
      </c>
      <c r="H1069" t="s">
        <v>56</v>
      </c>
      <c r="I1069" t="s">
        <v>3478</v>
      </c>
      <c r="J1069" t="s">
        <v>61</v>
      </c>
      <c r="K1069" t="s">
        <v>640</v>
      </c>
      <c r="L1069" t="s">
        <v>56</v>
      </c>
      <c r="M1069" t="s">
        <v>56</v>
      </c>
      <c r="N1069" t="s">
        <v>254</v>
      </c>
      <c r="O1069" t="s">
        <v>318</v>
      </c>
      <c r="P1069" t="s">
        <v>319</v>
      </c>
      <c r="Q1069" t="s">
        <v>1486</v>
      </c>
      <c r="R1069" t="s">
        <v>248</v>
      </c>
      <c r="S1069">
        <v>3000000</v>
      </c>
      <c r="T1069">
        <v>-13257294.16</v>
      </c>
      <c r="U1069" t="s">
        <v>68</v>
      </c>
      <c r="V1069" t="s">
        <v>3402</v>
      </c>
      <c r="W1069" s="9">
        <v>60603968</v>
      </c>
      <c r="X1069" t="s">
        <v>3479</v>
      </c>
      <c r="Y1069" s="1">
        <v>46065</v>
      </c>
      <c r="Z1069" s="1">
        <v>46125</v>
      </c>
      <c r="AA1069" s="2">
        <v>378790.62</v>
      </c>
      <c r="AB1069" s="2">
        <v>321009</v>
      </c>
      <c r="AC1069" s="2">
        <v>57781.62</v>
      </c>
      <c r="AD1069" s="2">
        <v>378790.62</v>
      </c>
      <c r="AE1069" t="s">
        <v>3480</v>
      </c>
      <c r="AF1069" t="s">
        <v>72</v>
      </c>
      <c r="AG1069">
        <v>-47</v>
      </c>
      <c r="AH1069" t="s">
        <v>117</v>
      </c>
      <c r="AI1069" t="s">
        <v>74</v>
      </c>
      <c r="AJ1069" t="s">
        <v>75</v>
      </c>
      <c r="AK1069" t="s">
        <v>76</v>
      </c>
      <c r="AL1069" t="s">
        <v>118</v>
      </c>
      <c r="AM1069" t="s">
        <v>78</v>
      </c>
      <c r="AN1069" t="s">
        <v>239</v>
      </c>
      <c r="AO1069" t="s">
        <v>119</v>
      </c>
      <c r="AP1069" t="s">
        <v>46</v>
      </c>
      <c r="AQ1069" t="s">
        <v>81</v>
      </c>
      <c r="AR1069" t="str">
        <f t="shared" si="32"/>
        <v>60603968.STATAM</v>
      </c>
      <c r="AS1069">
        <f t="shared" si="33"/>
        <v>7638306.3799999999</v>
      </c>
      <c r="AT1069" t="s">
        <v>82</v>
      </c>
    </row>
    <row r="1070" spans="1:46" x14ac:dyDescent="0.35">
      <c r="A1070" t="s">
        <v>52</v>
      </c>
      <c r="B1070" t="s">
        <v>53</v>
      </c>
      <c r="C1070" t="s">
        <v>54</v>
      </c>
      <c r="D1070" t="s">
        <v>55</v>
      </c>
      <c r="E1070" t="s">
        <v>56</v>
      </c>
      <c r="F1070" t="s">
        <v>3398</v>
      </c>
      <c r="G1070" t="s">
        <v>3481</v>
      </c>
      <c r="H1070" t="s">
        <v>56</v>
      </c>
      <c r="I1070" t="s">
        <v>3482</v>
      </c>
      <c r="J1070" t="s">
        <v>61</v>
      </c>
      <c r="K1070" t="s">
        <v>640</v>
      </c>
      <c r="L1070" t="s">
        <v>56</v>
      </c>
      <c r="M1070" t="s">
        <v>56</v>
      </c>
      <c r="N1070" t="s">
        <v>261</v>
      </c>
      <c r="O1070" t="s">
        <v>318</v>
      </c>
      <c r="P1070" t="s">
        <v>319</v>
      </c>
      <c r="Q1070" t="s">
        <v>444</v>
      </c>
      <c r="R1070" t="s">
        <v>248</v>
      </c>
      <c r="S1070">
        <v>3000000</v>
      </c>
      <c r="T1070">
        <v>-13257294.16</v>
      </c>
      <c r="U1070" t="s">
        <v>68</v>
      </c>
      <c r="V1070" t="s">
        <v>3402</v>
      </c>
      <c r="W1070" s="9">
        <v>60603968</v>
      </c>
      <c r="X1070" t="s">
        <v>3483</v>
      </c>
      <c r="Y1070" s="1">
        <v>46065</v>
      </c>
      <c r="Z1070" s="1">
        <v>46125</v>
      </c>
      <c r="AA1070" s="2">
        <v>176067.56</v>
      </c>
      <c r="AB1070" s="2">
        <v>149209.79999999999</v>
      </c>
      <c r="AC1070" s="2">
        <v>26857.759999999998</v>
      </c>
      <c r="AD1070" s="2">
        <v>176067.56</v>
      </c>
      <c r="AE1070" t="s">
        <v>3484</v>
      </c>
      <c r="AF1070" t="s">
        <v>72</v>
      </c>
      <c r="AG1070">
        <v>-47</v>
      </c>
      <c r="AH1070" t="s">
        <v>117</v>
      </c>
      <c r="AI1070" t="s">
        <v>74</v>
      </c>
      <c r="AJ1070" t="s">
        <v>75</v>
      </c>
      <c r="AK1070" t="s">
        <v>76</v>
      </c>
      <c r="AL1070" t="s">
        <v>118</v>
      </c>
      <c r="AM1070" t="s">
        <v>78</v>
      </c>
      <c r="AN1070" t="s">
        <v>239</v>
      </c>
      <c r="AO1070" t="s">
        <v>119</v>
      </c>
      <c r="AP1070" t="s">
        <v>46</v>
      </c>
      <c r="AQ1070" t="s">
        <v>81</v>
      </c>
      <c r="AR1070" t="str">
        <f t="shared" si="32"/>
        <v>60603968.STATAM</v>
      </c>
      <c r="AS1070">
        <f t="shared" si="33"/>
        <v>7638306.3799999999</v>
      </c>
      <c r="AT1070" t="s">
        <v>82</v>
      </c>
    </row>
    <row r="1071" spans="1:46" x14ac:dyDescent="0.35">
      <c r="A1071" t="s">
        <v>52</v>
      </c>
      <c r="B1071" t="s">
        <v>53</v>
      </c>
      <c r="C1071" t="s">
        <v>54</v>
      </c>
      <c r="D1071" t="s">
        <v>55</v>
      </c>
      <c r="E1071" t="s">
        <v>56</v>
      </c>
      <c r="F1071" t="s">
        <v>3398</v>
      </c>
      <c r="G1071" t="s">
        <v>3481</v>
      </c>
      <c r="H1071" t="s">
        <v>56</v>
      </c>
      <c r="I1071" t="s">
        <v>3482</v>
      </c>
      <c r="J1071" t="s">
        <v>61</v>
      </c>
      <c r="K1071" t="s">
        <v>640</v>
      </c>
      <c r="L1071" t="s">
        <v>56</v>
      </c>
      <c r="M1071" t="s">
        <v>56</v>
      </c>
      <c r="N1071" t="s">
        <v>252</v>
      </c>
      <c r="O1071" t="s">
        <v>318</v>
      </c>
      <c r="P1071" t="s">
        <v>319</v>
      </c>
      <c r="Q1071" t="s">
        <v>444</v>
      </c>
      <c r="R1071" t="s">
        <v>248</v>
      </c>
      <c r="S1071">
        <v>3000000</v>
      </c>
      <c r="T1071">
        <v>-13257294.16</v>
      </c>
      <c r="U1071" t="s">
        <v>68</v>
      </c>
      <c r="V1071" t="s">
        <v>3402</v>
      </c>
      <c r="W1071" s="9">
        <v>60603968</v>
      </c>
      <c r="X1071" t="s">
        <v>3483</v>
      </c>
      <c r="Y1071" s="1">
        <v>46065</v>
      </c>
      <c r="Z1071" s="1">
        <v>46125</v>
      </c>
      <c r="AA1071" s="2">
        <v>215005.44</v>
      </c>
      <c r="AB1071" s="2">
        <v>182208</v>
      </c>
      <c r="AC1071" s="2">
        <v>32797.440000000002</v>
      </c>
      <c r="AD1071" s="2">
        <v>215005.44</v>
      </c>
      <c r="AE1071" t="s">
        <v>3485</v>
      </c>
      <c r="AF1071" t="s">
        <v>72</v>
      </c>
      <c r="AG1071">
        <v>-47</v>
      </c>
      <c r="AH1071" t="s">
        <v>117</v>
      </c>
      <c r="AI1071" t="s">
        <v>74</v>
      </c>
      <c r="AJ1071" t="s">
        <v>75</v>
      </c>
      <c r="AK1071" t="s">
        <v>76</v>
      </c>
      <c r="AL1071" t="s">
        <v>118</v>
      </c>
      <c r="AM1071" t="s">
        <v>78</v>
      </c>
      <c r="AN1071" t="s">
        <v>239</v>
      </c>
      <c r="AO1071" t="s">
        <v>119</v>
      </c>
      <c r="AP1071" t="s">
        <v>46</v>
      </c>
      <c r="AQ1071" t="s">
        <v>81</v>
      </c>
      <c r="AR1071" t="str">
        <f t="shared" si="32"/>
        <v>60603968.STATAM</v>
      </c>
      <c r="AS1071">
        <f t="shared" si="33"/>
        <v>7638306.3799999999</v>
      </c>
      <c r="AT1071" t="s">
        <v>82</v>
      </c>
    </row>
    <row r="1072" spans="1:46" x14ac:dyDescent="0.35">
      <c r="A1072" t="s">
        <v>52</v>
      </c>
      <c r="B1072" t="s">
        <v>53</v>
      </c>
      <c r="C1072" t="s">
        <v>54</v>
      </c>
      <c r="D1072" t="s">
        <v>55</v>
      </c>
      <c r="E1072" t="s">
        <v>56</v>
      </c>
      <c r="F1072" t="s">
        <v>3398</v>
      </c>
      <c r="G1072" t="s">
        <v>3486</v>
      </c>
      <c r="H1072" t="s">
        <v>56</v>
      </c>
      <c r="I1072" t="s">
        <v>3487</v>
      </c>
      <c r="J1072" t="s">
        <v>61</v>
      </c>
      <c r="K1072" t="s">
        <v>640</v>
      </c>
      <c r="L1072" t="s">
        <v>56</v>
      </c>
      <c r="M1072" t="s">
        <v>56</v>
      </c>
      <c r="N1072" t="s">
        <v>252</v>
      </c>
      <c r="O1072" t="s">
        <v>318</v>
      </c>
      <c r="P1072" t="s">
        <v>319</v>
      </c>
      <c r="Q1072" t="s">
        <v>444</v>
      </c>
      <c r="R1072" t="s">
        <v>248</v>
      </c>
      <c r="S1072">
        <v>3000000</v>
      </c>
      <c r="T1072">
        <v>-13257294.16</v>
      </c>
      <c r="U1072" t="s">
        <v>68</v>
      </c>
      <c r="V1072" t="s">
        <v>3402</v>
      </c>
      <c r="W1072" s="9">
        <v>60603968</v>
      </c>
      <c r="X1072" t="s">
        <v>3488</v>
      </c>
      <c r="Y1072" s="1">
        <v>46065</v>
      </c>
      <c r="Z1072" s="1">
        <v>46125</v>
      </c>
      <c r="AA1072" s="2">
        <v>178303.57</v>
      </c>
      <c r="AB1072" s="2">
        <v>151104.72</v>
      </c>
      <c r="AC1072" s="2">
        <v>27198.85</v>
      </c>
      <c r="AD1072" s="2">
        <v>178303.57</v>
      </c>
      <c r="AE1072" t="s">
        <v>3489</v>
      </c>
      <c r="AF1072" t="s">
        <v>72</v>
      </c>
      <c r="AG1072">
        <v>-47</v>
      </c>
      <c r="AH1072" t="s">
        <v>117</v>
      </c>
      <c r="AI1072" t="s">
        <v>74</v>
      </c>
      <c r="AJ1072" t="s">
        <v>75</v>
      </c>
      <c r="AK1072" t="s">
        <v>76</v>
      </c>
      <c r="AL1072" t="s">
        <v>118</v>
      </c>
      <c r="AM1072" t="s">
        <v>78</v>
      </c>
      <c r="AN1072" t="s">
        <v>239</v>
      </c>
      <c r="AO1072" t="s">
        <v>119</v>
      </c>
      <c r="AP1072" t="s">
        <v>46</v>
      </c>
      <c r="AQ1072" t="s">
        <v>81</v>
      </c>
      <c r="AR1072" t="str">
        <f t="shared" si="32"/>
        <v>60603968.STATAM</v>
      </c>
      <c r="AS1072">
        <f t="shared" si="33"/>
        <v>7638306.3799999999</v>
      </c>
      <c r="AT1072" t="s">
        <v>82</v>
      </c>
    </row>
    <row r="1073" spans="1:46" x14ac:dyDescent="0.35">
      <c r="A1073" t="s">
        <v>52</v>
      </c>
      <c r="B1073" t="s">
        <v>53</v>
      </c>
      <c r="C1073" t="s">
        <v>54</v>
      </c>
      <c r="D1073" t="s">
        <v>55</v>
      </c>
      <c r="E1073" t="s">
        <v>56</v>
      </c>
      <c r="F1073" t="s">
        <v>3398</v>
      </c>
      <c r="G1073" t="s">
        <v>3460</v>
      </c>
      <c r="H1073" t="s">
        <v>56</v>
      </c>
      <c r="I1073" t="s">
        <v>3490</v>
      </c>
      <c r="J1073" t="s">
        <v>61</v>
      </c>
      <c r="K1073" t="s">
        <v>640</v>
      </c>
      <c r="L1073" t="s">
        <v>56</v>
      </c>
      <c r="M1073" t="s">
        <v>56</v>
      </c>
      <c r="N1073" t="s">
        <v>295</v>
      </c>
      <c r="O1073" t="s">
        <v>245</v>
      </c>
      <c r="P1073" t="s">
        <v>246</v>
      </c>
      <c r="Q1073" t="s">
        <v>2899</v>
      </c>
      <c r="R1073" t="s">
        <v>248</v>
      </c>
      <c r="S1073">
        <v>3000000</v>
      </c>
      <c r="T1073">
        <v>-13257294.16</v>
      </c>
      <c r="U1073" t="s">
        <v>68</v>
      </c>
      <c r="V1073" t="s">
        <v>3402</v>
      </c>
      <c r="W1073" s="9">
        <v>60603968</v>
      </c>
      <c r="X1073" t="s">
        <v>3491</v>
      </c>
      <c r="Y1073" s="1">
        <v>46065</v>
      </c>
      <c r="Z1073" s="1">
        <v>46125</v>
      </c>
      <c r="AA1073" s="2">
        <v>74232.100000000006</v>
      </c>
      <c r="AB1073" s="2">
        <v>62908.56</v>
      </c>
      <c r="AC1073" s="2">
        <v>11323.54</v>
      </c>
      <c r="AD1073" s="2">
        <v>74232.100000000006</v>
      </c>
      <c r="AE1073" t="s">
        <v>3492</v>
      </c>
      <c r="AF1073" t="s">
        <v>72</v>
      </c>
      <c r="AG1073">
        <v>-47</v>
      </c>
      <c r="AH1073" t="s">
        <v>117</v>
      </c>
      <c r="AI1073" t="s">
        <v>74</v>
      </c>
      <c r="AJ1073" t="s">
        <v>75</v>
      </c>
      <c r="AK1073" t="s">
        <v>76</v>
      </c>
      <c r="AL1073" t="s">
        <v>118</v>
      </c>
      <c r="AM1073" t="s">
        <v>78</v>
      </c>
      <c r="AN1073" t="s">
        <v>239</v>
      </c>
      <c r="AO1073" t="s">
        <v>119</v>
      </c>
      <c r="AP1073" t="s">
        <v>46</v>
      </c>
      <c r="AQ1073" t="s">
        <v>81</v>
      </c>
      <c r="AR1073" t="str">
        <f t="shared" si="32"/>
        <v>60603968.STATAM</v>
      </c>
      <c r="AS1073">
        <f t="shared" si="33"/>
        <v>7638306.3799999999</v>
      </c>
      <c r="AT1073" t="s">
        <v>82</v>
      </c>
    </row>
    <row r="1074" spans="1:46" x14ac:dyDescent="0.35">
      <c r="A1074" t="s">
        <v>52</v>
      </c>
      <c r="B1074" t="s">
        <v>53</v>
      </c>
      <c r="C1074" t="s">
        <v>54</v>
      </c>
      <c r="D1074" t="s">
        <v>55</v>
      </c>
      <c r="E1074" t="s">
        <v>56</v>
      </c>
      <c r="F1074" t="s">
        <v>3398</v>
      </c>
      <c r="G1074" t="s">
        <v>3465</v>
      </c>
      <c r="H1074" t="s">
        <v>56</v>
      </c>
      <c r="I1074" t="s">
        <v>3493</v>
      </c>
      <c r="J1074" t="s">
        <v>61</v>
      </c>
      <c r="K1074" t="s">
        <v>640</v>
      </c>
      <c r="L1074" t="s">
        <v>56</v>
      </c>
      <c r="M1074" t="s">
        <v>56</v>
      </c>
      <c r="N1074" t="s">
        <v>682</v>
      </c>
      <c r="O1074" t="s">
        <v>318</v>
      </c>
      <c r="P1074" t="s">
        <v>319</v>
      </c>
      <c r="Q1074" t="s">
        <v>444</v>
      </c>
      <c r="R1074" t="s">
        <v>248</v>
      </c>
      <c r="S1074">
        <v>3000000</v>
      </c>
      <c r="T1074">
        <v>-13257294.16</v>
      </c>
      <c r="U1074" t="s">
        <v>68</v>
      </c>
      <c r="V1074" t="s">
        <v>3402</v>
      </c>
      <c r="W1074" s="9">
        <v>60603968</v>
      </c>
      <c r="X1074" t="s">
        <v>3494</v>
      </c>
      <c r="Y1074" s="1">
        <v>46065</v>
      </c>
      <c r="Z1074" s="1">
        <v>46125</v>
      </c>
      <c r="AA1074" s="2">
        <v>47842.39</v>
      </c>
      <c r="AB1074" s="2">
        <v>40544.400000000001</v>
      </c>
      <c r="AC1074" s="2">
        <v>7297.99</v>
      </c>
      <c r="AD1074" s="2">
        <v>47842.39</v>
      </c>
      <c r="AE1074" t="s">
        <v>3495</v>
      </c>
      <c r="AF1074" t="s">
        <v>72</v>
      </c>
      <c r="AG1074">
        <v>-47</v>
      </c>
      <c r="AH1074" t="s">
        <v>117</v>
      </c>
      <c r="AI1074" t="s">
        <v>74</v>
      </c>
      <c r="AJ1074" t="s">
        <v>127</v>
      </c>
      <c r="AK1074" t="s">
        <v>334</v>
      </c>
      <c r="AL1074" t="s">
        <v>118</v>
      </c>
      <c r="AM1074" t="s">
        <v>78</v>
      </c>
      <c r="AN1074" t="s">
        <v>239</v>
      </c>
      <c r="AO1074" t="s">
        <v>119</v>
      </c>
      <c r="AP1074" t="s">
        <v>46</v>
      </c>
      <c r="AQ1074" t="s">
        <v>335</v>
      </c>
      <c r="AR1074" t="str">
        <f t="shared" si="32"/>
        <v>60603968.SPMINAM</v>
      </c>
      <c r="AS1074">
        <f t="shared" si="33"/>
        <v>1146978.2</v>
      </c>
      <c r="AT1074" t="s">
        <v>82</v>
      </c>
    </row>
    <row r="1075" spans="1:46" x14ac:dyDescent="0.35">
      <c r="A1075" t="s">
        <v>52</v>
      </c>
      <c r="B1075" t="s">
        <v>53</v>
      </c>
      <c r="C1075" t="s">
        <v>54</v>
      </c>
      <c r="D1075" t="s">
        <v>55</v>
      </c>
      <c r="E1075" t="s">
        <v>56</v>
      </c>
      <c r="F1075" t="s">
        <v>3398</v>
      </c>
      <c r="G1075" t="s">
        <v>3496</v>
      </c>
      <c r="H1075" t="s">
        <v>56</v>
      </c>
      <c r="I1075" t="s">
        <v>3497</v>
      </c>
      <c r="J1075" t="s">
        <v>61</v>
      </c>
      <c r="K1075" t="s">
        <v>640</v>
      </c>
      <c r="L1075" t="s">
        <v>56</v>
      </c>
      <c r="M1075" t="s">
        <v>56</v>
      </c>
      <c r="N1075" t="s">
        <v>261</v>
      </c>
      <c r="O1075" t="s">
        <v>318</v>
      </c>
      <c r="P1075" t="s">
        <v>319</v>
      </c>
      <c r="Q1075" t="s">
        <v>444</v>
      </c>
      <c r="R1075" t="s">
        <v>248</v>
      </c>
      <c r="S1075">
        <v>3000000</v>
      </c>
      <c r="T1075">
        <v>-13257294.16</v>
      </c>
      <c r="U1075" t="s">
        <v>68</v>
      </c>
      <c r="V1075" t="s">
        <v>3402</v>
      </c>
      <c r="W1075" s="9">
        <v>60603968</v>
      </c>
      <c r="X1075" t="s">
        <v>3498</v>
      </c>
      <c r="Y1075" s="1">
        <v>46071</v>
      </c>
      <c r="Z1075" s="1">
        <v>46131</v>
      </c>
      <c r="AA1075" s="2">
        <v>18027.87</v>
      </c>
      <c r="AB1075" s="2">
        <v>15277.86</v>
      </c>
      <c r="AC1075" s="2">
        <v>2750.01</v>
      </c>
      <c r="AD1075" s="2">
        <v>18027.87</v>
      </c>
      <c r="AE1075" t="s">
        <v>3499</v>
      </c>
      <c r="AF1075" t="s">
        <v>72</v>
      </c>
      <c r="AG1075">
        <v>-53</v>
      </c>
      <c r="AH1075" t="s">
        <v>117</v>
      </c>
      <c r="AI1075" t="s">
        <v>74</v>
      </c>
      <c r="AJ1075" t="s">
        <v>75</v>
      </c>
      <c r="AK1075" t="s">
        <v>76</v>
      </c>
      <c r="AL1075" t="s">
        <v>118</v>
      </c>
      <c r="AM1075" t="s">
        <v>78</v>
      </c>
      <c r="AN1075" t="s">
        <v>239</v>
      </c>
      <c r="AO1075" t="s">
        <v>119</v>
      </c>
      <c r="AP1075" t="s">
        <v>46</v>
      </c>
      <c r="AQ1075" t="s">
        <v>81</v>
      </c>
      <c r="AR1075" t="str">
        <f t="shared" si="32"/>
        <v>60603968.STATAM</v>
      </c>
      <c r="AS1075">
        <f t="shared" si="33"/>
        <v>7638306.3799999999</v>
      </c>
      <c r="AT1075" t="s">
        <v>82</v>
      </c>
    </row>
    <row r="1076" spans="1:46" x14ac:dyDescent="0.35">
      <c r="A1076" t="s">
        <v>52</v>
      </c>
      <c r="B1076" t="s">
        <v>53</v>
      </c>
      <c r="C1076" t="s">
        <v>54</v>
      </c>
      <c r="D1076" t="s">
        <v>55</v>
      </c>
      <c r="E1076" t="s">
        <v>56</v>
      </c>
      <c r="F1076" t="s">
        <v>3500</v>
      </c>
      <c r="G1076" t="s">
        <v>3501</v>
      </c>
      <c r="H1076" t="s">
        <v>153</v>
      </c>
      <c r="I1076" t="s">
        <v>3502</v>
      </c>
      <c r="J1076" t="s">
        <v>56</v>
      </c>
      <c r="K1076" t="s">
        <v>640</v>
      </c>
      <c r="L1076" t="s">
        <v>56</v>
      </c>
      <c r="M1076" t="s">
        <v>56</v>
      </c>
      <c r="N1076" t="s">
        <v>155</v>
      </c>
      <c r="O1076" t="s">
        <v>230</v>
      </c>
      <c r="P1076" t="s">
        <v>231</v>
      </c>
      <c r="Q1076" t="s">
        <v>3503</v>
      </c>
      <c r="R1076" t="s">
        <v>67</v>
      </c>
      <c r="S1076">
        <v>133793966</v>
      </c>
      <c r="T1076">
        <v>93215664.680000007</v>
      </c>
      <c r="U1076" t="s">
        <v>68</v>
      </c>
      <c r="V1076" t="s">
        <v>3402</v>
      </c>
      <c r="W1076" s="9">
        <v>60604178</v>
      </c>
      <c r="X1076" t="s">
        <v>3504</v>
      </c>
      <c r="Y1076" s="1">
        <v>45980</v>
      </c>
      <c r="Z1076" s="1">
        <v>46042</v>
      </c>
      <c r="AA1076" s="2">
        <v>170472.34</v>
      </c>
      <c r="AB1076" s="2">
        <v>144468.09</v>
      </c>
      <c r="AC1076" s="2">
        <v>26004.25</v>
      </c>
      <c r="AD1076" s="2">
        <v>170472.34</v>
      </c>
      <c r="AE1076" t="s">
        <v>3505</v>
      </c>
      <c r="AF1076" t="s">
        <v>72</v>
      </c>
      <c r="AG1076">
        <v>36</v>
      </c>
      <c r="AH1076" t="s">
        <v>236</v>
      </c>
      <c r="AI1076" t="s">
        <v>74</v>
      </c>
      <c r="AJ1076" t="s">
        <v>75</v>
      </c>
      <c r="AK1076" t="s">
        <v>102</v>
      </c>
      <c r="AL1076" t="s">
        <v>77</v>
      </c>
      <c r="AM1076" t="s">
        <v>103</v>
      </c>
      <c r="AN1076" t="s">
        <v>239</v>
      </c>
      <c r="AO1076" t="s">
        <v>80</v>
      </c>
      <c r="AP1076" t="s">
        <v>46</v>
      </c>
      <c r="AQ1076" t="s">
        <v>105</v>
      </c>
      <c r="AR1076" t="str">
        <f t="shared" si="32"/>
        <v>60604178.STATEQ</v>
      </c>
      <c r="AS1076">
        <f t="shared" si="33"/>
        <v>10087902.77</v>
      </c>
      <c r="AT1076" t="s">
        <v>82</v>
      </c>
    </row>
    <row r="1077" spans="1:46" x14ac:dyDescent="0.35">
      <c r="A1077" t="s">
        <v>52</v>
      </c>
      <c r="B1077" t="s">
        <v>53</v>
      </c>
      <c r="C1077" t="s">
        <v>54</v>
      </c>
      <c r="D1077" t="s">
        <v>55</v>
      </c>
      <c r="E1077" t="s">
        <v>56</v>
      </c>
      <c r="F1077" t="s">
        <v>3500</v>
      </c>
      <c r="G1077" t="s">
        <v>3501</v>
      </c>
      <c r="H1077" t="s">
        <v>153</v>
      </c>
      <c r="I1077" t="s">
        <v>3502</v>
      </c>
      <c r="J1077" t="s">
        <v>56</v>
      </c>
      <c r="K1077" t="s">
        <v>640</v>
      </c>
      <c r="L1077" t="s">
        <v>56</v>
      </c>
      <c r="M1077" t="s">
        <v>56</v>
      </c>
      <c r="N1077" t="s">
        <v>593</v>
      </c>
      <c r="O1077" t="s">
        <v>230</v>
      </c>
      <c r="P1077" t="s">
        <v>231</v>
      </c>
      <c r="Q1077" t="s">
        <v>3503</v>
      </c>
      <c r="R1077" t="s">
        <v>67</v>
      </c>
      <c r="S1077">
        <v>133793966</v>
      </c>
      <c r="T1077">
        <v>93215664.680000007</v>
      </c>
      <c r="U1077" t="s">
        <v>68</v>
      </c>
      <c r="V1077" t="s">
        <v>3402</v>
      </c>
      <c r="W1077" s="9">
        <v>60604178</v>
      </c>
      <c r="X1077" t="s">
        <v>3504</v>
      </c>
      <c r="Y1077" s="1">
        <v>45980</v>
      </c>
      <c r="Z1077" s="1">
        <v>46042</v>
      </c>
      <c r="AA1077" s="2">
        <v>25868.52</v>
      </c>
      <c r="AB1077" s="2">
        <v>21922.47</v>
      </c>
      <c r="AC1077" s="2">
        <v>3946.05</v>
      </c>
      <c r="AD1077" s="2">
        <v>25868.52</v>
      </c>
      <c r="AE1077" t="s">
        <v>3506</v>
      </c>
      <c r="AF1077" t="s">
        <v>72</v>
      </c>
      <c r="AG1077">
        <v>36</v>
      </c>
      <c r="AH1077" t="s">
        <v>236</v>
      </c>
      <c r="AI1077" t="s">
        <v>74</v>
      </c>
      <c r="AJ1077" t="s">
        <v>75</v>
      </c>
      <c r="AK1077" t="s">
        <v>102</v>
      </c>
      <c r="AL1077" t="s">
        <v>77</v>
      </c>
      <c r="AM1077" t="s">
        <v>103</v>
      </c>
      <c r="AN1077" t="s">
        <v>239</v>
      </c>
      <c r="AO1077" t="s">
        <v>80</v>
      </c>
      <c r="AP1077" t="s">
        <v>46</v>
      </c>
      <c r="AQ1077" t="s">
        <v>105</v>
      </c>
      <c r="AR1077" t="str">
        <f t="shared" si="32"/>
        <v>60604178.STATEQ</v>
      </c>
      <c r="AS1077">
        <f t="shared" si="33"/>
        <v>10087902.77</v>
      </c>
      <c r="AT1077" t="s">
        <v>82</v>
      </c>
    </row>
    <row r="1078" spans="1:46" x14ac:dyDescent="0.35">
      <c r="A1078" t="s">
        <v>52</v>
      </c>
      <c r="B1078" t="s">
        <v>53</v>
      </c>
      <c r="C1078" t="s">
        <v>54</v>
      </c>
      <c r="D1078" t="s">
        <v>55</v>
      </c>
      <c r="E1078" t="s">
        <v>56</v>
      </c>
      <c r="F1078" t="s">
        <v>3500</v>
      </c>
      <c r="G1078" t="s">
        <v>56</v>
      </c>
      <c r="H1078" t="s">
        <v>56</v>
      </c>
      <c r="I1078" t="s">
        <v>3507</v>
      </c>
      <c r="J1078" t="s">
        <v>61</v>
      </c>
      <c r="K1078" t="s">
        <v>640</v>
      </c>
      <c r="L1078" t="s">
        <v>56</v>
      </c>
      <c r="M1078" t="s">
        <v>56</v>
      </c>
      <c r="N1078" t="s">
        <v>56</v>
      </c>
      <c r="O1078" t="s">
        <v>3377</v>
      </c>
      <c r="P1078" t="s">
        <v>3378</v>
      </c>
      <c r="Q1078" t="s">
        <v>87</v>
      </c>
      <c r="R1078" t="s">
        <v>67</v>
      </c>
      <c r="S1078">
        <v>133793966</v>
      </c>
      <c r="T1078">
        <v>93215664.680000007</v>
      </c>
      <c r="U1078" t="s">
        <v>68</v>
      </c>
      <c r="V1078" t="s">
        <v>3402</v>
      </c>
      <c r="W1078" s="9">
        <v>60604178</v>
      </c>
      <c r="X1078" t="s">
        <v>3508</v>
      </c>
      <c r="Y1078" s="1">
        <v>46031</v>
      </c>
      <c r="Z1078" s="1">
        <v>46031</v>
      </c>
      <c r="AA1078" s="2">
        <v>-1000000</v>
      </c>
      <c r="AB1078" s="2">
        <v>-1000000</v>
      </c>
      <c r="AC1078" s="2">
        <v>0</v>
      </c>
      <c r="AD1078" s="2">
        <v>-1000000</v>
      </c>
      <c r="AE1078" t="s">
        <v>3508</v>
      </c>
      <c r="AF1078" t="s">
        <v>72</v>
      </c>
      <c r="AG1078">
        <v>47</v>
      </c>
      <c r="AH1078" t="s">
        <v>236</v>
      </c>
      <c r="AI1078" t="s">
        <v>74</v>
      </c>
      <c r="AJ1078" t="s">
        <v>75</v>
      </c>
      <c r="AK1078" t="s">
        <v>102</v>
      </c>
      <c r="AL1078" t="s">
        <v>77</v>
      </c>
      <c r="AM1078" t="s">
        <v>103</v>
      </c>
      <c r="AN1078" t="s">
        <v>239</v>
      </c>
      <c r="AO1078" t="s">
        <v>80</v>
      </c>
      <c r="AP1078" t="s">
        <v>46</v>
      </c>
      <c r="AQ1078" t="s">
        <v>105</v>
      </c>
      <c r="AR1078" t="str">
        <f t="shared" si="32"/>
        <v>60604178.STATEQ</v>
      </c>
      <c r="AS1078">
        <f t="shared" si="33"/>
        <v>10087902.77</v>
      </c>
      <c r="AT1078" t="s">
        <v>82</v>
      </c>
    </row>
    <row r="1079" spans="1:46" x14ac:dyDescent="0.35">
      <c r="A1079" t="s">
        <v>52</v>
      </c>
      <c r="B1079" t="s">
        <v>53</v>
      </c>
      <c r="C1079" t="s">
        <v>54</v>
      </c>
      <c r="D1079" t="s">
        <v>55</v>
      </c>
      <c r="E1079" t="s">
        <v>56</v>
      </c>
      <c r="F1079" t="s">
        <v>3500</v>
      </c>
      <c r="G1079" t="s">
        <v>3509</v>
      </c>
      <c r="H1079" t="s">
        <v>153</v>
      </c>
      <c r="I1079" t="s">
        <v>3510</v>
      </c>
      <c r="J1079" t="s">
        <v>56</v>
      </c>
      <c r="K1079" t="s">
        <v>640</v>
      </c>
      <c r="L1079" t="s">
        <v>56</v>
      </c>
      <c r="M1079" t="s">
        <v>56</v>
      </c>
      <c r="N1079" t="s">
        <v>252</v>
      </c>
      <c r="O1079" t="s">
        <v>230</v>
      </c>
      <c r="P1079" t="s">
        <v>231</v>
      </c>
      <c r="Q1079" t="s">
        <v>3511</v>
      </c>
      <c r="R1079" t="s">
        <v>67</v>
      </c>
      <c r="S1079">
        <v>133793966</v>
      </c>
      <c r="T1079">
        <v>93215664.680000007</v>
      </c>
      <c r="U1079" t="s">
        <v>68</v>
      </c>
      <c r="V1079" t="s">
        <v>3402</v>
      </c>
      <c r="W1079" s="9">
        <v>60604178</v>
      </c>
      <c r="X1079" t="s">
        <v>3512</v>
      </c>
      <c r="Y1079" s="1">
        <v>46036</v>
      </c>
      <c r="Z1079" s="1">
        <v>46066</v>
      </c>
      <c r="AA1079" s="2">
        <v>768421.88</v>
      </c>
      <c r="AB1079" s="2">
        <v>651204.99</v>
      </c>
      <c r="AC1079" s="2">
        <v>117216.9</v>
      </c>
      <c r="AD1079" s="2">
        <v>2298.37</v>
      </c>
      <c r="AE1079" t="s">
        <v>3513</v>
      </c>
      <c r="AF1079" t="s">
        <v>72</v>
      </c>
      <c r="AG1079">
        <v>12</v>
      </c>
      <c r="AH1079" t="s">
        <v>73</v>
      </c>
      <c r="AI1079" t="s">
        <v>74</v>
      </c>
      <c r="AJ1079" t="s">
        <v>75</v>
      </c>
      <c r="AK1079" t="s">
        <v>76</v>
      </c>
      <c r="AL1079" t="s">
        <v>77</v>
      </c>
      <c r="AM1079" t="s">
        <v>103</v>
      </c>
      <c r="AN1079" t="s">
        <v>239</v>
      </c>
      <c r="AO1079" t="s">
        <v>80</v>
      </c>
      <c r="AP1079" t="s">
        <v>46</v>
      </c>
      <c r="AQ1079" t="s">
        <v>81</v>
      </c>
      <c r="AR1079" t="str">
        <f t="shared" si="32"/>
        <v>60604178.STATAM</v>
      </c>
      <c r="AS1079">
        <f t="shared" si="33"/>
        <v>2298.37</v>
      </c>
      <c r="AT1079" t="s">
        <v>82</v>
      </c>
    </row>
    <row r="1080" spans="1:46" x14ac:dyDescent="0.35">
      <c r="A1080" t="s">
        <v>52</v>
      </c>
      <c r="B1080" t="s">
        <v>53</v>
      </c>
      <c r="C1080" t="s">
        <v>54</v>
      </c>
      <c r="D1080" t="s">
        <v>55</v>
      </c>
      <c r="E1080" t="s">
        <v>56</v>
      </c>
      <c r="F1080" t="s">
        <v>3500</v>
      </c>
      <c r="G1080" t="s">
        <v>3509</v>
      </c>
      <c r="H1080" t="s">
        <v>153</v>
      </c>
      <c r="I1080" t="s">
        <v>3510</v>
      </c>
      <c r="J1080" t="s">
        <v>56</v>
      </c>
      <c r="K1080" t="s">
        <v>640</v>
      </c>
      <c r="L1080" t="s">
        <v>56</v>
      </c>
      <c r="M1080" t="s">
        <v>56</v>
      </c>
      <c r="N1080" t="s">
        <v>155</v>
      </c>
      <c r="O1080" t="s">
        <v>230</v>
      </c>
      <c r="P1080" t="s">
        <v>231</v>
      </c>
      <c r="Q1080" t="s">
        <v>3511</v>
      </c>
      <c r="R1080" t="s">
        <v>67</v>
      </c>
      <c r="S1080">
        <v>133793966</v>
      </c>
      <c r="T1080">
        <v>93215664.680000007</v>
      </c>
      <c r="U1080" t="s">
        <v>68</v>
      </c>
      <c r="V1080" t="s">
        <v>3402</v>
      </c>
      <c r="W1080" s="9">
        <v>60604178</v>
      </c>
      <c r="X1080" t="s">
        <v>3512</v>
      </c>
      <c r="Y1080" s="1">
        <v>46036</v>
      </c>
      <c r="Z1080" s="1">
        <v>46066</v>
      </c>
      <c r="AA1080" s="2">
        <v>1237578.1200000001</v>
      </c>
      <c r="AB1080" s="2">
        <v>1048795.01</v>
      </c>
      <c r="AC1080" s="2">
        <v>188783.1</v>
      </c>
      <c r="AD1080" s="2">
        <v>3701.63</v>
      </c>
      <c r="AE1080" t="s">
        <v>3514</v>
      </c>
      <c r="AF1080" t="s">
        <v>72</v>
      </c>
      <c r="AG1080">
        <v>12</v>
      </c>
      <c r="AH1080" t="s">
        <v>73</v>
      </c>
      <c r="AI1080" t="s">
        <v>74</v>
      </c>
      <c r="AJ1080" t="s">
        <v>75</v>
      </c>
      <c r="AK1080" t="s">
        <v>102</v>
      </c>
      <c r="AL1080" t="s">
        <v>77</v>
      </c>
      <c r="AM1080" t="s">
        <v>103</v>
      </c>
      <c r="AN1080" t="s">
        <v>239</v>
      </c>
      <c r="AO1080" t="s">
        <v>80</v>
      </c>
      <c r="AP1080" t="s">
        <v>46</v>
      </c>
      <c r="AQ1080" t="s">
        <v>105</v>
      </c>
      <c r="AR1080" t="str">
        <f t="shared" si="32"/>
        <v>60604178.STATEQ</v>
      </c>
      <c r="AS1080">
        <f t="shared" si="33"/>
        <v>10087902.77</v>
      </c>
      <c r="AT1080" t="s">
        <v>82</v>
      </c>
    </row>
    <row r="1081" spans="1:46" x14ac:dyDescent="0.35">
      <c r="A1081" t="s">
        <v>52</v>
      </c>
      <c r="B1081" t="s">
        <v>53</v>
      </c>
      <c r="C1081" t="s">
        <v>54</v>
      </c>
      <c r="D1081" t="s">
        <v>55</v>
      </c>
      <c r="E1081" t="s">
        <v>56</v>
      </c>
      <c r="F1081" t="s">
        <v>3500</v>
      </c>
      <c r="G1081" t="s">
        <v>56</v>
      </c>
      <c r="H1081" t="s">
        <v>56</v>
      </c>
      <c r="I1081" t="s">
        <v>3515</v>
      </c>
      <c r="J1081" t="s">
        <v>61</v>
      </c>
      <c r="K1081" t="s">
        <v>640</v>
      </c>
      <c r="L1081" t="s">
        <v>56</v>
      </c>
      <c r="M1081" t="s">
        <v>56</v>
      </c>
      <c r="N1081" t="s">
        <v>56</v>
      </c>
      <c r="O1081" t="s">
        <v>3377</v>
      </c>
      <c r="P1081" t="s">
        <v>3378</v>
      </c>
      <c r="Q1081" t="s">
        <v>87</v>
      </c>
      <c r="R1081" t="s">
        <v>67</v>
      </c>
      <c r="S1081">
        <v>133793966</v>
      </c>
      <c r="T1081">
        <v>93215664.680000007</v>
      </c>
      <c r="U1081" t="s">
        <v>68</v>
      </c>
      <c r="V1081" t="s">
        <v>3402</v>
      </c>
      <c r="W1081" s="9">
        <v>60604178</v>
      </c>
      <c r="X1081" t="s">
        <v>3516</v>
      </c>
      <c r="Y1081" s="1">
        <v>46050</v>
      </c>
      <c r="Z1081" s="1">
        <v>46050</v>
      </c>
      <c r="AA1081" s="2">
        <v>-6000000</v>
      </c>
      <c r="AB1081" s="2">
        <v>-6000000</v>
      </c>
      <c r="AC1081" s="2">
        <v>0</v>
      </c>
      <c r="AD1081" s="2">
        <v>-102801.32</v>
      </c>
      <c r="AE1081" t="s">
        <v>3516</v>
      </c>
      <c r="AF1081" t="s">
        <v>72</v>
      </c>
      <c r="AG1081">
        <v>28</v>
      </c>
      <c r="AH1081" t="s">
        <v>73</v>
      </c>
      <c r="AI1081" t="s">
        <v>74</v>
      </c>
      <c r="AJ1081" t="s">
        <v>75</v>
      </c>
      <c r="AK1081" t="s">
        <v>102</v>
      </c>
      <c r="AL1081" t="s">
        <v>77</v>
      </c>
      <c r="AM1081" t="s">
        <v>103</v>
      </c>
      <c r="AN1081" t="s">
        <v>239</v>
      </c>
      <c r="AO1081" t="s">
        <v>80</v>
      </c>
      <c r="AP1081" t="s">
        <v>46</v>
      </c>
      <c r="AQ1081" t="s">
        <v>105</v>
      </c>
      <c r="AR1081" t="str">
        <f t="shared" si="32"/>
        <v>60604178.STATEQ</v>
      </c>
      <c r="AS1081">
        <f t="shared" si="33"/>
        <v>10087902.77</v>
      </c>
      <c r="AT1081" t="s">
        <v>82</v>
      </c>
    </row>
    <row r="1082" spans="1:46" x14ac:dyDescent="0.35">
      <c r="A1082" t="s">
        <v>52</v>
      </c>
      <c r="B1082" t="s">
        <v>53</v>
      </c>
      <c r="C1082" t="s">
        <v>54</v>
      </c>
      <c r="D1082" t="s">
        <v>55</v>
      </c>
      <c r="E1082" t="s">
        <v>56</v>
      </c>
      <c r="F1082" t="s">
        <v>3500</v>
      </c>
      <c r="G1082" t="s">
        <v>3517</v>
      </c>
      <c r="H1082" t="s">
        <v>153</v>
      </c>
      <c r="I1082" t="s">
        <v>3518</v>
      </c>
      <c r="J1082" t="s">
        <v>56</v>
      </c>
      <c r="K1082" t="s">
        <v>640</v>
      </c>
      <c r="L1082" t="s">
        <v>56</v>
      </c>
      <c r="M1082" t="s">
        <v>56</v>
      </c>
      <c r="N1082" t="s">
        <v>155</v>
      </c>
      <c r="O1082" t="s">
        <v>230</v>
      </c>
      <c r="P1082" t="s">
        <v>231</v>
      </c>
      <c r="Q1082" t="s">
        <v>3511</v>
      </c>
      <c r="R1082" t="s">
        <v>67</v>
      </c>
      <c r="S1082">
        <v>133793966</v>
      </c>
      <c r="T1082">
        <v>93215664.680000007</v>
      </c>
      <c r="U1082" t="s">
        <v>68</v>
      </c>
      <c r="V1082" t="s">
        <v>3402</v>
      </c>
      <c r="W1082" s="9">
        <v>60604178</v>
      </c>
      <c r="X1082" t="s">
        <v>3519</v>
      </c>
      <c r="Y1082" s="1">
        <v>46063</v>
      </c>
      <c r="Z1082" s="1">
        <v>46093</v>
      </c>
      <c r="AA1082" s="2">
        <v>37575.129999999997</v>
      </c>
      <c r="AB1082" s="2">
        <v>31843.33</v>
      </c>
      <c r="AC1082" s="2">
        <v>5731.8</v>
      </c>
      <c r="AD1082" s="2">
        <v>37575.129999999997</v>
      </c>
      <c r="AE1082" t="s">
        <v>3520</v>
      </c>
      <c r="AF1082" t="s">
        <v>72</v>
      </c>
      <c r="AG1082">
        <v>-15</v>
      </c>
      <c r="AH1082" t="s">
        <v>117</v>
      </c>
      <c r="AI1082" t="s">
        <v>74</v>
      </c>
      <c r="AJ1082" t="s">
        <v>75</v>
      </c>
      <c r="AK1082" t="s">
        <v>102</v>
      </c>
      <c r="AL1082" t="s">
        <v>118</v>
      </c>
      <c r="AM1082" t="s">
        <v>103</v>
      </c>
      <c r="AN1082" t="s">
        <v>239</v>
      </c>
      <c r="AO1082" t="s">
        <v>119</v>
      </c>
      <c r="AP1082" t="s">
        <v>46</v>
      </c>
      <c r="AQ1082" t="s">
        <v>105</v>
      </c>
      <c r="AR1082" t="str">
        <f t="shared" si="32"/>
        <v>60604178.STATEQ</v>
      </c>
      <c r="AS1082">
        <f t="shared" si="33"/>
        <v>10087902.77</v>
      </c>
      <c r="AT1082" t="s">
        <v>82</v>
      </c>
    </row>
    <row r="1083" spans="1:46" x14ac:dyDescent="0.35">
      <c r="A1083" t="s">
        <v>52</v>
      </c>
      <c r="B1083" t="s">
        <v>53</v>
      </c>
      <c r="C1083" t="s">
        <v>54</v>
      </c>
      <c r="D1083" t="s">
        <v>55</v>
      </c>
      <c r="E1083" t="s">
        <v>56</v>
      </c>
      <c r="F1083" t="s">
        <v>3500</v>
      </c>
      <c r="G1083" t="s">
        <v>3517</v>
      </c>
      <c r="H1083" t="s">
        <v>153</v>
      </c>
      <c r="I1083" t="s">
        <v>3518</v>
      </c>
      <c r="J1083" t="s">
        <v>56</v>
      </c>
      <c r="K1083" t="s">
        <v>640</v>
      </c>
      <c r="L1083" t="s">
        <v>56</v>
      </c>
      <c r="M1083" t="s">
        <v>56</v>
      </c>
      <c r="N1083" t="s">
        <v>593</v>
      </c>
      <c r="O1083" t="s">
        <v>230</v>
      </c>
      <c r="P1083" t="s">
        <v>231</v>
      </c>
      <c r="Q1083" t="s">
        <v>3511</v>
      </c>
      <c r="R1083" t="s">
        <v>67</v>
      </c>
      <c r="S1083">
        <v>133793966</v>
      </c>
      <c r="T1083">
        <v>93215664.680000007</v>
      </c>
      <c r="U1083" t="s">
        <v>68</v>
      </c>
      <c r="V1083" t="s">
        <v>3402</v>
      </c>
      <c r="W1083" s="9">
        <v>60604178</v>
      </c>
      <c r="X1083" t="s">
        <v>3519</v>
      </c>
      <c r="Y1083" s="1">
        <v>46063</v>
      </c>
      <c r="Z1083" s="1">
        <v>46093</v>
      </c>
      <c r="AA1083" s="2">
        <v>18787.57</v>
      </c>
      <c r="AB1083" s="2">
        <v>15921.67</v>
      </c>
      <c r="AC1083" s="2">
        <v>2865.9</v>
      </c>
      <c r="AD1083" s="2">
        <v>18787.57</v>
      </c>
      <c r="AE1083" t="s">
        <v>3521</v>
      </c>
      <c r="AF1083" t="s">
        <v>72</v>
      </c>
      <c r="AG1083">
        <v>-15</v>
      </c>
      <c r="AH1083" t="s">
        <v>117</v>
      </c>
      <c r="AI1083" t="s">
        <v>74</v>
      </c>
      <c r="AJ1083" t="s">
        <v>75</v>
      </c>
      <c r="AK1083" t="s">
        <v>102</v>
      </c>
      <c r="AL1083" t="s">
        <v>118</v>
      </c>
      <c r="AM1083" t="s">
        <v>103</v>
      </c>
      <c r="AN1083" t="s">
        <v>239</v>
      </c>
      <c r="AO1083" t="s">
        <v>119</v>
      </c>
      <c r="AP1083" t="s">
        <v>46</v>
      </c>
      <c r="AQ1083" t="s">
        <v>105</v>
      </c>
      <c r="AR1083" t="str">
        <f t="shared" si="32"/>
        <v>60604178.STATEQ</v>
      </c>
      <c r="AS1083">
        <f t="shared" si="33"/>
        <v>10087902.77</v>
      </c>
      <c r="AT1083" t="s">
        <v>82</v>
      </c>
    </row>
    <row r="1084" spans="1:46" x14ac:dyDescent="0.35">
      <c r="A1084" t="s">
        <v>52</v>
      </c>
      <c r="B1084" t="s">
        <v>53</v>
      </c>
      <c r="C1084" t="s">
        <v>54</v>
      </c>
      <c r="D1084" t="s">
        <v>55</v>
      </c>
      <c r="E1084" t="s">
        <v>56</v>
      </c>
      <c r="F1084" t="s">
        <v>3500</v>
      </c>
      <c r="G1084" t="s">
        <v>3522</v>
      </c>
      <c r="H1084" t="s">
        <v>111</v>
      </c>
      <c r="I1084" t="s">
        <v>3523</v>
      </c>
      <c r="J1084" t="s">
        <v>56</v>
      </c>
      <c r="K1084" t="s">
        <v>640</v>
      </c>
      <c r="L1084" t="s">
        <v>56</v>
      </c>
      <c r="M1084" t="s">
        <v>56</v>
      </c>
      <c r="N1084" t="s">
        <v>174</v>
      </c>
      <c r="O1084" t="s">
        <v>230</v>
      </c>
      <c r="P1084" t="s">
        <v>231</v>
      </c>
      <c r="Q1084" t="s">
        <v>2786</v>
      </c>
      <c r="R1084" t="s">
        <v>67</v>
      </c>
      <c r="S1084">
        <v>133793966</v>
      </c>
      <c r="T1084">
        <v>93215664.680000007</v>
      </c>
      <c r="U1084" t="s">
        <v>68</v>
      </c>
      <c r="V1084" t="s">
        <v>3402</v>
      </c>
      <c r="W1084" s="9">
        <v>60604178</v>
      </c>
      <c r="X1084" t="s">
        <v>3524</v>
      </c>
      <c r="Y1084" s="1">
        <v>46066</v>
      </c>
      <c r="Z1084" s="1">
        <v>46096</v>
      </c>
      <c r="AA1084" s="2">
        <v>2243191.7999999998</v>
      </c>
      <c r="AB1084" s="2">
        <v>1901010</v>
      </c>
      <c r="AC1084" s="2">
        <v>342181.8</v>
      </c>
      <c r="AD1084" s="2">
        <v>2243191.7999999998</v>
      </c>
      <c r="AE1084" t="s">
        <v>3525</v>
      </c>
      <c r="AF1084" t="s">
        <v>72</v>
      </c>
      <c r="AG1084">
        <v>-18</v>
      </c>
      <c r="AH1084" t="s">
        <v>117</v>
      </c>
      <c r="AI1084" t="s">
        <v>74</v>
      </c>
      <c r="AJ1084" t="s">
        <v>127</v>
      </c>
      <c r="AK1084" t="s">
        <v>128</v>
      </c>
      <c r="AL1084" t="s">
        <v>118</v>
      </c>
      <c r="AM1084" t="s">
        <v>103</v>
      </c>
      <c r="AN1084" t="s">
        <v>239</v>
      </c>
      <c r="AO1084" t="s">
        <v>119</v>
      </c>
      <c r="AP1084" t="s">
        <v>46</v>
      </c>
      <c r="AQ1084" t="s">
        <v>129</v>
      </c>
      <c r="AR1084" t="str">
        <f t="shared" si="32"/>
        <v>60604178.SPMINEQ</v>
      </c>
      <c r="AS1084">
        <f t="shared" si="33"/>
        <v>2243191.7999999998</v>
      </c>
      <c r="AT1084" t="s">
        <v>82</v>
      </c>
    </row>
    <row r="1085" spans="1:46" x14ac:dyDescent="0.35">
      <c r="A1085" t="s">
        <v>52</v>
      </c>
      <c r="B1085" t="s">
        <v>53</v>
      </c>
      <c r="C1085" t="s">
        <v>54</v>
      </c>
      <c r="D1085" t="s">
        <v>55</v>
      </c>
      <c r="E1085" t="s">
        <v>56</v>
      </c>
      <c r="F1085" t="s">
        <v>3500</v>
      </c>
      <c r="G1085" t="s">
        <v>3522</v>
      </c>
      <c r="H1085" t="s">
        <v>111</v>
      </c>
      <c r="I1085" t="s">
        <v>3526</v>
      </c>
      <c r="J1085" t="s">
        <v>56</v>
      </c>
      <c r="K1085" t="s">
        <v>640</v>
      </c>
      <c r="L1085" t="s">
        <v>56</v>
      </c>
      <c r="M1085" t="s">
        <v>56</v>
      </c>
      <c r="N1085" t="s">
        <v>140</v>
      </c>
      <c r="O1085" t="s">
        <v>230</v>
      </c>
      <c r="P1085" t="s">
        <v>231</v>
      </c>
      <c r="Q1085" t="s">
        <v>2786</v>
      </c>
      <c r="R1085" t="s">
        <v>67</v>
      </c>
      <c r="S1085">
        <v>133793966</v>
      </c>
      <c r="T1085">
        <v>93215664.680000007</v>
      </c>
      <c r="U1085" t="s">
        <v>68</v>
      </c>
      <c r="V1085" t="s">
        <v>3402</v>
      </c>
      <c r="W1085" s="9">
        <v>60604178</v>
      </c>
      <c r="X1085" t="s">
        <v>3527</v>
      </c>
      <c r="Y1085" s="1">
        <v>46066</v>
      </c>
      <c r="Z1085" s="1">
        <v>46096</v>
      </c>
      <c r="AA1085" s="2">
        <v>10698298.9</v>
      </c>
      <c r="AB1085" s="2">
        <v>9066355</v>
      </c>
      <c r="AC1085" s="2">
        <v>1631943.9</v>
      </c>
      <c r="AD1085" s="2">
        <v>10698298.9</v>
      </c>
      <c r="AE1085" t="s">
        <v>3528</v>
      </c>
      <c r="AF1085" t="s">
        <v>72</v>
      </c>
      <c r="AG1085">
        <v>-18</v>
      </c>
      <c r="AH1085" t="s">
        <v>117</v>
      </c>
      <c r="AI1085" t="s">
        <v>74</v>
      </c>
      <c r="AJ1085" t="s">
        <v>75</v>
      </c>
      <c r="AK1085" t="s">
        <v>102</v>
      </c>
      <c r="AL1085" t="s">
        <v>118</v>
      </c>
      <c r="AM1085" t="s">
        <v>103</v>
      </c>
      <c r="AN1085" t="s">
        <v>239</v>
      </c>
      <c r="AO1085" t="s">
        <v>119</v>
      </c>
      <c r="AP1085" t="s">
        <v>46</v>
      </c>
      <c r="AQ1085" t="s">
        <v>105</v>
      </c>
      <c r="AR1085" t="str">
        <f t="shared" si="32"/>
        <v>60604178.STATEQ</v>
      </c>
      <c r="AS1085">
        <f t="shared" si="33"/>
        <v>10087902.77</v>
      </c>
      <c r="AT1085" t="s">
        <v>82</v>
      </c>
    </row>
    <row r="1086" spans="1:46" x14ac:dyDescent="0.35">
      <c r="A1086" t="s">
        <v>52</v>
      </c>
      <c r="B1086" t="s">
        <v>53</v>
      </c>
      <c r="C1086" t="s">
        <v>54</v>
      </c>
      <c r="D1086" t="s">
        <v>55</v>
      </c>
      <c r="E1086" t="s">
        <v>56</v>
      </c>
      <c r="F1086" t="s">
        <v>3500</v>
      </c>
      <c r="G1086" t="s">
        <v>3522</v>
      </c>
      <c r="H1086" t="s">
        <v>153</v>
      </c>
      <c r="I1086" t="s">
        <v>3529</v>
      </c>
      <c r="J1086" t="s">
        <v>56</v>
      </c>
      <c r="K1086" t="s">
        <v>640</v>
      </c>
      <c r="L1086" t="s">
        <v>56</v>
      </c>
      <c r="M1086" t="s">
        <v>56</v>
      </c>
      <c r="N1086" t="s">
        <v>155</v>
      </c>
      <c r="O1086" t="s">
        <v>230</v>
      </c>
      <c r="P1086" t="s">
        <v>231</v>
      </c>
      <c r="Q1086" t="s">
        <v>2786</v>
      </c>
      <c r="R1086" t="s">
        <v>67</v>
      </c>
      <c r="S1086">
        <v>133793966</v>
      </c>
      <c r="T1086">
        <v>93215664.680000007</v>
      </c>
      <c r="U1086" t="s">
        <v>68</v>
      </c>
      <c r="V1086" t="s">
        <v>3402</v>
      </c>
      <c r="W1086" s="9">
        <v>60604178</v>
      </c>
      <c r="X1086" t="s">
        <v>3530</v>
      </c>
      <c r="Y1086" s="1">
        <v>46073</v>
      </c>
      <c r="Z1086" s="1">
        <v>46103</v>
      </c>
      <c r="AA1086" s="2">
        <v>236000</v>
      </c>
      <c r="AB1086" s="2">
        <v>200000</v>
      </c>
      <c r="AC1086" s="2">
        <v>36000</v>
      </c>
      <c r="AD1086" s="2">
        <v>236000</v>
      </c>
      <c r="AE1086" t="s">
        <v>3531</v>
      </c>
      <c r="AF1086" t="s">
        <v>72</v>
      </c>
      <c r="AG1086">
        <v>-25</v>
      </c>
      <c r="AH1086" t="s">
        <v>117</v>
      </c>
      <c r="AI1086" t="s">
        <v>74</v>
      </c>
      <c r="AJ1086" t="s">
        <v>75</v>
      </c>
      <c r="AK1086" t="s">
        <v>102</v>
      </c>
      <c r="AL1086" t="s">
        <v>118</v>
      </c>
      <c r="AM1086" t="s">
        <v>103</v>
      </c>
      <c r="AN1086" t="s">
        <v>239</v>
      </c>
      <c r="AO1086" t="s">
        <v>119</v>
      </c>
      <c r="AP1086" t="s">
        <v>46</v>
      </c>
      <c r="AQ1086" t="s">
        <v>105</v>
      </c>
      <c r="AR1086" t="str">
        <f t="shared" si="32"/>
        <v>60604178.STATEQ</v>
      </c>
      <c r="AS1086">
        <f t="shared" si="33"/>
        <v>10087902.77</v>
      </c>
      <c r="AT1086" t="s">
        <v>82</v>
      </c>
    </row>
    <row r="1087" spans="1:46" x14ac:dyDescent="0.35">
      <c r="A1087" t="s">
        <v>52</v>
      </c>
      <c r="B1087" t="s">
        <v>53</v>
      </c>
      <c r="C1087" t="s">
        <v>621</v>
      </c>
      <c r="D1087" t="s">
        <v>55</v>
      </c>
      <c r="E1087" t="s">
        <v>56</v>
      </c>
      <c r="F1087" t="s">
        <v>3532</v>
      </c>
      <c r="G1087" t="s">
        <v>3533</v>
      </c>
      <c r="H1087" t="s">
        <v>56</v>
      </c>
      <c r="I1087" t="s">
        <v>3534</v>
      </c>
      <c r="J1087" t="s">
        <v>56</v>
      </c>
      <c r="K1087" t="s">
        <v>62</v>
      </c>
      <c r="L1087" t="s">
        <v>56</v>
      </c>
      <c r="M1087" t="s">
        <v>56</v>
      </c>
      <c r="N1087" t="s">
        <v>252</v>
      </c>
      <c r="O1087" t="s">
        <v>222</v>
      </c>
      <c r="P1087" t="s">
        <v>223</v>
      </c>
      <c r="Q1087" t="s">
        <v>393</v>
      </c>
      <c r="R1087" t="s">
        <v>88</v>
      </c>
      <c r="T1087">
        <v>-1075191.1000000001</v>
      </c>
      <c r="U1087" t="s">
        <v>68</v>
      </c>
      <c r="V1087" t="s">
        <v>3535</v>
      </c>
      <c r="W1087" s="9">
        <v>60604414</v>
      </c>
      <c r="X1087" t="s">
        <v>3536</v>
      </c>
      <c r="Y1087" s="1">
        <v>46057</v>
      </c>
      <c r="Z1087" s="1">
        <v>46057</v>
      </c>
      <c r="AA1087" s="2">
        <v>14061.95</v>
      </c>
      <c r="AB1087" s="2">
        <v>11916.91</v>
      </c>
      <c r="AC1087" s="2">
        <v>2145.04</v>
      </c>
      <c r="AD1087" s="2">
        <v>1009.2</v>
      </c>
      <c r="AE1087" t="s">
        <v>3537</v>
      </c>
      <c r="AF1087" t="s">
        <v>72</v>
      </c>
      <c r="AG1087">
        <v>21</v>
      </c>
      <c r="AH1087" t="s">
        <v>73</v>
      </c>
      <c r="AI1087" t="s">
        <v>74</v>
      </c>
      <c r="AJ1087" t="s">
        <v>75</v>
      </c>
      <c r="AK1087" t="s">
        <v>76</v>
      </c>
      <c r="AL1087" t="s">
        <v>77</v>
      </c>
      <c r="AM1087" t="s">
        <v>78</v>
      </c>
      <c r="AN1087" t="s">
        <v>104</v>
      </c>
      <c r="AO1087" t="s">
        <v>80</v>
      </c>
      <c r="AP1087" t="e">
        <v>#N/A</v>
      </c>
      <c r="AQ1087" t="s">
        <v>81</v>
      </c>
      <c r="AR1087" t="str">
        <f t="shared" si="32"/>
        <v>60604414.STATAM</v>
      </c>
      <c r="AS1087">
        <f t="shared" si="33"/>
        <v>1075191.1000000001</v>
      </c>
      <c r="AT1087" t="s">
        <v>82</v>
      </c>
    </row>
    <row r="1088" spans="1:46" x14ac:dyDescent="0.35">
      <c r="A1088" t="s">
        <v>52</v>
      </c>
      <c r="B1088" t="s">
        <v>53</v>
      </c>
      <c r="C1088" t="s">
        <v>621</v>
      </c>
      <c r="D1088" t="s">
        <v>55</v>
      </c>
      <c r="E1088" t="s">
        <v>56</v>
      </c>
      <c r="F1088" t="s">
        <v>3532</v>
      </c>
      <c r="G1088" t="s">
        <v>3533</v>
      </c>
      <c r="H1088" t="s">
        <v>56</v>
      </c>
      <c r="I1088" t="s">
        <v>3534</v>
      </c>
      <c r="J1088" t="s">
        <v>56</v>
      </c>
      <c r="K1088" t="s">
        <v>62</v>
      </c>
      <c r="L1088" t="s">
        <v>56</v>
      </c>
      <c r="M1088" t="s">
        <v>56</v>
      </c>
      <c r="N1088" t="s">
        <v>261</v>
      </c>
      <c r="O1088" t="s">
        <v>222</v>
      </c>
      <c r="P1088" t="s">
        <v>223</v>
      </c>
      <c r="Q1088" t="s">
        <v>393</v>
      </c>
      <c r="R1088" t="s">
        <v>88</v>
      </c>
      <c r="T1088">
        <v>-1075191.1000000001</v>
      </c>
      <c r="U1088" t="s">
        <v>68</v>
      </c>
      <c r="V1088" t="s">
        <v>3535</v>
      </c>
      <c r="W1088" s="9">
        <v>60604414</v>
      </c>
      <c r="X1088" t="s">
        <v>3536</v>
      </c>
      <c r="Y1088" s="1">
        <v>46057</v>
      </c>
      <c r="Z1088" s="1">
        <v>46057</v>
      </c>
      <c r="AA1088" s="2">
        <v>155026.32999999999</v>
      </c>
      <c r="AB1088" s="2">
        <v>131378.25</v>
      </c>
      <c r="AC1088" s="2">
        <v>23648.080000000002</v>
      </c>
      <c r="AD1088" s="2">
        <v>11125.9</v>
      </c>
      <c r="AE1088" t="s">
        <v>3538</v>
      </c>
      <c r="AF1088" t="s">
        <v>72</v>
      </c>
      <c r="AG1088">
        <v>21</v>
      </c>
      <c r="AH1088" t="s">
        <v>73</v>
      </c>
      <c r="AI1088" t="s">
        <v>74</v>
      </c>
      <c r="AJ1088" t="s">
        <v>75</v>
      </c>
      <c r="AK1088" t="s">
        <v>76</v>
      </c>
      <c r="AL1088" t="s">
        <v>77</v>
      </c>
      <c r="AM1088" t="s">
        <v>78</v>
      </c>
      <c r="AN1088" t="s">
        <v>104</v>
      </c>
      <c r="AO1088" t="s">
        <v>80</v>
      </c>
      <c r="AP1088" t="e">
        <v>#N/A</v>
      </c>
      <c r="AQ1088" t="s">
        <v>81</v>
      </c>
      <c r="AR1088" t="str">
        <f t="shared" si="32"/>
        <v>60604414.STATAM</v>
      </c>
      <c r="AS1088">
        <f t="shared" si="33"/>
        <v>1075191.1000000001</v>
      </c>
      <c r="AT1088" t="s">
        <v>82</v>
      </c>
    </row>
    <row r="1089" spans="1:46" x14ac:dyDescent="0.35">
      <c r="A1089" t="s">
        <v>52</v>
      </c>
      <c r="B1089" t="s">
        <v>53</v>
      </c>
      <c r="C1089" t="s">
        <v>621</v>
      </c>
      <c r="D1089" t="s">
        <v>55</v>
      </c>
      <c r="E1089" t="s">
        <v>56</v>
      </c>
      <c r="F1089" t="s">
        <v>3532</v>
      </c>
      <c r="G1089" t="s">
        <v>3533</v>
      </c>
      <c r="H1089" t="s">
        <v>56</v>
      </c>
      <c r="I1089" t="s">
        <v>3539</v>
      </c>
      <c r="J1089" t="s">
        <v>56</v>
      </c>
      <c r="K1089" t="s">
        <v>62</v>
      </c>
      <c r="L1089" t="s">
        <v>56</v>
      </c>
      <c r="M1089" t="s">
        <v>56</v>
      </c>
      <c r="N1089" t="s">
        <v>252</v>
      </c>
      <c r="O1089" t="s">
        <v>222</v>
      </c>
      <c r="P1089" t="s">
        <v>223</v>
      </c>
      <c r="Q1089" t="s">
        <v>393</v>
      </c>
      <c r="R1089" t="s">
        <v>88</v>
      </c>
      <c r="T1089">
        <v>-1075191.1000000001</v>
      </c>
      <c r="U1089" t="s">
        <v>68</v>
      </c>
      <c r="V1089" t="s">
        <v>3535</v>
      </c>
      <c r="W1089" s="9">
        <v>60604414</v>
      </c>
      <c r="X1089" t="s">
        <v>3540</v>
      </c>
      <c r="Y1089" s="1">
        <v>46057</v>
      </c>
      <c r="Z1089" s="1">
        <v>46057</v>
      </c>
      <c r="AA1089" s="2">
        <v>224218.67</v>
      </c>
      <c r="AB1089" s="2">
        <v>190015.83</v>
      </c>
      <c r="AC1089" s="2">
        <v>34202.839999999997</v>
      </c>
      <c r="AD1089" s="2">
        <v>224218.67</v>
      </c>
      <c r="AE1089" t="s">
        <v>3541</v>
      </c>
      <c r="AF1089" t="s">
        <v>72</v>
      </c>
      <c r="AG1089">
        <v>21</v>
      </c>
      <c r="AH1089" t="s">
        <v>73</v>
      </c>
      <c r="AI1089" t="s">
        <v>74</v>
      </c>
      <c r="AJ1089" t="s">
        <v>75</v>
      </c>
      <c r="AK1089" t="s">
        <v>76</v>
      </c>
      <c r="AL1089" t="s">
        <v>77</v>
      </c>
      <c r="AM1089" t="s">
        <v>78</v>
      </c>
      <c r="AN1089" t="s">
        <v>104</v>
      </c>
      <c r="AO1089" t="s">
        <v>80</v>
      </c>
      <c r="AP1089" t="e">
        <v>#N/A</v>
      </c>
      <c r="AQ1089" t="s">
        <v>81</v>
      </c>
      <c r="AR1089" t="str">
        <f t="shared" si="32"/>
        <v>60604414.STATAM</v>
      </c>
      <c r="AS1089">
        <f t="shared" si="33"/>
        <v>1075191.1000000001</v>
      </c>
      <c r="AT1089" t="s">
        <v>82</v>
      </c>
    </row>
    <row r="1090" spans="1:46" x14ac:dyDescent="0.35">
      <c r="A1090" t="s">
        <v>52</v>
      </c>
      <c r="B1090" t="s">
        <v>53</v>
      </c>
      <c r="C1090" t="s">
        <v>621</v>
      </c>
      <c r="D1090" t="s">
        <v>55</v>
      </c>
      <c r="E1090" t="s">
        <v>56</v>
      </c>
      <c r="F1090" t="s">
        <v>3532</v>
      </c>
      <c r="G1090" t="s">
        <v>3542</v>
      </c>
      <c r="H1090" t="s">
        <v>56</v>
      </c>
      <c r="I1090" t="s">
        <v>3543</v>
      </c>
      <c r="J1090" t="s">
        <v>56</v>
      </c>
      <c r="K1090" t="s">
        <v>62</v>
      </c>
      <c r="L1090" t="s">
        <v>56</v>
      </c>
      <c r="M1090" t="s">
        <v>56</v>
      </c>
      <c r="N1090" t="s">
        <v>252</v>
      </c>
      <c r="O1090" t="s">
        <v>222</v>
      </c>
      <c r="P1090" t="s">
        <v>223</v>
      </c>
      <c r="Q1090" t="s">
        <v>393</v>
      </c>
      <c r="R1090" t="s">
        <v>88</v>
      </c>
      <c r="T1090">
        <v>-1075191.1000000001</v>
      </c>
      <c r="U1090" t="s">
        <v>68</v>
      </c>
      <c r="V1090" t="s">
        <v>3535</v>
      </c>
      <c r="W1090" s="9">
        <v>60604414</v>
      </c>
      <c r="X1090" t="s">
        <v>3544</v>
      </c>
      <c r="Y1090" s="1">
        <v>46065</v>
      </c>
      <c r="Z1090" s="1">
        <v>46065</v>
      </c>
      <c r="AA1090" s="2">
        <v>451993.8</v>
      </c>
      <c r="AB1090" s="2">
        <v>383045.58</v>
      </c>
      <c r="AC1090" s="2">
        <v>68948.22</v>
      </c>
      <c r="AD1090" s="2">
        <v>451993.8</v>
      </c>
      <c r="AE1090" t="s">
        <v>3545</v>
      </c>
      <c r="AF1090" t="s">
        <v>72</v>
      </c>
      <c r="AG1090">
        <v>13</v>
      </c>
      <c r="AH1090" t="s">
        <v>73</v>
      </c>
      <c r="AI1090" t="s">
        <v>74</v>
      </c>
      <c r="AJ1090" t="s">
        <v>75</v>
      </c>
      <c r="AK1090" t="s">
        <v>76</v>
      </c>
      <c r="AL1090" t="s">
        <v>77</v>
      </c>
      <c r="AM1090" t="s">
        <v>78</v>
      </c>
      <c r="AN1090" t="s">
        <v>104</v>
      </c>
      <c r="AO1090" t="s">
        <v>80</v>
      </c>
      <c r="AP1090" t="e">
        <v>#N/A</v>
      </c>
      <c r="AQ1090" t="s">
        <v>81</v>
      </c>
      <c r="AR1090" t="str">
        <f t="shared" si="32"/>
        <v>60604414.STATAM</v>
      </c>
      <c r="AS1090">
        <f t="shared" si="33"/>
        <v>1075191.1000000001</v>
      </c>
      <c r="AT1090" t="s">
        <v>82</v>
      </c>
    </row>
    <row r="1091" spans="1:46" x14ac:dyDescent="0.35">
      <c r="A1091" t="s">
        <v>52</v>
      </c>
      <c r="B1091" t="s">
        <v>53</v>
      </c>
      <c r="C1091" t="s">
        <v>621</v>
      </c>
      <c r="D1091" t="s">
        <v>55</v>
      </c>
      <c r="E1091" t="s">
        <v>56</v>
      </c>
      <c r="F1091" t="s">
        <v>3532</v>
      </c>
      <c r="G1091" t="s">
        <v>3542</v>
      </c>
      <c r="H1091" t="s">
        <v>56</v>
      </c>
      <c r="I1091" t="s">
        <v>3543</v>
      </c>
      <c r="J1091" t="s">
        <v>56</v>
      </c>
      <c r="K1091" t="s">
        <v>62</v>
      </c>
      <c r="L1091" t="s">
        <v>56</v>
      </c>
      <c r="M1091" t="s">
        <v>56</v>
      </c>
      <c r="N1091" t="s">
        <v>263</v>
      </c>
      <c r="O1091" t="s">
        <v>222</v>
      </c>
      <c r="P1091" t="s">
        <v>223</v>
      </c>
      <c r="Q1091" t="s">
        <v>393</v>
      </c>
      <c r="R1091" t="s">
        <v>88</v>
      </c>
      <c r="T1091">
        <v>-1075191.1000000001</v>
      </c>
      <c r="U1091" t="s">
        <v>68</v>
      </c>
      <c r="V1091" t="s">
        <v>3535</v>
      </c>
      <c r="W1091" s="9">
        <v>60604414</v>
      </c>
      <c r="X1091" t="s">
        <v>3544</v>
      </c>
      <c r="Y1091" s="1">
        <v>46065</v>
      </c>
      <c r="Z1091" s="1">
        <v>46065</v>
      </c>
      <c r="AA1091" s="2">
        <v>224033.24</v>
      </c>
      <c r="AB1091" s="2">
        <v>189858.67</v>
      </c>
      <c r="AC1091" s="2">
        <v>34174.57</v>
      </c>
      <c r="AD1091" s="2">
        <v>224033.24</v>
      </c>
      <c r="AE1091" t="s">
        <v>3546</v>
      </c>
      <c r="AF1091" t="s">
        <v>72</v>
      </c>
      <c r="AG1091">
        <v>13</v>
      </c>
      <c r="AH1091" t="s">
        <v>73</v>
      </c>
      <c r="AI1091" t="s">
        <v>74</v>
      </c>
      <c r="AJ1091" t="s">
        <v>75</v>
      </c>
      <c r="AK1091" t="s">
        <v>76</v>
      </c>
      <c r="AL1091" t="s">
        <v>77</v>
      </c>
      <c r="AM1091" t="s">
        <v>78</v>
      </c>
      <c r="AN1091" t="s">
        <v>104</v>
      </c>
      <c r="AO1091" t="s">
        <v>80</v>
      </c>
      <c r="AP1091" t="e">
        <v>#N/A</v>
      </c>
      <c r="AQ1091" t="s">
        <v>81</v>
      </c>
      <c r="AR1091" t="str">
        <f t="shared" si="32"/>
        <v>60604414.STATAM</v>
      </c>
      <c r="AS1091">
        <f t="shared" si="33"/>
        <v>1075191.1000000001</v>
      </c>
      <c r="AT1091" t="s">
        <v>82</v>
      </c>
    </row>
    <row r="1092" spans="1:46" x14ac:dyDescent="0.35">
      <c r="A1092" t="s">
        <v>52</v>
      </c>
      <c r="B1092" t="s">
        <v>53</v>
      </c>
      <c r="C1092" t="s">
        <v>621</v>
      </c>
      <c r="D1092" t="s">
        <v>55</v>
      </c>
      <c r="E1092" t="s">
        <v>56</v>
      </c>
      <c r="F1092" t="s">
        <v>3532</v>
      </c>
      <c r="G1092" t="s">
        <v>3542</v>
      </c>
      <c r="H1092" t="s">
        <v>56</v>
      </c>
      <c r="I1092" t="s">
        <v>3543</v>
      </c>
      <c r="J1092" t="s">
        <v>56</v>
      </c>
      <c r="K1092" t="s">
        <v>62</v>
      </c>
      <c r="L1092" t="s">
        <v>56</v>
      </c>
      <c r="M1092" t="s">
        <v>56</v>
      </c>
      <c r="N1092" t="s">
        <v>261</v>
      </c>
      <c r="O1092" t="s">
        <v>222</v>
      </c>
      <c r="P1092" t="s">
        <v>223</v>
      </c>
      <c r="Q1092" t="s">
        <v>393</v>
      </c>
      <c r="R1092" t="s">
        <v>88</v>
      </c>
      <c r="T1092">
        <v>-1075191.1000000001</v>
      </c>
      <c r="U1092" t="s">
        <v>68</v>
      </c>
      <c r="V1092" t="s">
        <v>3535</v>
      </c>
      <c r="W1092" s="9">
        <v>60604414</v>
      </c>
      <c r="X1092" t="s">
        <v>3544</v>
      </c>
      <c r="Y1092" s="1">
        <v>46065</v>
      </c>
      <c r="Z1092" s="1">
        <v>46065</v>
      </c>
      <c r="AA1092" s="2">
        <v>161669.28</v>
      </c>
      <c r="AB1092" s="2">
        <v>137007.85999999999</v>
      </c>
      <c r="AC1092" s="2">
        <v>24661.42</v>
      </c>
      <c r="AD1092" s="2">
        <v>161669.28</v>
      </c>
      <c r="AE1092" t="s">
        <v>3547</v>
      </c>
      <c r="AF1092" t="s">
        <v>72</v>
      </c>
      <c r="AG1092">
        <v>13</v>
      </c>
      <c r="AH1092" t="s">
        <v>73</v>
      </c>
      <c r="AI1092" t="s">
        <v>74</v>
      </c>
      <c r="AJ1092" t="s">
        <v>75</v>
      </c>
      <c r="AK1092" t="s">
        <v>76</v>
      </c>
      <c r="AL1092" t="s">
        <v>77</v>
      </c>
      <c r="AM1092" t="s">
        <v>78</v>
      </c>
      <c r="AN1092" t="s">
        <v>104</v>
      </c>
      <c r="AO1092" t="s">
        <v>80</v>
      </c>
      <c r="AP1092" t="e">
        <v>#N/A</v>
      </c>
      <c r="AQ1092" t="s">
        <v>81</v>
      </c>
      <c r="AR1092" t="str">
        <f t="shared" si="32"/>
        <v>60604414.STATAM</v>
      </c>
      <c r="AS1092">
        <f t="shared" si="33"/>
        <v>1075191.1000000001</v>
      </c>
      <c r="AT1092" t="s">
        <v>82</v>
      </c>
    </row>
    <row r="1093" spans="1:46" x14ac:dyDescent="0.35">
      <c r="A1093" t="s">
        <v>52</v>
      </c>
      <c r="B1093" t="s">
        <v>53</v>
      </c>
      <c r="C1093" t="s">
        <v>621</v>
      </c>
      <c r="D1093" t="s">
        <v>55</v>
      </c>
      <c r="E1093" t="s">
        <v>56</v>
      </c>
      <c r="F1093" t="s">
        <v>3532</v>
      </c>
      <c r="G1093" t="s">
        <v>3542</v>
      </c>
      <c r="H1093" t="s">
        <v>56</v>
      </c>
      <c r="I1093" t="s">
        <v>3543</v>
      </c>
      <c r="J1093" t="s">
        <v>56</v>
      </c>
      <c r="K1093" t="s">
        <v>62</v>
      </c>
      <c r="L1093" t="s">
        <v>56</v>
      </c>
      <c r="M1093" t="s">
        <v>56</v>
      </c>
      <c r="N1093" t="s">
        <v>655</v>
      </c>
      <c r="O1093" t="s">
        <v>222</v>
      </c>
      <c r="P1093" t="s">
        <v>223</v>
      </c>
      <c r="Q1093" t="s">
        <v>393</v>
      </c>
      <c r="R1093" t="s">
        <v>88</v>
      </c>
      <c r="T1093">
        <v>-1075191.1000000001</v>
      </c>
      <c r="U1093" t="s">
        <v>68</v>
      </c>
      <c r="V1093" t="s">
        <v>3535</v>
      </c>
      <c r="W1093" s="9">
        <v>60604414</v>
      </c>
      <c r="X1093" t="s">
        <v>3544</v>
      </c>
      <c r="Y1093" s="1">
        <v>46065</v>
      </c>
      <c r="Z1093" s="1">
        <v>46065</v>
      </c>
      <c r="AA1093" s="2">
        <v>1141.01</v>
      </c>
      <c r="AB1093" s="2">
        <v>966.96</v>
      </c>
      <c r="AC1093" s="2">
        <v>174.05</v>
      </c>
      <c r="AD1093" s="2">
        <v>1141.01</v>
      </c>
      <c r="AE1093" t="s">
        <v>3548</v>
      </c>
      <c r="AF1093" t="s">
        <v>72</v>
      </c>
      <c r="AG1093">
        <v>13</v>
      </c>
      <c r="AH1093" t="s">
        <v>73</v>
      </c>
      <c r="AI1093" t="s">
        <v>74</v>
      </c>
      <c r="AJ1093" t="s">
        <v>75</v>
      </c>
      <c r="AK1093" t="s">
        <v>76</v>
      </c>
      <c r="AL1093" t="s">
        <v>77</v>
      </c>
      <c r="AM1093" t="s">
        <v>78</v>
      </c>
      <c r="AN1093" t="s">
        <v>104</v>
      </c>
      <c r="AO1093" t="s">
        <v>80</v>
      </c>
      <c r="AP1093" t="e">
        <v>#N/A</v>
      </c>
      <c r="AQ1093" t="s">
        <v>81</v>
      </c>
      <c r="AR1093" t="str">
        <f t="shared" si="32"/>
        <v>60604414.STATAM</v>
      </c>
      <c r="AS1093">
        <f t="shared" si="33"/>
        <v>1075191.1000000001</v>
      </c>
      <c r="AT1093" t="s">
        <v>82</v>
      </c>
    </row>
    <row r="1094" spans="1:46" x14ac:dyDescent="0.35">
      <c r="A1094" t="s">
        <v>52</v>
      </c>
      <c r="B1094" t="s">
        <v>53</v>
      </c>
      <c r="C1094" t="s">
        <v>54</v>
      </c>
      <c r="D1094" t="s">
        <v>55</v>
      </c>
      <c r="E1094" t="s">
        <v>56</v>
      </c>
      <c r="F1094" t="s">
        <v>3549</v>
      </c>
      <c r="G1094" t="s">
        <v>56</v>
      </c>
      <c r="H1094" t="s">
        <v>56</v>
      </c>
      <c r="I1094" t="s">
        <v>3550</v>
      </c>
      <c r="J1094" t="s">
        <v>61</v>
      </c>
      <c r="K1094" t="s">
        <v>62</v>
      </c>
      <c r="L1094" t="s">
        <v>56</v>
      </c>
      <c r="M1094" t="s">
        <v>56</v>
      </c>
      <c r="N1094" t="s">
        <v>56</v>
      </c>
      <c r="O1094" t="s">
        <v>406</v>
      </c>
      <c r="P1094" t="s">
        <v>407</v>
      </c>
      <c r="Q1094" t="s">
        <v>87</v>
      </c>
      <c r="R1094" t="s">
        <v>88</v>
      </c>
      <c r="S1094">
        <v>500000</v>
      </c>
      <c r="T1094">
        <v>500564.76</v>
      </c>
      <c r="U1094" t="s">
        <v>68</v>
      </c>
      <c r="V1094" t="s">
        <v>3551</v>
      </c>
      <c r="W1094" s="9">
        <v>60602291</v>
      </c>
      <c r="X1094" t="s">
        <v>3552</v>
      </c>
      <c r="Y1094" s="1">
        <v>45894</v>
      </c>
      <c r="Z1094" s="1">
        <v>45894</v>
      </c>
      <c r="AA1094" s="2">
        <v>-55520</v>
      </c>
      <c r="AB1094" s="2">
        <v>-55520</v>
      </c>
      <c r="AC1094" s="2">
        <v>0</v>
      </c>
      <c r="AD1094" s="2">
        <v>-564.76</v>
      </c>
      <c r="AE1094" t="s">
        <v>3552</v>
      </c>
      <c r="AF1094" t="s">
        <v>72</v>
      </c>
      <c r="AG1094">
        <v>184</v>
      </c>
      <c r="AH1094" t="s">
        <v>101</v>
      </c>
      <c r="AI1094" t="s">
        <v>74</v>
      </c>
      <c r="AJ1094" t="s">
        <v>75</v>
      </c>
      <c r="AK1094" t="s">
        <v>76</v>
      </c>
      <c r="AL1094" t="s">
        <v>77</v>
      </c>
      <c r="AM1094" t="s">
        <v>78</v>
      </c>
      <c r="AN1094" t="s">
        <v>104</v>
      </c>
      <c r="AO1094" t="s">
        <v>80</v>
      </c>
      <c r="AP1094" t="e">
        <v>#N/A</v>
      </c>
      <c r="AQ1094" t="s">
        <v>81</v>
      </c>
      <c r="AR1094" t="str">
        <f t="shared" si="32"/>
        <v>60602291.STATAM</v>
      </c>
      <c r="AS1094">
        <f t="shared" si="33"/>
        <v>-564.76</v>
      </c>
      <c r="AT1094" t="s">
        <v>93</v>
      </c>
    </row>
    <row r="1095" spans="1:46" x14ac:dyDescent="0.35">
      <c r="A1095" t="s">
        <v>52</v>
      </c>
      <c r="B1095" t="s">
        <v>53</v>
      </c>
      <c r="C1095" t="s">
        <v>54</v>
      </c>
      <c r="D1095" t="s">
        <v>55</v>
      </c>
      <c r="E1095" t="s">
        <v>56</v>
      </c>
      <c r="F1095" t="s">
        <v>3553</v>
      </c>
      <c r="G1095" t="s">
        <v>3554</v>
      </c>
      <c r="H1095" t="s">
        <v>56</v>
      </c>
      <c r="I1095" t="s">
        <v>3555</v>
      </c>
      <c r="J1095" t="s">
        <v>61</v>
      </c>
      <c r="K1095" t="s">
        <v>62</v>
      </c>
      <c r="L1095" t="s">
        <v>56</v>
      </c>
      <c r="M1095" t="s">
        <v>56</v>
      </c>
      <c r="N1095" t="s">
        <v>497</v>
      </c>
      <c r="O1095" t="s">
        <v>245</v>
      </c>
      <c r="P1095" t="s">
        <v>246</v>
      </c>
      <c r="Q1095" t="s">
        <v>114</v>
      </c>
      <c r="R1095" t="s">
        <v>67</v>
      </c>
      <c r="T1095">
        <v>-2582734.44</v>
      </c>
      <c r="U1095" t="s">
        <v>68</v>
      </c>
      <c r="V1095" t="s">
        <v>3556</v>
      </c>
      <c r="W1095" s="9">
        <v>60604025</v>
      </c>
      <c r="X1095" t="s">
        <v>3557</v>
      </c>
      <c r="Y1095" s="1">
        <v>46053</v>
      </c>
      <c r="Z1095" s="1">
        <v>46083</v>
      </c>
      <c r="AA1095" s="2">
        <v>8154.98</v>
      </c>
      <c r="AB1095" s="2">
        <v>6911</v>
      </c>
      <c r="AC1095" s="2">
        <v>1243.98</v>
      </c>
      <c r="AD1095" s="2">
        <v>8154.98</v>
      </c>
      <c r="AE1095" t="s">
        <v>3558</v>
      </c>
      <c r="AF1095" t="s">
        <v>72</v>
      </c>
      <c r="AG1095">
        <v>-5</v>
      </c>
      <c r="AH1095" t="s">
        <v>117</v>
      </c>
      <c r="AI1095" t="s">
        <v>74</v>
      </c>
      <c r="AJ1095" t="s">
        <v>237</v>
      </c>
      <c r="AK1095" t="s">
        <v>383</v>
      </c>
      <c r="AL1095" t="s">
        <v>118</v>
      </c>
      <c r="AM1095" t="s">
        <v>78</v>
      </c>
      <c r="AN1095" t="s">
        <v>239</v>
      </c>
      <c r="AO1095" t="s">
        <v>119</v>
      </c>
      <c r="AP1095" t="e">
        <v>#N/A</v>
      </c>
      <c r="AQ1095" t="s">
        <v>383</v>
      </c>
      <c r="AR1095" t="str">
        <f t="shared" si="32"/>
        <v>60604025.MOBILAM</v>
      </c>
      <c r="AS1095">
        <f t="shared" si="33"/>
        <v>2244822.5599999996</v>
      </c>
      <c r="AT1095" t="s">
        <v>82</v>
      </c>
    </row>
    <row r="1096" spans="1:46" x14ac:dyDescent="0.35">
      <c r="A1096" t="s">
        <v>52</v>
      </c>
      <c r="B1096" t="s">
        <v>53</v>
      </c>
      <c r="C1096" t="s">
        <v>54</v>
      </c>
      <c r="D1096" t="s">
        <v>55</v>
      </c>
      <c r="E1096" t="s">
        <v>56</v>
      </c>
      <c r="F1096" t="s">
        <v>3553</v>
      </c>
      <c r="G1096" t="s">
        <v>3554</v>
      </c>
      <c r="H1096" t="s">
        <v>56</v>
      </c>
      <c r="I1096" t="s">
        <v>3555</v>
      </c>
      <c r="J1096" t="s">
        <v>61</v>
      </c>
      <c r="K1096" t="s">
        <v>62</v>
      </c>
      <c r="L1096" t="s">
        <v>56</v>
      </c>
      <c r="M1096" t="s">
        <v>56</v>
      </c>
      <c r="N1096" t="s">
        <v>1214</v>
      </c>
      <c r="O1096" t="s">
        <v>245</v>
      </c>
      <c r="P1096" t="s">
        <v>246</v>
      </c>
      <c r="Q1096" t="s">
        <v>114</v>
      </c>
      <c r="R1096" t="s">
        <v>67</v>
      </c>
      <c r="T1096">
        <v>-2582734.44</v>
      </c>
      <c r="U1096" t="s">
        <v>68</v>
      </c>
      <c r="V1096" t="s">
        <v>3556</v>
      </c>
      <c r="W1096" s="9">
        <v>60604025</v>
      </c>
      <c r="X1096" t="s">
        <v>3557</v>
      </c>
      <c r="Y1096" s="1">
        <v>46053</v>
      </c>
      <c r="Z1096" s="1">
        <v>46083</v>
      </c>
      <c r="AA1096" s="2">
        <v>541959.84</v>
      </c>
      <c r="AB1096" s="2">
        <v>459288</v>
      </c>
      <c r="AC1096" s="2">
        <v>82671.839999999997</v>
      </c>
      <c r="AD1096" s="2">
        <v>541959.84</v>
      </c>
      <c r="AE1096" t="s">
        <v>3559</v>
      </c>
      <c r="AF1096" t="s">
        <v>72</v>
      </c>
      <c r="AG1096">
        <v>-5</v>
      </c>
      <c r="AH1096" t="s">
        <v>117</v>
      </c>
      <c r="AI1096" t="s">
        <v>74</v>
      </c>
      <c r="AJ1096" t="s">
        <v>237</v>
      </c>
      <c r="AK1096" t="s">
        <v>383</v>
      </c>
      <c r="AL1096" t="s">
        <v>118</v>
      </c>
      <c r="AM1096" t="s">
        <v>78</v>
      </c>
      <c r="AN1096" t="s">
        <v>239</v>
      </c>
      <c r="AO1096" t="s">
        <v>119</v>
      </c>
      <c r="AP1096" t="e">
        <v>#N/A</v>
      </c>
      <c r="AQ1096" t="s">
        <v>383</v>
      </c>
      <c r="AR1096" t="str">
        <f t="shared" ref="AR1096:AR1159" si="34">W1096&amp;"."&amp;AQ1096</f>
        <v>60604025.MOBILAM</v>
      </c>
      <c r="AS1096">
        <f t="shared" ref="AS1096:AS1159" si="35">SUMIFS(AD:AD,AQ:AQ,AQ1096,W:W,W1096)</f>
        <v>2244822.5599999996</v>
      </c>
      <c r="AT1096" t="s">
        <v>82</v>
      </c>
    </row>
    <row r="1097" spans="1:46" x14ac:dyDescent="0.35">
      <c r="A1097" t="s">
        <v>52</v>
      </c>
      <c r="B1097" t="s">
        <v>53</v>
      </c>
      <c r="C1097" t="s">
        <v>54</v>
      </c>
      <c r="D1097" t="s">
        <v>55</v>
      </c>
      <c r="E1097" t="s">
        <v>56</v>
      </c>
      <c r="F1097" t="s">
        <v>3553</v>
      </c>
      <c r="G1097" t="s">
        <v>3554</v>
      </c>
      <c r="H1097" t="s">
        <v>56</v>
      </c>
      <c r="I1097" t="s">
        <v>3555</v>
      </c>
      <c r="J1097" t="s">
        <v>61</v>
      </c>
      <c r="K1097" t="s">
        <v>62</v>
      </c>
      <c r="L1097" t="s">
        <v>56</v>
      </c>
      <c r="M1097" t="s">
        <v>56</v>
      </c>
      <c r="N1097" t="s">
        <v>520</v>
      </c>
      <c r="O1097" t="s">
        <v>245</v>
      </c>
      <c r="P1097" t="s">
        <v>246</v>
      </c>
      <c r="Q1097" t="s">
        <v>114</v>
      </c>
      <c r="R1097" t="s">
        <v>67</v>
      </c>
      <c r="T1097">
        <v>-2582734.44</v>
      </c>
      <c r="U1097" t="s">
        <v>68</v>
      </c>
      <c r="V1097" t="s">
        <v>3556</v>
      </c>
      <c r="W1097" s="9">
        <v>60604025</v>
      </c>
      <c r="X1097" t="s">
        <v>3557</v>
      </c>
      <c r="Y1097" s="1">
        <v>46053</v>
      </c>
      <c r="Z1097" s="1">
        <v>46083</v>
      </c>
      <c r="AA1097" s="2">
        <v>46648.94</v>
      </c>
      <c r="AB1097" s="2">
        <v>39533</v>
      </c>
      <c r="AC1097" s="2">
        <v>7115.94</v>
      </c>
      <c r="AD1097" s="2">
        <v>46648.94</v>
      </c>
      <c r="AE1097" t="s">
        <v>3560</v>
      </c>
      <c r="AF1097" t="s">
        <v>72</v>
      </c>
      <c r="AG1097">
        <v>-5</v>
      </c>
      <c r="AH1097" t="s">
        <v>117</v>
      </c>
      <c r="AI1097" t="s">
        <v>74</v>
      </c>
      <c r="AJ1097" t="s">
        <v>237</v>
      </c>
      <c r="AK1097" t="s">
        <v>383</v>
      </c>
      <c r="AL1097" t="s">
        <v>118</v>
      </c>
      <c r="AM1097" t="s">
        <v>78</v>
      </c>
      <c r="AN1097" t="s">
        <v>239</v>
      </c>
      <c r="AO1097" t="s">
        <v>119</v>
      </c>
      <c r="AP1097" t="e">
        <v>#N/A</v>
      </c>
      <c r="AQ1097" t="s">
        <v>383</v>
      </c>
      <c r="AR1097" t="str">
        <f t="shared" si="34"/>
        <v>60604025.MOBILAM</v>
      </c>
      <c r="AS1097">
        <f t="shared" si="35"/>
        <v>2244822.5599999996</v>
      </c>
      <c r="AT1097" t="s">
        <v>82</v>
      </c>
    </row>
    <row r="1098" spans="1:46" x14ac:dyDescent="0.35">
      <c r="A1098" t="s">
        <v>52</v>
      </c>
      <c r="B1098" t="s">
        <v>53</v>
      </c>
      <c r="C1098" t="s">
        <v>54</v>
      </c>
      <c r="D1098" t="s">
        <v>55</v>
      </c>
      <c r="E1098" t="s">
        <v>56</v>
      </c>
      <c r="F1098" t="s">
        <v>3553</v>
      </c>
      <c r="G1098" t="s">
        <v>3554</v>
      </c>
      <c r="H1098" t="s">
        <v>56</v>
      </c>
      <c r="I1098" t="s">
        <v>3555</v>
      </c>
      <c r="J1098" t="s">
        <v>61</v>
      </c>
      <c r="K1098" t="s">
        <v>62</v>
      </c>
      <c r="L1098" t="s">
        <v>56</v>
      </c>
      <c r="M1098" t="s">
        <v>56</v>
      </c>
      <c r="N1098" t="s">
        <v>477</v>
      </c>
      <c r="O1098" t="s">
        <v>245</v>
      </c>
      <c r="P1098" t="s">
        <v>246</v>
      </c>
      <c r="Q1098" t="s">
        <v>114</v>
      </c>
      <c r="R1098" t="s">
        <v>67</v>
      </c>
      <c r="T1098">
        <v>-2582734.44</v>
      </c>
      <c r="U1098" t="s">
        <v>68</v>
      </c>
      <c r="V1098" t="s">
        <v>3556</v>
      </c>
      <c r="W1098" s="9">
        <v>60604025</v>
      </c>
      <c r="X1098" t="s">
        <v>3557</v>
      </c>
      <c r="Y1098" s="1">
        <v>46053</v>
      </c>
      <c r="Z1098" s="1">
        <v>46083</v>
      </c>
      <c r="AA1098" s="2">
        <v>161307.18</v>
      </c>
      <c r="AB1098" s="2">
        <v>136701</v>
      </c>
      <c r="AC1098" s="2">
        <v>24606.18</v>
      </c>
      <c r="AD1098" s="2">
        <v>161307.18</v>
      </c>
      <c r="AE1098" t="s">
        <v>3561</v>
      </c>
      <c r="AF1098" t="s">
        <v>72</v>
      </c>
      <c r="AG1098">
        <v>-5</v>
      </c>
      <c r="AH1098" t="s">
        <v>117</v>
      </c>
      <c r="AI1098" t="s">
        <v>74</v>
      </c>
      <c r="AJ1098" t="s">
        <v>237</v>
      </c>
      <c r="AK1098" t="s">
        <v>383</v>
      </c>
      <c r="AL1098" t="s">
        <v>118</v>
      </c>
      <c r="AM1098" t="s">
        <v>78</v>
      </c>
      <c r="AN1098" t="s">
        <v>239</v>
      </c>
      <c r="AO1098" t="s">
        <v>119</v>
      </c>
      <c r="AP1098" t="e">
        <v>#N/A</v>
      </c>
      <c r="AQ1098" t="s">
        <v>383</v>
      </c>
      <c r="AR1098" t="str">
        <f t="shared" si="34"/>
        <v>60604025.MOBILAM</v>
      </c>
      <c r="AS1098">
        <f t="shared" si="35"/>
        <v>2244822.5599999996</v>
      </c>
      <c r="AT1098" t="s">
        <v>82</v>
      </c>
    </row>
    <row r="1099" spans="1:46" x14ac:dyDescent="0.35">
      <c r="A1099" t="s">
        <v>52</v>
      </c>
      <c r="B1099" t="s">
        <v>53</v>
      </c>
      <c r="C1099" t="s">
        <v>54</v>
      </c>
      <c r="D1099" t="s">
        <v>55</v>
      </c>
      <c r="E1099" t="s">
        <v>56</v>
      </c>
      <c r="F1099" t="s">
        <v>3553</v>
      </c>
      <c r="G1099" t="s">
        <v>3562</v>
      </c>
      <c r="H1099" t="s">
        <v>56</v>
      </c>
      <c r="I1099" t="s">
        <v>3563</v>
      </c>
      <c r="J1099" t="s">
        <v>61</v>
      </c>
      <c r="K1099" t="s">
        <v>62</v>
      </c>
      <c r="L1099" t="s">
        <v>56</v>
      </c>
      <c r="M1099" t="s">
        <v>56</v>
      </c>
      <c r="N1099" t="s">
        <v>477</v>
      </c>
      <c r="O1099" t="s">
        <v>245</v>
      </c>
      <c r="P1099" t="s">
        <v>246</v>
      </c>
      <c r="Q1099" t="s">
        <v>114</v>
      </c>
      <c r="R1099" t="s">
        <v>67</v>
      </c>
      <c r="T1099">
        <v>-2582734.44</v>
      </c>
      <c r="U1099" t="s">
        <v>68</v>
      </c>
      <c r="V1099" t="s">
        <v>3556</v>
      </c>
      <c r="W1099" s="9">
        <v>60604025</v>
      </c>
      <c r="X1099" t="s">
        <v>3564</v>
      </c>
      <c r="Y1099" s="1">
        <v>46053</v>
      </c>
      <c r="Z1099" s="1">
        <v>46083</v>
      </c>
      <c r="AA1099" s="2">
        <v>62213.14</v>
      </c>
      <c r="AB1099" s="2">
        <v>52723</v>
      </c>
      <c r="AC1099" s="2">
        <v>9490.14</v>
      </c>
      <c r="AD1099" s="2">
        <v>62213.14</v>
      </c>
      <c r="AE1099" t="s">
        <v>3565</v>
      </c>
      <c r="AF1099" t="s">
        <v>72</v>
      </c>
      <c r="AG1099">
        <v>-5</v>
      </c>
      <c r="AH1099" t="s">
        <v>117</v>
      </c>
      <c r="AI1099" t="s">
        <v>74</v>
      </c>
      <c r="AJ1099" t="s">
        <v>237</v>
      </c>
      <c r="AK1099" t="s">
        <v>383</v>
      </c>
      <c r="AL1099" t="s">
        <v>118</v>
      </c>
      <c r="AM1099" t="s">
        <v>78</v>
      </c>
      <c r="AN1099" t="s">
        <v>239</v>
      </c>
      <c r="AO1099" t="s">
        <v>119</v>
      </c>
      <c r="AP1099" t="e">
        <v>#N/A</v>
      </c>
      <c r="AQ1099" t="s">
        <v>383</v>
      </c>
      <c r="AR1099" t="str">
        <f t="shared" si="34"/>
        <v>60604025.MOBILAM</v>
      </c>
      <c r="AS1099">
        <f t="shared" si="35"/>
        <v>2244822.5599999996</v>
      </c>
      <c r="AT1099" t="s">
        <v>82</v>
      </c>
    </row>
    <row r="1100" spans="1:46" x14ac:dyDescent="0.35">
      <c r="A1100" t="s">
        <v>52</v>
      </c>
      <c r="B1100" t="s">
        <v>53</v>
      </c>
      <c r="C1100" t="s">
        <v>54</v>
      </c>
      <c r="D1100" t="s">
        <v>55</v>
      </c>
      <c r="E1100" t="s">
        <v>56</v>
      </c>
      <c r="F1100" t="s">
        <v>3553</v>
      </c>
      <c r="G1100" t="s">
        <v>3562</v>
      </c>
      <c r="H1100" t="s">
        <v>56</v>
      </c>
      <c r="I1100" t="s">
        <v>3563</v>
      </c>
      <c r="J1100" t="s">
        <v>61</v>
      </c>
      <c r="K1100" t="s">
        <v>62</v>
      </c>
      <c r="L1100" t="s">
        <v>56</v>
      </c>
      <c r="M1100" t="s">
        <v>56</v>
      </c>
      <c r="N1100" t="s">
        <v>497</v>
      </c>
      <c r="O1100" t="s">
        <v>245</v>
      </c>
      <c r="P1100" t="s">
        <v>246</v>
      </c>
      <c r="Q1100" t="s">
        <v>114</v>
      </c>
      <c r="R1100" t="s">
        <v>67</v>
      </c>
      <c r="T1100">
        <v>-2582734.44</v>
      </c>
      <c r="U1100" t="s">
        <v>68</v>
      </c>
      <c r="V1100" t="s">
        <v>3556</v>
      </c>
      <c r="W1100" s="9">
        <v>60604025</v>
      </c>
      <c r="X1100" t="s">
        <v>3564</v>
      </c>
      <c r="Y1100" s="1">
        <v>46053</v>
      </c>
      <c r="Z1100" s="1">
        <v>46083</v>
      </c>
      <c r="AA1100" s="2">
        <v>456369.72</v>
      </c>
      <c r="AB1100" s="2">
        <v>386754</v>
      </c>
      <c r="AC1100" s="2">
        <v>69615.72</v>
      </c>
      <c r="AD1100" s="2">
        <v>456369.72</v>
      </c>
      <c r="AE1100" t="s">
        <v>3566</v>
      </c>
      <c r="AF1100" t="s">
        <v>72</v>
      </c>
      <c r="AG1100">
        <v>-5</v>
      </c>
      <c r="AH1100" t="s">
        <v>117</v>
      </c>
      <c r="AI1100" t="s">
        <v>74</v>
      </c>
      <c r="AJ1100" t="s">
        <v>237</v>
      </c>
      <c r="AK1100" t="s">
        <v>383</v>
      </c>
      <c r="AL1100" t="s">
        <v>118</v>
      </c>
      <c r="AM1100" t="s">
        <v>78</v>
      </c>
      <c r="AN1100" t="s">
        <v>239</v>
      </c>
      <c r="AO1100" t="s">
        <v>119</v>
      </c>
      <c r="AP1100" t="e">
        <v>#N/A</v>
      </c>
      <c r="AQ1100" t="s">
        <v>383</v>
      </c>
      <c r="AR1100" t="str">
        <f t="shared" si="34"/>
        <v>60604025.MOBILAM</v>
      </c>
      <c r="AS1100">
        <f t="shared" si="35"/>
        <v>2244822.5599999996</v>
      </c>
      <c r="AT1100" t="s">
        <v>82</v>
      </c>
    </row>
    <row r="1101" spans="1:46" x14ac:dyDescent="0.35">
      <c r="A1101" t="s">
        <v>52</v>
      </c>
      <c r="B1101" t="s">
        <v>53</v>
      </c>
      <c r="C1101" t="s">
        <v>54</v>
      </c>
      <c r="D1101" t="s">
        <v>55</v>
      </c>
      <c r="E1101" t="s">
        <v>56</v>
      </c>
      <c r="F1101" t="s">
        <v>3553</v>
      </c>
      <c r="G1101" t="s">
        <v>3562</v>
      </c>
      <c r="H1101" t="s">
        <v>56</v>
      </c>
      <c r="I1101" t="s">
        <v>3563</v>
      </c>
      <c r="J1101" t="s">
        <v>61</v>
      </c>
      <c r="K1101" t="s">
        <v>62</v>
      </c>
      <c r="L1101" t="s">
        <v>56</v>
      </c>
      <c r="M1101" t="s">
        <v>56</v>
      </c>
      <c r="N1101" t="s">
        <v>1214</v>
      </c>
      <c r="O1101" t="s">
        <v>245</v>
      </c>
      <c r="P1101" t="s">
        <v>246</v>
      </c>
      <c r="Q1101" t="s">
        <v>114</v>
      </c>
      <c r="R1101" t="s">
        <v>67</v>
      </c>
      <c r="T1101">
        <v>-2582734.44</v>
      </c>
      <c r="U1101" t="s">
        <v>68</v>
      </c>
      <c r="V1101" t="s">
        <v>3556</v>
      </c>
      <c r="W1101" s="9">
        <v>60604025</v>
      </c>
      <c r="X1101" t="s">
        <v>3564</v>
      </c>
      <c r="Y1101" s="1">
        <v>46053</v>
      </c>
      <c r="Z1101" s="1">
        <v>46083</v>
      </c>
      <c r="AA1101" s="2">
        <v>383471.68</v>
      </c>
      <c r="AB1101" s="2">
        <v>324976</v>
      </c>
      <c r="AC1101" s="2">
        <v>58495.68</v>
      </c>
      <c r="AD1101" s="2">
        <v>383471.68</v>
      </c>
      <c r="AE1101" t="s">
        <v>3567</v>
      </c>
      <c r="AF1101" t="s">
        <v>72</v>
      </c>
      <c r="AG1101">
        <v>-5</v>
      </c>
      <c r="AH1101" t="s">
        <v>117</v>
      </c>
      <c r="AI1101" t="s">
        <v>74</v>
      </c>
      <c r="AJ1101" t="s">
        <v>237</v>
      </c>
      <c r="AK1101" t="s">
        <v>383</v>
      </c>
      <c r="AL1101" t="s">
        <v>118</v>
      </c>
      <c r="AM1101" t="s">
        <v>78</v>
      </c>
      <c r="AN1101" t="s">
        <v>239</v>
      </c>
      <c r="AO1101" t="s">
        <v>119</v>
      </c>
      <c r="AP1101" t="e">
        <v>#N/A</v>
      </c>
      <c r="AQ1101" t="s">
        <v>383</v>
      </c>
      <c r="AR1101" t="str">
        <f t="shared" si="34"/>
        <v>60604025.MOBILAM</v>
      </c>
      <c r="AS1101">
        <f t="shared" si="35"/>
        <v>2244822.5599999996</v>
      </c>
      <c r="AT1101" t="s">
        <v>82</v>
      </c>
    </row>
    <row r="1102" spans="1:46" x14ac:dyDescent="0.35">
      <c r="A1102" t="s">
        <v>52</v>
      </c>
      <c r="B1102" t="s">
        <v>53</v>
      </c>
      <c r="C1102" t="s">
        <v>54</v>
      </c>
      <c r="D1102" t="s">
        <v>55</v>
      </c>
      <c r="E1102" t="s">
        <v>56</v>
      </c>
      <c r="F1102" t="s">
        <v>3553</v>
      </c>
      <c r="G1102" t="s">
        <v>3562</v>
      </c>
      <c r="H1102" t="s">
        <v>56</v>
      </c>
      <c r="I1102" t="s">
        <v>3568</v>
      </c>
      <c r="J1102" t="s">
        <v>61</v>
      </c>
      <c r="K1102" t="s">
        <v>62</v>
      </c>
      <c r="L1102" t="s">
        <v>56</v>
      </c>
      <c r="M1102" t="s">
        <v>56</v>
      </c>
      <c r="N1102" t="s">
        <v>1214</v>
      </c>
      <c r="O1102" t="s">
        <v>245</v>
      </c>
      <c r="P1102" t="s">
        <v>246</v>
      </c>
      <c r="Q1102" t="s">
        <v>114</v>
      </c>
      <c r="R1102" t="s">
        <v>67</v>
      </c>
      <c r="T1102">
        <v>-2582734.44</v>
      </c>
      <c r="U1102" t="s">
        <v>68</v>
      </c>
      <c r="V1102" t="s">
        <v>3556</v>
      </c>
      <c r="W1102" s="9">
        <v>60604025</v>
      </c>
      <c r="X1102" t="s">
        <v>3569</v>
      </c>
      <c r="Y1102" s="1">
        <v>46055</v>
      </c>
      <c r="Z1102" s="1">
        <v>46085</v>
      </c>
      <c r="AA1102" s="2">
        <v>584697.07999999996</v>
      </c>
      <c r="AB1102" s="2">
        <v>495506</v>
      </c>
      <c r="AC1102" s="2">
        <v>89191.08</v>
      </c>
      <c r="AD1102" s="2">
        <v>584697.07999999996</v>
      </c>
      <c r="AE1102" t="s">
        <v>3570</v>
      </c>
      <c r="AF1102" t="s">
        <v>72</v>
      </c>
      <c r="AG1102">
        <v>-7</v>
      </c>
      <c r="AH1102" t="s">
        <v>117</v>
      </c>
      <c r="AI1102" t="s">
        <v>74</v>
      </c>
      <c r="AJ1102" t="s">
        <v>237</v>
      </c>
      <c r="AK1102" t="s">
        <v>383</v>
      </c>
      <c r="AL1102" t="s">
        <v>118</v>
      </c>
      <c r="AM1102" t="s">
        <v>78</v>
      </c>
      <c r="AN1102" t="s">
        <v>239</v>
      </c>
      <c r="AO1102" t="s">
        <v>119</v>
      </c>
      <c r="AP1102" t="e">
        <v>#N/A</v>
      </c>
      <c r="AQ1102" t="s">
        <v>383</v>
      </c>
      <c r="AR1102" t="str">
        <f t="shared" si="34"/>
        <v>60604025.MOBILAM</v>
      </c>
      <c r="AS1102">
        <f t="shared" si="35"/>
        <v>2244822.5599999996</v>
      </c>
      <c r="AT1102" t="s">
        <v>82</v>
      </c>
    </row>
    <row r="1103" spans="1:46" x14ac:dyDescent="0.35">
      <c r="A1103" t="s">
        <v>52</v>
      </c>
      <c r="B1103" t="s">
        <v>53</v>
      </c>
      <c r="C1103" t="s">
        <v>54</v>
      </c>
      <c r="D1103" t="s">
        <v>55</v>
      </c>
      <c r="E1103" t="s">
        <v>56</v>
      </c>
      <c r="F1103" t="s">
        <v>3571</v>
      </c>
      <c r="G1103" t="s">
        <v>3572</v>
      </c>
      <c r="H1103" t="s">
        <v>56</v>
      </c>
      <c r="I1103" t="s">
        <v>3573</v>
      </c>
      <c r="J1103" t="s">
        <v>61</v>
      </c>
      <c r="K1103" t="s">
        <v>62</v>
      </c>
      <c r="L1103" t="s">
        <v>56</v>
      </c>
      <c r="M1103" t="s">
        <v>56</v>
      </c>
      <c r="N1103" t="s">
        <v>1214</v>
      </c>
      <c r="O1103" t="s">
        <v>245</v>
      </c>
      <c r="P1103" t="s">
        <v>246</v>
      </c>
      <c r="Q1103" t="s">
        <v>393</v>
      </c>
      <c r="R1103" t="s">
        <v>248</v>
      </c>
      <c r="S1103">
        <v>4000000</v>
      </c>
      <c r="T1103">
        <v>3718644.34</v>
      </c>
      <c r="U1103" t="s">
        <v>68</v>
      </c>
      <c r="V1103" t="s">
        <v>3574</v>
      </c>
      <c r="W1103" s="9">
        <v>60601627</v>
      </c>
      <c r="X1103" t="s">
        <v>3575</v>
      </c>
      <c r="Y1103" s="1">
        <v>46056</v>
      </c>
      <c r="Z1103" s="1">
        <v>46116</v>
      </c>
      <c r="AA1103" s="2">
        <v>281355.65999999997</v>
      </c>
      <c r="AB1103" s="2">
        <v>238437</v>
      </c>
      <c r="AC1103" s="2">
        <v>42918.66</v>
      </c>
      <c r="AD1103" s="2">
        <v>281355.65999999997</v>
      </c>
      <c r="AE1103" t="s">
        <v>3576</v>
      </c>
      <c r="AF1103" t="s">
        <v>72</v>
      </c>
      <c r="AG1103">
        <v>-38</v>
      </c>
      <c r="AH1103" t="s">
        <v>117</v>
      </c>
      <c r="AI1103" t="s">
        <v>74</v>
      </c>
      <c r="AJ1103" t="s">
        <v>237</v>
      </c>
      <c r="AK1103" t="s">
        <v>383</v>
      </c>
      <c r="AL1103" t="s">
        <v>118</v>
      </c>
      <c r="AM1103" t="s">
        <v>78</v>
      </c>
      <c r="AN1103" t="s">
        <v>239</v>
      </c>
      <c r="AO1103" t="s">
        <v>119</v>
      </c>
      <c r="AP1103" t="e">
        <v>#N/A</v>
      </c>
      <c r="AQ1103" t="s">
        <v>383</v>
      </c>
      <c r="AR1103" t="str">
        <f t="shared" si="34"/>
        <v>60601627.MOBILAM</v>
      </c>
      <c r="AS1103">
        <f t="shared" si="35"/>
        <v>281355.65999999997</v>
      </c>
      <c r="AT1103" t="s">
        <v>82</v>
      </c>
    </row>
    <row r="1104" spans="1:46" x14ac:dyDescent="0.35">
      <c r="A1104" t="s">
        <v>52</v>
      </c>
      <c r="B1104" t="s">
        <v>53</v>
      </c>
      <c r="C1104" t="s">
        <v>54</v>
      </c>
      <c r="D1104" t="s">
        <v>55</v>
      </c>
      <c r="E1104" t="s">
        <v>56</v>
      </c>
      <c r="F1104" t="s">
        <v>3577</v>
      </c>
      <c r="G1104" t="s">
        <v>3578</v>
      </c>
      <c r="H1104" t="s">
        <v>153</v>
      </c>
      <c r="I1104" t="s">
        <v>3579</v>
      </c>
      <c r="J1104" t="s">
        <v>56</v>
      </c>
      <c r="K1104" t="s">
        <v>640</v>
      </c>
      <c r="L1104" t="s">
        <v>56</v>
      </c>
      <c r="M1104" t="s">
        <v>56</v>
      </c>
      <c r="N1104" t="s">
        <v>155</v>
      </c>
      <c r="O1104" t="s">
        <v>3580</v>
      </c>
      <c r="P1104" t="s">
        <v>3581</v>
      </c>
      <c r="Q1104" t="s">
        <v>114</v>
      </c>
      <c r="R1104" t="s">
        <v>232</v>
      </c>
      <c r="T1104">
        <v>-23954000.170000002</v>
      </c>
      <c r="U1104" t="s">
        <v>68</v>
      </c>
      <c r="V1104" t="s">
        <v>3582</v>
      </c>
      <c r="W1104" s="9">
        <v>60604410</v>
      </c>
      <c r="X1104" t="s">
        <v>3583</v>
      </c>
      <c r="Y1104" s="1">
        <v>46014</v>
      </c>
      <c r="Z1104" s="1">
        <v>46127</v>
      </c>
      <c r="AA1104" s="2">
        <v>1078358.58</v>
      </c>
      <c r="AB1104" s="2">
        <v>913863.2</v>
      </c>
      <c r="AC1104" s="2">
        <v>164495.38</v>
      </c>
      <c r="AD1104" s="2">
        <v>1078358.58</v>
      </c>
      <c r="AE1104" t="s">
        <v>3584</v>
      </c>
      <c r="AF1104" t="s">
        <v>72</v>
      </c>
      <c r="AG1104">
        <v>-49</v>
      </c>
      <c r="AH1104" t="s">
        <v>117</v>
      </c>
      <c r="AI1104" t="s">
        <v>74</v>
      </c>
      <c r="AJ1104" t="s">
        <v>75</v>
      </c>
      <c r="AK1104" t="s">
        <v>102</v>
      </c>
      <c r="AL1104" t="s">
        <v>118</v>
      </c>
      <c r="AM1104" t="s">
        <v>103</v>
      </c>
      <c r="AN1104" t="s">
        <v>104</v>
      </c>
      <c r="AO1104" t="s">
        <v>119</v>
      </c>
      <c r="AP1104" t="e">
        <v>#N/A</v>
      </c>
      <c r="AQ1104" t="s">
        <v>105</v>
      </c>
      <c r="AR1104" t="str">
        <f t="shared" si="34"/>
        <v>60604410.STATEQ</v>
      </c>
      <c r="AS1104">
        <f t="shared" si="35"/>
        <v>8024000.1700000009</v>
      </c>
      <c r="AT1104" t="s">
        <v>82</v>
      </c>
    </row>
    <row r="1105" spans="1:46" x14ac:dyDescent="0.35">
      <c r="A1105" t="s">
        <v>52</v>
      </c>
      <c r="B1105" t="s">
        <v>53</v>
      </c>
      <c r="C1105" t="s">
        <v>54</v>
      </c>
      <c r="D1105" t="s">
        <v>55</v>
      </c>
      <c r="E1105" t="s">
        <v>56</v>
      </c>
      <c r="F1105" t="s">
        <v>3577</v>
      </c>
      <c r="G1105" t="s">
        <v>3585</v>
      </c>
      <c r="H1105" t="s">
        <v>111</v>
      </c>
      <c r="I1105" t="s">
        <v>3586</v>
      </c>
      <c r="J1105" t="s">
        <v>56</v>
      </c>
      <c r="K1105" t="s">
        <v>640</v>
      </c>
      <c r="L1105" t="s">
        <v>56</v>
      </c>
      <c r="M1105" t="s">
        <v>56</v>
      </c>
      <c r="N1105" t="s">
        <v>174</v>
      </c>
      <c r="O1105" t="s">
        <v>3580</v>
      </c>
      <c r="P1105" t="s">
        <v>3581</v>
      </c>
      <c r="Q1105" t="s">
        <v>114</v>
      </c>
      <c r="R1105" t="s">
        <v>232</v>
      </c>
      <c r="T1105">
        <v>-23954000.170000002</v>
      </c>
      <c r="U1105" t="s">
        <v>68</v>
      </c>
      <c r="V1105" t="s">
        <v>3582</v>
      </c>
      <c r="W1105" s="9">
        <v>60604410</v>
      </c>
      <c r="X1105" t="s">
        <v>3587</v>
      </c>
      <c r="Y1105" s="1">
        <v>46014</v>
      </c>
      <c r="Z1105" s="1">
        <v>46127</v>
      </c>
      <c r="AA1105" s="2">
        <v>590000</v>
      </c>
      <c r="AB1105" s="2">
        <v>500000</v>
      </c>
      <c r="AC1105" s="2">
        <v>90000</v>
      </c>
      <c r="AD1105" s="2">
        <v>590000</v>
      </c>
      <c r="AE1105" t="s">
        <v>3588</v>
      </c>
      <c r="AF1105" t="s">
        <v>72</v>
      </c>
      <c r="AG1105">
        <v>-49</v>
      </c>
      <c r="AH1105" t="s">
        <v>117</v>
      </c>
      <c r="AI1105" t="s">
        <v>74</v>
      </c>
      <c r="AJ1105" t="s">
        <v>127</v>
      </c>
      <c r="AK1105" t="s">
        <v>128</v>
      </c>
      <c r="AL1105" t="s">
        <v>118</v>
      </c>
      <c r="AM1105" t="s">
        <v>103</v>
      </c>
      <c r="AN1105" t="s">
        <v>104</v>
      </c>
      <c r="AO1105" t="s">
        <v>119</v>
      </c>
      <c r="AP1105" t="e">
        <v>#N/A</v>
      </c>
      <c r="AQ1105" t="s">
        <v>129</v>
      </c>
      <c r="AR1105" t="str">
        <f t="shared" si="34"/>
        <v>60604410.SPMINEQ</v>
      </c>
      <c r="AS1105">
        <f t="shared" si="35"/>
        <v>590000</v>
      </c>
      <c r="AT1105" t="s">
        <v>82</v>
      </c>
    </row>
    <row r="1106" spans="1:46" x14ac:dyDescent="0.35">
      <c r="A1106" t="s">
        <v>52</v>
      </c>
      <c r="B1106" t="s">
        <v>53</v>
      </c>
      <c r="C1106" t="s">
        <v>54</v>
      </c>
      <c r="D1106" t="s">
        <v>55</v>
      </c>
      <c r="E1106" t="s">
        <v>56</v>
      </c>
      <c r="F1106" t="s">
        <v>3577</v>
      </c>
      <c r="G1106" t="s">
        <v>3578</v>
      </c>
      <c r="H1106" t="s">
        <v>111</v>
      </c>
      <c r="I1106" t="s">
        <v>3589</v>
      </c>
      <c r="J1106" t="s">
        <v>56</v>
      </c>
      <c r="K1106" t="s">
        <v>640</v>
      </c>
      <c r="L1106" t="s">
        <v>56</v>
      </c>
      <c r="M1106" t="s">
        <v>56</v>
      </c>
      <c r="N1106" t="s">
        <v>3590</v>
      </c>
      <c r="O1106" t="s">
        <v>3580</v>
      </c>
      <c r="P1106" t="s">
        <v>3581</v>
      </c>
      <c r="Q1106" t="s">
        <v>114</v>
      </c>
      <c r="R1106" t="s">
        <v>232</v>
      </c>
      <c r="T1106">
        <v>-23954000.170000002</v>
      </c>
      <c r="U1106" t="s">
        <v>68</v>
      </c>
      <c r="V1106" t="s">
        <v>3582</v>
      </c>
      <c r="W1106" s="9">
        <v>60604410</v>
      </c>
      <c r="X1106" t="s">
        <v>3591</v>
      </c>
      <c r="Y1106" s="1">
        <v>46014</v>
      </c>
      <c r="Z1106" s="1">
        <v>46127</v>
      </c>
      <c r="AA1106" s="2">
        <v>4100142.55</v>
      </c>
      <c r="AB1106" s="2">
        <v>3474697.08</v>
      </c>
      <c r="AC1106" s="2">
        <v>625445.47</v>
      </c>
      <c r="AD1106" s="2">
        <v>4100142.55</v>
      </c>
      <c r="AE1106" t="s">
        <v>3592</v>
      </c>
      <c r="AF1106" t="s">
        <v>72</v>
      </c>
      <c r="AG1106">
        <v>-49</v>
      </c>
      <c r="AH1106" t="s">
        <v>117</v>
      </c>
      <c r="AI1106" t="s">
        <v>74</v>
      </c>
      <c r="AJ1106" t="s">
        <v>237</v>
      </c>
      <c r="AK1106" t="s">
        <v>238</v>
      </c>
      <c r="AL1106" t="s">
        <v>118</v>
      </c>
      <c r="AM1106" t="s">
        <v>103</v>
      </c>
      <c r="AN1106" t="s">
        <v>104</v>
      </c>
      <c r="AO1106" t="s">
        <v>119</v>
      </c>
      <c r="AP1106" t="e">
        <v>#N/A</v>
      </c>
      <c r="AQ1106" t="s">
        <v>238</v>
      </c>
      <c r="AR1106" t="str">
        <f t="shared" si="34"/>
        <v>60604410.MOBILEQ</v>
      </c>
      <c r="AS1106">
        <f t="shared" si="35"/>
        <v>15340000</v>
      </c>
      <c r="AT1106" t="s">
        <v>82</v>
      </c>
    </row>
    <row r="1107" spans="1:46" x14ac:dyDescent="0.35">
      <c r="A1107" t="s">
        <v>52</v>
      </c>
      <c r="B1107" t="s">
        <v>53</v>
      </c>
      <c r="C1107" t="s">
        <v>54</v>
      </c>
      <c r="D1107" t="s">
        <v>55</v>
      </c>
      <c r="E1107" t="s">
        <v>56</v>
      </c>
      <c r="F1107" t="s">
        <v>3577</v>
      </c>
      <c r="G1107" t="s">
        <v>3578</v>
      </c>
      <c r="H1107" t="s">
        <v>111</v>
      </c>
      <c r="I1107" t="s">
        <v>3589</v>
      </c>
      <c r="J1107" t="s">
        <v>56</v>
      </c>
      <c r="K1107" t="s">
        <v>640</v>
      </c>
      <c r="L1107" t="s">
        <v>56</v>
      </c>
      <c r="M1107" t="s">
        <v>56</v>
      </c>
      <c r="N1107" t="s">
        <v>229</v>
      </c>
      <c r="O1107" t="s">
        <v>3580</v>
      </c>
      <c r="P1107" t="s">
        <v>3581</v>
      </c>
      <c r="Q1107" t="s">
        <v>114</v>
      </c>
      <c r="R1107" t="s">
        <v>232</v>
      </c>
      <c r="T1107">
        <v>-23954000.170000002</v>
      </c>
      <c r="U1107" t="s">
        <v>68</v>
      </c>
      <c r="V1107" t="s">
        <v>3582</v>
      </c>
      <c r="W1107" s="9">
        <v>60604410</v>
      </c>
      <c r="X1107" t="s">
        <v>3591</v>
      </c>
      <c r="Y1107" s="1">
        <v>46014</v>
      </c>
      <c r="Z1107" s="1">
        <v>46127</v>
      </c>
      <c r="AA1107" s="2">
        <v>11239857.449999999</v>
      </c>
      <c r="AB1107" s="2">
        <v>9525302.9199999999</v>
      </c>
      <c r="AC1107" s="2">
        <v>1714554.53</v>
      </c>
      <c r="AD1107" s="2">
        <v>11239857.449999999</v>
      </c>
      <c r="AE1107" t="s">
        <v>3593</v>
      </c>
      <c r="AF1107" t="s">
        <v>72</v>
      </c>
      <c r="AG1107">
        <v>-49</v>
      </c>
      <c r="AH1107" t="s">
        <v>117</v>
      </c>
      <c r="AI1107" t="s">
        <v>74</v>
      </c>
      <c r="AJ1107" t="s">
        <v>237</v>
      </c>
      <c r="AK1107" t="s">
        <v>238</v>
      </c>
      <c r="AL1107" t="s">
        <v>118</v>
      </c>
      <c r="AM1107" t="s">
        <v>103</v>
      </c>
      <c r="AN1107" t="s">
        <v>104</v>
      </c>
      <c r="AO1107" t="s">
        <v>119</v>
      </c>
      <c r="AP1107" t="e">
        <v>#N/A</v>
      </c>
      <c r="AQ1107" t="s">
        <v>238</v>
      </c>
      <c r="AR1107" t="str">
        <f t="shared" si="34"/>
        <v>60604410.MOBILEQ</v>
      </c>
      <c r="AS1107">
        <f t="shared" si="35"/>
        <v>15340000</v>
      </c>
      <c r="AT1107" t="s">
        <v>82</v>
      </c>
    </row>
    <row r="1108" spans="1:46" x14ac:dyDescent="0.35">
      <c r="A1108" t="s">
        <v>52</v>
      </c>
      <c r="B1108" t="s">
        <v>53</v>
      </c>
      <c r="C1108" t="s">
        <v>54</v>
      </c>
      <c r="D1108" t="s">
        <v>55</v>
      </c>
      <c r="E1108" t="s">
        <v>56</v>
      </c>
      <c r="F1108" t="s">
        <v>3577</v>
      </c>
      <c r="G1108" t="s">
        <v>3578</v>
      </c>
      <c r="H1108" t="s">
        <v>153</v>
      </c>
      <c r="I1108" t="s">
        <v>3579</v>
      </c>
      <c r="J1108" t="s">
        <v>56</v>
      </c>
      <c r="K1108" t="s">
        <v>640</v>
      </c>
      <c r="L1108" t="s">
        <v>56</v>
      </c>
      <c r="M1108" t="s">
        <v>56</v>
      </c>
      <c r="N1108" t="s">
        <v>155</v>
      </c>
      <c r="O1108" t="s">
        <v>3580</v>
      </c>
      <c r="P1108" t="s">
        <v>3581</v>
      </c>
      <c r="Q1108" t="s">
        <v>114</v>
      </c>
      <c r="R1108" t="s">
        <v>232</v>
      </c>
      <c r="T1108">
        <v>-23954000.170000002</v>
      </c>
      <c r="U1108" t="s">
        <v>68</v>
      </c>
      <c r="V1108" t="s">
        <v>3582</v>
      </c>
      <c r="W1108" s="9">
        <v>60604410</v>
      </c>
      <c r="X1108" t="s">
        <v>3594</v>
      </c>
      <c r="Y1108" s="1">
        <v>46015</v>
      </c>
      <c r="Z1108" s="1">
        <v>46127</v>
      </c>
      <c r="AA1108" s="2">
        <v>1360389.37</v>
      </c>
      <c r="AB1108" s="2">
        <v>1152872.3500000001</v>
      </c>
      <c r="AC1108" s="2">
        <v>207517.02</v>
      </c>
      <c r="AD1108" s="2">
        <v>1360389.37</v>
      </c>
      <c r="AE1108" t="s">
        <v>3595</v>
      </c>
      <c r="AF1108" t="s">
        <v>72</v>
      </c>
      <c r="AG1108">
        <v>-49</v>
      </c>
      <c r="AH1108" t="s">
        <v>117</v>
      </c>
      <c r="AI1108" t="s">
        <v>74</v>
      </c>
      <c r="AJ1108" t="s">
        <v>75</v>
      </c>
      <c r="AK1108" t="s">
        <v>102</v>
      </c>
      <c r="AL1108" t="s">
        <v>118</v>
      </c>
      <c r="AM1108" t="s">
        <v>103</v>
      </c>
      <c r="AN1108" t="s">
        <v>104</v>
      </c>
      <c r="AO1108" t="s">
        <v>119</v>
      </c>
      <c r="AP1108" t="e">
        <v>#N/A</v>
      </c>
      <c r="AQ1108" t="s">
        <v>105</v>
      </c>
      <c r="AR1108" t="str">
        <f t="shared" si="34"/>
        <v>60604410.STATEQ</v>
      </c>
      <c r="AS1108">
        <f t="shared" si="35"/>
        <v>8024000.1700000009</v>
      </c>
      <c r="AT1108" t="s">
        <v>82</v>
      </c>
    </row>
    <row r="1109" spans="1:46" x14ac:dyDescent="0.35">
      <c r="A1109" t="s">
        <v>52</v>
      </c>
      <c r="B1109" t="s">
        <v>53</v>
      </c>
      <c r="C1109" t="s">
        <v>54</v>
      </c>
      <c r="D1109" t="s">
        <v>55</v>
      </c>
      <c r="E1109" t="s">
        <v>56</v>
      </c>
      <c r="F1109" t="s">
        <v>3577</v>
      </c>
      <c r="G1109" t="s">
        <v>3578</v>
      </c>
      <c r="H1109" t="s">
        <v>153</v>
      </c>
      <c r="I1109" t="s">
        <v>3579</v>
      </c>
      <c r="J1109" t="s">
        <v>56</v>
      </c>
      <c r="K1109" t="s">
        <v>640</v>
      </c>
      <c r="L1109" t="s">
        <v>56</v>
      </c>
      <c r="M1109" t="s">
        <v>56</v>
      </c>
      <c r="N1109" t="s">
        <v>155</v>
      </c>
      <c r="O1109" t="s">
        <v>3580</v>
      </c>
      <c r="P1109" t="s">
        <v>3581</v>
      </c>
      <c r="Q1109" t="s">
        <v>114</v>
      </c>
      <c r="R1109" t="s">
        <v>232</v>
      </c>
      <c r="T1109">
        <v>-23954000.170000002</v>
      </c>
      <c r="U1109" t="s">
        <v>68</v>
      </c>
      <c r="V1109" t="s">
        <v>3582</v>
      </c>
      <c r="W1109" s="9">
        <v>60604410</v>
      </c>
      <c r="X1109" t="s">
        <v>3596</v>
      </c>
      <c r="Y1109" s="1">
        <v>46021</v>
      </c>
      <c r="Z1109" s="1">
        <v>46127</v>
      </c>
      <c r="AA1109" s="2">
        <v>411489.19</v>
      </c>
      <c r="AB1109" s="2">
        <v>348719.66</v>
      </c>
      <c r="AC1109" s="2">
        <v>62769.54</v>
      </c>
      <c r="AD1109" s="2">
        <v>411489.19</v>
      </c>
      <c r="AE1109" t="s">
        <v>3597</v>
      </c>
      <c r="AF1109" t="s">
        <v>72</v>
      </c>
      <c r="AG1109">
        <v>-49</v>
      </c>
      <c r="AH1109" t="s">
        <v>117</v>
      </c>
      <c r="AI1109" t="s">
        <v>74</v>
      </c>
      <c r="AJ1109" t="s">
        <v>75</v>
      </c>
      <c r="AK1109" t="s">
        <v>102</v>
      </c>
      <c r="AL1109" t="s">
        <v>118</v>
      </c>
      <c r="AM1109" t="s">
        <v>103</v>
      </c>
      <c r="AN1109" t="s">
        <v>104</v>
      </c>
      <c r="AO1109" t="s">
        <v>119</v>
      </c>
      <c r="AP1109" t="e">
        <v>#N/A</v>
      </c>
      <c r="AQ1109" t="s">
        <v>105</v>
      </c>
      <c r="AR1109" t="str">
        <f t="shared" si="34"/>
        <v>60604410.STATEQ</v>
      </c>
      <c r="AS1109">
        <f t="shared" si="35"/>
        <v>8024000.1700000009</v>
      </c>
      <c r="AT1109" t="s">
        <v>82</v>
      </c>
    </row>
    <row r="1110" spans="1:46" x14ac:dyDescent="0.35">
      <c r="A1110" t="s">
        <v>52</v>
      </c>
      <c r="B1110" t="s">
        <v>53</v>
      </c>
      <c r="C1110" t="s">
        <v>54</v>
      </c>
      <c r="D1110" t="s">
        <v>55</v>
      </c>
      <c r="E1110" t="s">
        <v>56</v>
      </c>
      <c r="F1110" t="s">
        <v>3577</v>
      </c>
      <c r="G1110" t="s">
        <v>3578</v>
      </c>
      <c r="H1110" t="s">
        <v>153</v>
      </c>
      <c r="I1110" t="s">
        <v>3579</v>
      </c>
      <c r="J1110" t="s">
        <v>56</v>
      </c>
      <c r="K1110" t="s">
        <v>640</v>
      </c>
      <c r="L1110" t="s">
        <v>56</v>
      </c>
      <c r="M1110" t="s">
        <v>56</v>
      </c>
      <c r="N1110" t="s">
        <v>593</v>
      </c>
      <c r="O1110" t="s">
        <v>3580</v>
      </c>
      <c r="P1110" t="s">
        <v>3581</v>
      </c>
      <c r="Q1110" t="s">
        <v>114</v>
      </c>
      <c r="R1110" t="s">
        <v>232</v>
      </c>
      <c r="T1110">
        <v>-23954000.170000002</v>
      </c>
      <c r="U1110" t="s">
        <v>68</v>
      </c>
      <c r="V1110" t="s">
        <v>3582</v>
      </c>
      <c r="W1110" s="9">
        <v>60604410</v>
      </c>
      <c r="X1110" t="s">
        <v>3596</v>
      </c>
      <c r="Y1110" s="1">
        <v>46021</v>
      </c>
      <c r="Z1110" s="1">
        <v>46127</v>
      </c>
      <c r="AA1110" s="2">
        <v>215031.56</v>
      </c>
      <c r="AB1110" s="2">
        <v>182230.13</v>
      </c>
      <c r="AC1110" s="2">
        <v>32801.42</v>
      </c>
      <c r="AD1110" s="2">
        <v>215031.56</v>
      </c>
      <c r="AE1110" t="s">
        <v>3598</v>
      </c>
      <c r="AF1110" t="s">
        <v>72</v>
      </c>
      <c r="AG1110">
        <v>-49</v>
      </c>
      <c r="AH1110" t="s">
        <v>117</v>
      </c>
      <c r="AI1110" t="s">
        <v>74</v>
      </c>
      <c r="AJ1110" t="s">
        <v>75</v>
      </c>
      <c r="AK1110" t="s">
        <v>102</v>
      </c>
      <c r="AL1110" t="s">
        <v>118</v>
      </c>
      <c r="AM1110" t="s">
        <v>103</v>
      </c>
      <c r="AN1110" t="s">
        <v>104</v>
      </c>
      <c r="AO1110" t="s">
        <v>119</v>
      </c>
      <c r="AP1110" t="e">
        <v>#N/A</v>
      </c>
      <c r="AQ1110" t="s">
        <v>105</v>
      </c>
      <c r="AR1110" t="str">
        <f t="shared" si="34"/>
        <v>60604410.STATEQ</v>
      </c>
      <c r="AS1110">
        <f t="shared" si="35"/>
        <v>8024000.1700000009</v>
      </c>
      <c r="AT1110" t="s">
        <v>82</v>
      </c>
    </row>
    <row r="1111" spans="1:46" x14ac:dyDescent="0.35">
      <c r="A1111" t="s">
        <v>52</v>
      </c>
      <c r="B1111" t="s">
        <v>53</v>
      </c>
      <c r="C1111" t="s">
        <v>54</v>
      </c>
      <c r="D1111" t="s">
        <v>55</v>
      </c>
      <c r="E1111" t="s">
        <v>56</v>
      </c>
      <c r="F1111" t="s">
        <v>3577</v>
      </c>
      <c r="G1111" t="s">
        <v>3578</v>
      </c>
      <c r="H1111" t="s">
        <v>153</v>
      </c>
      <c r="I1111" t="s">
        <v>3579</v>
      </c>
      <c r="J1111" t="s">
        <v>56</v>
      </c>
      <c r="K1111" t="s">
        <v>640</v>
      </c>
      <c r="L1111" t="s">
        <v>56</v>
      </c>
      <c r="M1111" t="s">
        <v>56</v>
      </c>
      <c r="N1111" t="s">
        <v>155</v>
      </c>
      <c r="O1111" t="s">
        <v>3580</v>
      </c>
      <c r="P1111" t="s">
        <v>3581</v>
      </c>
      <c r="Q1111" t="s">
        <v>114</v>
      </c>
      <c r="R1111" t="s">
        <v>232</v>
      </c>
      <c r="T1111">
        <v>-23954000.170000002</v>
      </c>
      <c r="U1111" t="s">
        <v>68</v>
      </c>
      <c r="V1111" t="s">
        <v>3582</v>
      </c>
      <c r="W1111" s="9">
        <v>60604410</v>
      </c>
      <c r="X1111" t="s">
        <v>3599</v>
      </c>
      <c r="Y1111" s="1">
        <v>46021</v>
      </c>
      <c r="Z1111" s="1">
        <v>46127</v>
      </c>
      <c r="AA1111" s="2">
        <v>2316841.27</v>
      </c>
      <c r="AB1111" s="2">
        <v>1963424.8</v>
      </c>
      <c r="AC1111" s="2">
        <v>353416.47</v>
      </c>
      <c r="AD1111" s="2">
        <v>2316841.27</v>
      </c>
      <c r="AE1111" t="s">
        <v>3600</v>
      </c>
      <c r="AF1111" t="s">
        <v>72</v>
      </c>
      <c r="AG1111">
        <v>-49</v>
      </c>
      <c r="AH1111" t="s">
        <v>117</v>
      </c>
      <c r="AI1111" t="s">
        <v>74</v>
      </c>
      <c r="AJ1111" t="s">
        <v>75</v>
      </c>
      <c r="AK1111" t="s">
        <v>102</v>
      </c>
      <c r="AL1111" t="s">
        <v>118</v>
      </c>
      <c r="AM1111" t="s">
        <v>103</v>
      </c>
      <c r="AN1111" t="s">
        <v>104</v>
      </c>
      <c r="AO1111" t="s">
        <v>119</v>
      </c>
      <c r="AP1111" t="e">
        <v>#N/A</v>
      </c>
      <c r="AQ1111" t="s">
        <v>105</v>
      </c>
      <c r="AR1111" t="str">
        <f t="shared" si="34"/>
        <v>60604410.STATEQ</v>
      </c>
      <c r="AS1111">
        <f t="shared" si="35"/>
        <v>8024000.1700000009</v>
      </c>
      <c r="AT1111" t="s">
        <v>82</v>
      </c>
    </row>
    <row r="1112" spans="1:46" x14ac:dyDescent="0.35">
      <c r="A1112" t="s">
        <v>52</v>
      </c>
      <c r="B1112" t="s">
        <v>53</v>
      </c>
      <c r="C1112" t="s">
        <v>54</v>
      </c>
      <c r="D1112" t="s">
        <v>55</v>
      </c>
      <c r="E1112" t="s">
        <v>56</v>
      </c>
      <c r="F1112" t="s">
        <v>3577</v>
      </c>
      <c r="G1112" t="s">
        <v>3578</v>
      </c>
      <c r="H1112" t="s">
        <v>153</v>
      </c>
      <c r="I1112" t="s">
        <v>3579</v>
      </c>
      <c r="J1112" t="s">
        <v>56</v>
      </c>
      <c r="K1112" t="s">
        <v>640</v>
      </c>
      <c r="L1112" t="s">
        <v>56</v>
      </c>
      <c r="M1112" t="s">
        <v>56</v>
      </c>
      <c r="N1112" t="s">
        <v>155</v>
      </c>
      <c r="O1112" t="s">
        <v>3580</v>
      </c>
      <c r="P1112" t="s">
        <v>3581</v>
      </c>
      <c r="Q1112" t="s">
        <v>114</v>
      </c>
      <c r="R1112" t="s">
        <v>232</v>
      </c>
      <c r="T1112">
        <v>-23954000.170000002</v>
      </c>
      <c r="U1112" t="s">
        <v>68</v>
      </c>
      <c r="V1112" t="s">
        <v>3582</v>
      </c>
      <c r="W1112" s="9">
        <v>60604410</v>
      </c>
      <c r="X1112" t="s">
        <v>3601</v>
      </c>
      <c r="Y1112" s="1">
        <v>46021</v>
      </c>
      <c r="Z1112" s="1">
        <v>46127</v>
      </c>
      <c r="AA1112" s="2">
        <v>2010130</v>
      </c>
      <c r="AB1112" s="2">
        <v>1703500</v>
      </c>
      <c r="AC1112" s="2">
        <v>306630</v>
      </c>
      <c r="AD1112" s="2">
        <v>2010130</v>
      </c>
      <c r="AE1112" t="s">
        <v>3602</v>
      </c>
      <c r="AF1112" t="s">
        <v>72</v>
      </c>
      <c r="AG1112">
        <v>-49</v>
      </c>
      <c r="AH1112" t="s">
        <v>117</v>
      </c>
      <c r="AI1112" t="s">
        <v>74</v>
      </c>
      <c r="AJ1112" t="s">
        <v>75</v>
      </c>
      <c r="AK1112" t="s">
        <v>102</v>
      </c>
      <c r="AL1112" t="s">
        <v>118</v>
      </c>
      <c r="AM1112" t="s">
        <v>103</v>
      </c>
      <c r="AN1112" t="s">
        <v>104</v>
      </c>
      <c r="AO1112" t="s">
        <v>119</v>
      </c>
      <c r="AP1112" t="e">
        <v>#N/A</v>
      </c>
      <c r="AQ1112" t="s">
        <v>105</v>
      </c>
      <c r="AR1112" t="str">
        <f t="shared" si="34"/>
        <v>60604410.STATEQ</v>
      </c>
      <c r="AS1112">
        <f t="shared" si="35"/>
        <v>8024000.1700000009</v>
      </c>
      <c r="AT1112" t="s">
        <v>82</v>
      </c>
    </row>
    <row r="1113" spans="1:46" x14ac:dyDescent="0.35">
      <c r="A1113" t="s">
        <v>52</v>
      </c>
      <c r="B1113" t="s">
        <v>53</v>
      </c>
      <c r="C1113" t="s">
        <v>54</v>
      </c>
      <c r="D1113" t="s">
        <v>55</v>
      </c>
      <c r="E1113" t="s">
        <v>56</v>
      </c>
      <c r="F1113" t="s">
        <v>3577</v>
      </c>
      <c r="G1113" t="s">
        <v>3578</v>
      </c>
      <c r="H1113" t="s">
        <v>153</v>
      </c>
      <c r="I1113" t="s">
        <v>3579</v>
      </c>
      <c r="J1113" t="s">
        <v>56</v>
      </c>
      <c r="K1113" t="s">
        <v>640</v>
      </c>
      <c r="L1113" t="s">
        <v>56</v>
      </c>
      <c r="M1113" t="s">
        <v>56</v>
      </c>
      <c r="N1113" t="s">
        <v>155</v>
      </c>
      <c r="O1113" t="s">
        <v>3580</v>
      </c>
      <c r="P1113" t="s">
        <v>3581</v>
      </c>
      <c r="Q1113" t="s">
        <v>114</v>
      </c>
      <c r="R1113" t="s">
        <v>232</v>
      </c>
      <c r="T1113">
        <v>-23954000.170000002</v>
      </c>
      <c r="U1113" t="s">
        <v>68</v>
      </c>
      <c r="V1113" t="s">
        <v>3582</v>
      </c>
      <c r="W1113" s="9">
        <v>60604410</v>
      </c>
      <c r="X1113" t="s">
        <v>3603</v>
      </c>
      <c r="Y1113" s="1">
        <v>46028</v>
      </c>
      <c r="Z1113" s="1">
        <v>46127</v>
      </c>
      <c r="AA1113" s="2">
        <v>631760.19999999995</v>
      </c>
      <c r="AB1113" s="2">
        <v>535390</v>
      </c>
      <c r="AC1113" s="2">
        <v>96370.2</v>
      </c>
      <c r="AD1113" s="2">
        <v>631760.19999999995</v>
      </c>
      <c r="AE1113" t="s">
        <v>3604</v>
      </c>
      <c r="AF1113" t="s">
        <v>72</v>
      </c>
      <c r="AG1113">
        <v>-49</v>
      </c>
      <c r="AH1113" t="s">
        <v>117</v>
      </c>
      <c r="AI1113" t="s">
        <v>74</v>
      </c>
      <c r="AJ1113" t="s">
        <v>75</v>
      </c>
      <c r="AK1113" t="s">
        <v>102</v>
      </c>
      <c r="AL1113" t="s">
        <v>118</v>
      </c>
      <c r="AM1113" t="s">
        <v>103</v>
      </c>
      <c r="AN1113" t="s">
        <v>104</v>
      </c>
      <c r="AO1113" t="s">
        <v>119</v>
      </c>
      <c r="AP1113" t="e">
        <v>#N/A</v>
      </c>
      <c r="AQ1113" t="s">
        <v>105</v>
      </c>
      <c r="AR1113" t="str">
        <f t="shared" si="34"/>
        <v>60604410.STATEQ</v>
      </c>
      <c r="AS1113">
        <f t="shared" si="35"/>
        <v>8024000.1700000009</v>
      </c>
      <c r="AT1113" t="s">
        <v>82</v>
      </c>
    </row>
    <row r="1114" spans="1:46" x14ac:dyDescent="0.35">
      <c r="A1114" t="s">
        <v>52</v>
      </c>
      <c r="B1114" t="s">
        <v>53</v>
      </c>
      <c r="C1114" t="s">
        <v>54</v>
      </c>
      <c r="D1114" t="s">
        <v>55</v>
      </c>
      <c r="E1114" t="s">
        <v>56</v>
      </c>
      <c r="F1114" t="s">
        <v>3605</v>
      </c>
      <c r="G1114" t="s">
        <v>56</v>
      </c>
      <c r="H1114" t="s">
        <v>56</v>
      </c>
      <c r="I1114" t="s">
        <v>3606</v>
      </c>
      <c r="J1114" t="s">
        <v>61</v>
      </c>
      <c r="K1114" t="s">
        <v>640</v>
      </c>
      <c r="L1114" t="s">
        <v>56</v>
      </c>
      <c r="M1114" t="s">
        <v>56</v>
      </c>
      <c r="N1114" t="s">
        <v>56</v>
      </c>
      <c r="O1114" t="s">
        <v>435</v>
      </c>
      <c r="P1114" t="s">
        <v>436</v>
      </c>
      <c r="Q1114" t="s">
        <v>87</v>
      </c>
      <c r="R1114" t="s">
        <v>88</v>
      </c>
      <c r="T1114">
        <v>-1327044.94</v>
      </c>
      <c r="U1114" t="s">
        <v>68</v>
      </c>
      <c r="V1114" t="s">
        <v>3582</v>
      </c>
      <c r="W1114" s="9">
        <v>60604421</v>
      </c>
      <c r="X1114" t="s">
        <v>3607</v>
      </c>
      <c r="Y1114" s="1">
        <v>46076</v>
      </c>
      <c r="Z1114" s="1">
        <v>46076</v>
      </c>
      <c r="AA1114" s="2">
        <v>-287210</v>
      </c>
      <c r="AB1114" s="2">
        <v>-287210</v>
      </c>
      <c r="AC1114" s="2">
        <v>0</v>
      </c>
      <c r="AD1114" s="2">
        <v>-287210</v>
      </c>
      <c r="AE1114" t="s">
        <v>3607</v>
      </c>
      <c r="AF1114" t="s">
        <v>72</v>
      </c>
      <c r="AG1114">
        <v>2</v>
      </c>
      <c r="AH1114" t="s">
        <v>73</v>
      </c>
      <c r="AI1114" t="s">
        <v>74</v>
      </c>
      <c r="AJ1114" t="s">
        <v>75</v>
      </c>
      <c r="AK1114" t="s">
        <v>76</v>
      </c>
      <c r="AL1114" t="s">
        <v>77</v>
      </c>
      <c r="AM1114" t="s">
        <v>78</v>
      </c>
      <c r="AN1114" t="s">
        <v>104</v>
      </c>
      <c r="AO1114" t="s">
        <v>80</v>
      </c>
      <c r="AP1114" t="e">
        <v>#N/A</v>
      </c>
      <c r="AQ1114" t="s">
        <v>81</v>
      </c>
      <c r="AR1114" t="str">
        <f t="shared" si="34"/>
        <v>60604421.STATAM</v>
      </c>
      <c r="AS1114">
        <f t="shared" si="35"/>
        <v>-0.10000000001855369</v>
      </c>
      <c r="AT1114" t="s">
        <v>93</v>
      </c>
    </row>
    <row r="1115" spans="1:46" x14ac:dyDescent="0.35">
      <c r="A1115" t="s">
        <v>52</v>
      </c>
      <c r="B1115" t="s">
        <v>53</v>
      </c>
      <c r="C1115" t="s">
        <v>54</v>
      </c>
      <c r="D1115" t="s">
        <v>55</v>
      </c>
      <c r="E1115" t="s">
        <v>56</v>
      </c>
      <c r="F1115" t="s">
        <v>3605</v>
      </c>
      <c r="G1115" t="s">
        <v>3608</v>
      </c>
      <c r="H1115" t="s">
        <v>56</v>
      </c>
      <c r="I1115" t="s">
        <v>3609</v>
      </c>
      <c r="J1115" t="s">
        <v>56</v>
      </c>
      <c r="K1115" t="s">
        <v>640</v>
      </c>
      <c r="L1115" t="s">
        <v>56</v>
      </c>
      <c r="M1115" t="s">
        <v>56</v>
      </c>
      <c r="N1115" t="s">
        <v>1183</v>
      </c>
      <c r="O1115" t="s">
        <v>435</v>
      </c>
      <c r="P1115" t="s">
        <v>436</v>
      </c>
      <c r="Q1115" t="s">
        <v>393</v>
      </c>
      <c r="R1115" t="s">
        <v>88</v>
      </c>
      <c r="T1115">
        <v>-1327044.94</v>
      </c>
      <c r="U1115" t="s">
        <v>68</v>
      </c>
      <c r="V1115" t="s">
        <v>3582</v>
      </c>
      <c r="W1115" s="9">
        <v>60604421</v>
      </c>
      <c r="X1115" t="s">
        <v>3610</v>
      </c>
      <c r="Y1115" s="1">
        <v>46077</v>
      </c>
      <c r="Z1115" s="1">
        <v>46077</v>
      </c>
      <c r="AA1115" s="2">
        <v>279401.23</v>
      </c>
      <c r="AB1115" s="2">
        <v>236780.7</v>
      </c>
      <c r="AC1115" s="2">
        <v>42620.53</v>
      </c>
      <c r="AD1115" s="2">
        <v>279401.23</v>
      </c>
      <c r="AE1115" t="s">
        <v>3611</v>
      </c>
      <c r="AF1115" t="s">
        <v>72</v>
      </c>
      <c r="AG1115">
        <v>1</v>
      </c>
      <c r="AH1115" t="s">
        <v>73</v>
      </c>
      <c r="AI1115" t="s">
        <v>74</v>
      </c>
      <c r="AJ1115" t="s">
        <v>75</v>
      </c>
      <c r="AK1115" t="s">
        <v>76</v>
      </c>
      <c r="AL1115" t="s">
        <v>77</v>
      </c>
      <c r="AM1115" t="s">
        <v>78</v>
      </c>
      <c r="AN1115" t="s">
        <v>104</v>
      </c>
      <c r="AO1115" t="s">
        <v>80</v>
      </c>
      <c r="AP1115" t="e">
        <v>#N/A</v>
      </c>
      <c r="AQ1115" t="s">
        <v>81</v>
      </c>
      <c r="AR1115" t="str">
        <f t="shared" si="34"/>
        <v>60604421.STATAM</v>
      </c>
      <c r="AS1115">
        <f t="shared" si="35"/>
        <v>-0.10000000001855369</v>
      </c>
      <c r="AT1115" t="s">
        <v>93</v>
      </c>
    </row>
    <row r="1116" spans="1:46" x14ac:dyDescent="0.35">
      <c r="A1116" t="s">
        <v>52</v>
      </c>
      <c r="B1116" t="s">
        <v>53</v>
      </c>
      <c r="C1116" t="s">
        <v>54</v>
      </c>
      <c r="D1116" t="s">
        <v>55</v>
      </c>
      <c r="E1116" t="s">
        <v>56</v>
      </c>
      <c r="F1116" t="s">
        <v>3605</v>
      </c>
      <c r="G1116" t="s">
        <v>3608</v>
      </c>
      <c r="H1116" t="s">
        <v>56</v>
      </c>
      <c r="I1116" t="s">
        <v>3609</v>
      </c>
      <c r="J1116" t="s">
        <v>56</v>
      </c>
      <c r="K1116" t="s">
        <v>640</v>
      </c>
      <c r="L1116" t="s">
        <v>56</v>
      </c>
      <c r="M1116" t="s">
        <v>56</v>
      </c>
      <c r="N1116" t="s">
        <v>1189</v>
      </c>
      <c r="O1116" t="s">
        <v>435</v>
      </c>
      <c r="P1116" t="s">
        <v>436</v>
      </c>
      <c r="Q1116" t="s">
        <v>393</v>
      </c>
      <c r="R1116" t="s">
        <v>88</v>
      </c>
      <c r="T1116">
        <v>-1327044.94</v>
      </c>
      <c r="U1116" t="s">
        <v>68</v>
      </c>
      <c r="V1116" t="s">
        <v>3582</v>
      </c>
      <c r="W1116" s="9">
        <v>60604421</v>
      </c>
      <c r="X1116" t="s">
        <v>3610</v>
      </c>
      <c r="Y1116" s="1">
        <v>46077</v>
      </c>
      <c r="Z1116" s="1">
        <v>46077</v>
      </c>
      <c r="AA1116" s="2">
        <v>7808.67</v>
      </c>
      <c r="AB1116" s="2">
        <v>6617.52</v>
      </c>
      <c r="AC1116" s="2">
        <v>1191.1500000000001</v>
      </c>
      <c r="AD1116" s="2">
        <v>7808.67</v>
      </c>
      <c r="AE1116" t="s">
        <v>3612</v>
      </c>
      <c r="AF1116" t="s">
        <v>72</v>
      </c>
      <c r="AG1116">
        <v>1</v>
      </c>
      <c r="AH1116" t="s">
        <v>73</v>
      </c>
      <c r="AI1116" t="s">
        <v>74</v>
      </c>
      <c r="AJ1116" t="s">
        <v>75</v>
      </c>
      <c r="AK1116" t="s">
        <v>76</v>
      </c>
      <c r="AL1116" t="s">
        <v>77</v>
      </c>
      <c r="AM1116" t="s">
        <v>78</v>
      </c>
      <c r="AN1116" t="s">
        <v>104</v>
      </c>
      <c r="AO1116" t="s">
        <v>80</v>
      </c>
      <c r="AP1116" t="e">
        <v>#N/A</v>
      </c>
      <c r="AQ1116" t="s">
        <v>81</v>
      </c>
      <c r="AR1116" t="str">
        <f t="shared" si="34"/>
        <v>60604421.STATAM</v>
      </c>
      <c r="AS1116">
        <f t="shared" si="35"/>
        <v>-0.10000000001855369</v>
      </c>
      <c r="AT1116" t="s">
        <v>93</v>
      </c>
    </row>
    <row r="1117" spans="1:46" x14ac:dyDescent="0.35">
      <c r="A1117" t="s">
        <v>52</v>
      </c>
      <c r="B1117" t="s">
        <v>53</v>
      </c>
      <c r="C1117" t="s">
        <v>54</v>
      </c>
      <c r="D1117" t="s">
        <v>55</v>
      </c>
      <c r="E1117" t="s">
        <v>56</v>
      </c>
      <c r="F1117" t="s">
        <v>3613</v>
      </c>
      <c r="G1117" t="s">
        <v>3614</v>
      </c>
      <c r="H1117" t="s">
        <v>56</v>
      </c>
      <c r="I1117" t="s">
        <v>3615</v>
      </c>
      <c r="J1117" t="s">
        <v>61</v>
      </c>
      <c r="K1117" t="s">
        <v>62</v>
      </c>
      <c r="L1117" t="s">
        <v>56</v>
      </c>
      <c r="M1117" t="s">
        <v>56</v>
      </c>
      <c r="N1117" t="s">
        <v>244</v>
      </c>
      <c r="O1117" t="s">
        <v>318</v>
      </c>
      <c r="P1117" t="s">
        <v>319</v>
      </c>
      <c r="Q1117" t="s">
        <v>114</v>
      </c>
      <c r="R1117" t="s">
        <v>67</v>
      </c>
      <c r="S1117">
        <v>500000</v>
      </c>
      <c r="T1117">
        <v>107284.35</v>
      </c>
      <c r="U1117" t="s">
        <v>68</v>
      </c>
      <c r="V1117" t="s">
        <v>3616</v>
      </c>
      <c r="W1117" s="9">
        <v>60603749</v>
      </c>
      <c r="X1117" t="s">
        <v>3617</v>
      </c>
      <c r="Y1117" s="1">
        <v>46056</v>
      </c>
      <c r="Z1117" s="1">
        <v>46086</v>
      </c>
      <c r="AA1117" s="2">
        <v>419088.8</v>
      </c>
      <c r="AB1117" s="2">
        <v>355160</v>
      </c>
      <c r="AC1117" s="2">
        <v>63928.800000000003</v>
      </c>
      <c r="AD1117" s="2">
        <v>2912.09</v>
      </c>
      <c r="AE1117" t="s">
        <v>3618</v>
      </c>
      <c r="AF1117" t="s">
        <v>72</v>
      </c>
      <c r="AG1117">
        <v>-8</v>
      </c>
      <c r="AH1117" t="s">
        <v>117</v>
      </c>
      <c r="AI1117" t="s">
        <v>74</v>
      </c>
      <c r="AJ1117" t="s">
        <v>75</v>
      </c>
      <c r="AK1117" t="s">
        <v>76</v>
      </c>
      <c r="AL1117" t="s">
        <v>118</v>
      </c>
      <c r="AM1117" t="s">
        <v>78</v>
      </c>
      <c r="AN1117" t="s">
        <v>239</v>
      </c>
      <c r="AO1117" t="s">
        <v>119</v>
      </c>
      <c r="AP1117" t="e">
        <v>#N/A</v>
      </c>
      <c r="AQ1117" t="s">
        <v>81</v>
      </c>
      <c r="AR1117" t="str">
        <f t="shared" si="34"/>
        <v>60603749.STATAM</v>
      </c>
      <c r="AS1117">
        <f t="shared" si="35"/>
        <v>3292.05</v>
      </c>
      <c r="AT1117" t="s">
        <v>82</v>
      </c>
    </row>
    <row r="1118" spans="1:46" x14ac:dyDescent="0.35">
      <c r="A1118" t="s">
        <v>52</v>
      </c>
      <c r="B1118" t="s">
        <v>53</v>
      </c>
      <c r="C1118" t="s">
        <v>54</v>
      </c>
      <c r="D1118" t="s">
        <v>55</v>
      </c>
      <c r="E1118" t="s">
        <v>56</v>
      </c>
      <c r="F1118" t="s">
        <v>3613</v>
      </c>
      <c r="G1118" t="s">
        <v>3619</v>
      </c>
      <c r="H1118" t="s">
        <v>56</v>
      </c>
      <c r="I1118" t="s">
        <v>3620</v>
      </c>
      <c r="J1118" t="s">
        <v>61</v>
      </c>
      <c r="K1118" t="s">
        <v>62</v>
      </c>
      <c r="L1118" t="s">
        <v>56</v>
      </c>
      <c r="M1118" t="s">
        <v>56</v>
      </c>
      <c r="N1118" t="s">
        <v>1186</v>
      </c>
      <c r="O1118" t="s">
        <v>318</v>
      </c>
      <c r="P1118" t="s">
        <v>319</v>
      </c>
      <c r="Q1118" t="s">
        <v>114</v>
      </c>
      <c r="R1118" t="s">
        <v>67</v>
      </c>
      <c r="S1118">
        <v>500000</v>
      </c>
      <c r="T1118">
        <v>107284.35</v>
      </c>
      <c r="U1118" t="s">
        <v>68</v>
      </c>
      <c r="V1118" t="s">
        <v>3616</v>
      </c>
      <c r="W1118" s="9">
        <v>60603749</v>
      </c>
      <c r="X1118" t="s">
        <v>3621</v>
      </c>
      <c r="Y1118" s="1">
        <v>46056</v>
      </c>
      <c r="Z1118" s="1">
        <v>46086</v>
      </c>
      <c r="AA1118" s="2">
        <v>379.96</v>
      </c>
      <c r="AB1118" s="2">
        <v>322</v>
      </c>
      <c r="AC1118" s="2">
        <v>57.96</v>
      </c>
      <c r="AD1118" s="2">
        <v>379.96</v>
      </c>
      <c r="AE1118" t="s">
        <v>3622</v>
      </c>
      <c r="AF1118" t="s">
        <v>72</v>
      </c>
      <c r="AG1118">
        <v>-8</v>
      </c>
      <c r="AH1118" t="s">
        <v>117</v>
      </c>
      <c r="AI1118" t="s">
        <v>74</v>
      </c>
      <c r="AJ1118" t="s">
        <v>75</v>
      </c>
      <c r="AK1118" t="s">
        <v>76</v>
      </c>
      <c r="AL1118" t="s">
        <v>118</v>
      </c>
      <c r="AM1118" t="s">
        <v>78</v>
      </c>
      <c r="AN1118" t="s">
        <v>239</v>
      </c>
      <c r="AO1118" t="s">
        <v>119</v>
      </c>
      <c r="AP1118" t="e">
        <v>#N/A</v>
      </c>
      <c r="AQ1118" t="s">
        <v>81</v>
      </c>
      <c r="AR1118" t="str">
        <f t="shared" si="34"/>
        <v>60603749.STATAM</v>
      </c>
      <c r="AS1118">
        <f t="shared" si="35"/>
        <v>3292.05</v>
      </c>
      <c r="AT1118" t="s">
        <v>82</v>
      </c>
    </row>
    <row r="1119" spans="1:46" x14ac:dyDescent="0.35">
      <c r="A1119" t="s">
        <v>52</v>
      </c>
      <c r="B1119" t="s">
        <v>53</v>
      </c>
      <c r="C1119" t="s">
        <v>54</v>
      </c>
      <c r="D1119" t="s">
        <v>55</v>
      </c>
      <c r="E1119" t="s">
        <v>56</v>
      </c>
      <c r="F1119" t="s">
        <v>3623</v>
      </c>
      <c r="G1119" t="s">
        <v>56</v>
      </c>
      <c r="H1119" t="s">
        <v>56</v>
      </c>
      <c r="I1119" t="s">
        <v>3624</v>
      </c>
      <c r="J1119" t="s">
        <v>61</v>
      </c>
      <c r="K1119" t="s">
        <v>62</v>
      </c>
      <c r="L1119" t="s">
        <v>56</v>
      </c>
      <c r="M1119" t="s">
        <v>56</v>
      </c>
      <c r="N1119" t="s">
        <v>56</v>
      </c>
      <c r="O1119" t="s">
        <v>391</v>
      </c>
      <c r="P1119" t="s">
        <v>392</v>
      </c>
      <c r="Q1119" t="s">
        <v>87</v>
      </c>
      <c r="R1119" t="s">
        <v>88</v>
      </c>
      <c r="T1119">
        <v>-282921.27</v>
      </c>
      <c r="U1119" t="s">
        <v>68</v>
      </c>
      <c r="V1119" t="s">
        <v>3625</v>
      </c>
      <c r="W1119" s="9">
        <v>60603979</v>
      </c>
      <c r="X1119" t="s">
        <v>3626</v>
      </c>
      <c r="Y1119" s="1">
        <v>46007</v>
      </c>
      <c r="Z1119" s="1">
        <v>46007</v>
      </c>
      <c r="AA1119" s="2">
        <v>-885320</v>
      </c>
      <c r="AB1119" s="2">
        <v>-885320</v>
      </c>
      <c r="AC1119" s="2">
        <v>0</v>
      </c>
      <c r="AD1119" s="2">
        <v>-101908.23</v>
      </c>
      <c r="AE1119" t="s">
        <v>3626</v>
      </c>
      <c r="AF1119" t="s">
        <v>72</v>
      </c>
      <c r="AG1119">
        <v>71</v>
      </c>
      <c r="AH1119" t="s">
        <v>260</v>
      </c>
      <c r="AI1119" t="s">
        <v>74</v>
      </c>
      <c r="AJ1119" t="s">
        <v>75</v>
      </c>
      <c r="AK1119" t="s">
        <v>76</v>
      </c>
      <c r="AL1119" t="s">
        <v>77</v>
      </c>
      <c r="AM1119" t="s">
        <v>78</v>
      </c>
      <c r="AN1119" t="s">
        <v>104</v>
      </c>
      <c r="AO1119" t="s">
        <v>80</v>
      </c>
      <c r="AP1119" t="e">
        <v>#N/A</v>
      </c>
      <c r="AQ1119" t="s">
        <v>81</v>
      </c>
      <c r="AR1119" t="str">
        <f t="shared" si="34"/>
        <v>60603979.STATAM</v>
      </c>
      <c r="AS1119">
        <f t="shared" si="35"/>
        <v>-101908.23</v>
      </c>
      <c r="AT1119" t="s">
        <v>93</v>
      </c>
    </row>
    <row r="1120" spans="1:46" x14ac:dyDescent="0.35">
      <c r="A1120" t="s">
        <v>52</v>
      </c>
      <c r="B1120" t="s">
        <v>53</v>
      </c>
      <c r="C1120" t="s">
        <v>54</v>
      </c>
      <c r="D1120" t="s">
        <v>55</v>
      </c>
      <c r="E1120" t="s">
        <v>56</v>
      </c>
      <c r="F1120" t="s">
        <v>3627</v>
      </c>
      <c r="G1120" t="s">
        <v>3628</v>
      </c>
      <c r="H1120" t="s">
        <v>56</v>
      </c>
      <c r="I1120" t="s">
        <v>3629</v>
      </c>
      <c r="J1120" t="s">
        <v>56</v>
      </c>
      <c r="K1120" t="s">
        <v>640</v>
      </c>
      <c r="L1120" t="s">
        <v>56</v>
      </c>
      <c r="M1120" t="s">
        <v>56</v>
      </c>
      <c r="N1120" t="s">
        <v>1135</v>
      </c>
      <c r="O1120" t="s">
        <v>1122</v>
      </c>
      <c r="P1120" t="s">
        <v>1123</v>
      </c>
      <c r="Q1120" t="s">
        <v>444</v>
      </c>
      <c r="R1120" t="s">
        <v>248</v>
      </c>
      <c r="S1120">
        <v>55000000</v>
      </c>
      <c r="T1120">
        <v>18195753.84</v>
      </c>
      <c r="U1120" t="s">
        <v>68</v>
      </c>
      <c r="V1120" t="s">
        <v>3630</v>
      </c>
      <c r="W1120" s="9">
        <v>60602509</v>
      </c>
      <c r="X1120" t="s">
        <v>3631</v>
      </c>
      <c r="Y1120" s="1">
        <v>45988</v>
      </c>
      <c r="Z1120" s="1">
        <v>46048</v>
      </c>
      <c r="AA1120" s="2">
        <v>909348.12</v>
      </c>
      <c r="AB1120" s="2">
        <v>770634</v>
      </c>
      <c r="AC1120" s="2">
        <v>138714.12</v>
      </c>
      <c r="AD1120" s="2">
        <v>579900.55000000005</v>
      </c>
      <c r="AE1120" t="s">
        <v>3632</v>
      </c>
      <c r="AF1120" t="s">
        <v>72</v>
      </c>
      <c r="AG1120">
        <v>30</v>
      </c>
      <c r="AH1120" t="s">
        <v>73</v>
      </c>
      <c r="AI1120" t="s">
        <v>74</v>
      </c>
      <c r="AJ1120" t="s">
        <v>127</v>
      </c>
      <c r="AK1120" t="s">
        <v>334</v>
      </c>
      <c r="AL1120" t="s">
        <v>77</v>
      </c>
      <c r="AM1120" t="s">
        <v>78</v>
      </c>
      <c r="AN1120" t="s">
        <v>795</v>
      </c>
      <c r="AO1120" t="s">
        <v>80</v>
      </c>
      <c r="AP1120" t="s">
        <v>46</v>
      </c>
      <c r="AQ1120" t="s">
        <v>335</v>
      </c>
      <c r="AR1120" t="str">
        <f t="shared" si="34"/>
        <v>60602509.SPMINAM</v>
      </c>
      <c r="AS1120">
        <f t="shared" si="35"/>
        <v>1287803.46</v>
      </c>
      <c r="AT1120" t="s">
        <v>82</v>
      </c>
    </row>
    <row r="1121" spans="1:46" x14ac:dyDescent="0.35">
      <c r="A1121" t="s">
        <v>52</v>
      </c>
      <c r="B1121" t="s">
        <v>53</v>
      </c>
      <c r="C1121" t="s">
        <v>54</v>
      </c>
      <c r="D1121" t="s">
        <v>55</v>
      </c>
      <c r="E1121" t="s">
        <v>56</v>
      </c>
      <c r="F1121" t="s">
        <v>3627</v>
      </c>
      <c r="G1121" t="s">
        <v>3633</v>
      </c>
      <c r="H1121" t="s">
        <v>56</v>
      </c>
      <c r="I1121" t="s">
        <v>3634</v>
      </c>
      <c r="J1121" t="s">
        <v>61</v>
      </c>
      <c r="K1121" t="s">
        <v>640</v>
      </c>
      <c r="L1121" t="s">
        <v>56</v>
      </c>
      <c r="M1121" t="s">
        <v>56</v>
      </c>
      <c r="N1121" t="s">
        <v>263</v>
      </c>
      <c r="O1121" t="s">
        <v>2621</v>
      </c>
      <c r="P1121" t="s">
        <v>2622</v>
      </c>
      <c r="Q1121" t="s">
        <v>87</v>
      </c>
      <c r="R1121" t="s">
        <v>248</v>
      </c>
      <c r="S1121">
        <v>55000000</v>
      </c>
      <c r="T1121">
        <v>18195753.84</v>
      </c>
      <c r="U1121" t="s">
        <v>68</v>
      </c>
      <c r="V1121" t="s">
        <v>3630</v>
      </c>
      <c r="W1121" s="9">
        <v>60602509</v>
      </c>
      <c r="X1121" t="s">
        <v>3635</v>
      </c>
      <c r="Y1121" s="1">
        <v>45992</v>
      </c>
      <c r="Z1121" s="1">
        <v>46052</v>
      </c>
      <c r="AA1121" s="2">
        <v>69079.7</v>
      </c>
      <c r="AB1121" s="2">
        <v>58542.12</v>
      </c>
      <c r="AC1121" s="2">
        <v>10537.58</v>
      </c>
      <c r="AD1121" s="2">
        <v>69079.7</v>
      </c>
      <c r="AE1121" t="s">
        <v>3636</v>
      </c>
      <c r="AF1121" t="s">
        <v>72</v>
      </c>
      <c r="AG1121">
        <v>26</v>
      </c>
      <c r="AH1121" t="s">
        <v>73</v>
      </c>
      <c r="AI1121" t="s">
        <v>74</v>
      </c>
      <c r="AJ1121" t="s">
        <v>75</v>
      </c>
      <c r="AK1121" t="s">
        <v>76</v>
      </c>
      <c r="AL1121" t="s">
        <v>77</v>
      </c>
      <c r="AM1121" t="s">
        <v>78</v>
      </c>
      <c r="AN1121" t="s">
        <v>92</v>
      </c>
      <c r="AO1121" t="s">
        <v>80</v>
      </c>
      <c r="AP1121" t="s">
        <v>46</v>
      </c>
      <c r="AQ1121" t="s">
        <v>81</v>
      </c>
      <c r="AR1121" t="str">
        <f t="shared" si="34"/>
        <v>60602509.STATAM</v>
      </c>
      <c r="AS1121">
        <f t="shared" si="35"/>
        <v>28997604.66</v>
      </c>
      <c r="AT1121" t="s">
        <v>82</v>
      </c>
    </row>
    <row r="1122" spans="1:46" x14ac:dyDescent="0.35">
      <c r="A1122" t="s">
        <v>52</v>
      </c>
      <c r="B1122" t="s">
        <v>53</v>
      </c>
      <c r="C1122" t="s">
        <v>54</v>
      </c>
      <c r="D1122" t="s">
        <v>55</v>
      </c>
      <c r="E1122" t="s">
        <v>56</v>
      </c>
      <c r="F1122" t="s">
        <v>3627</v>
      </c>
      <c r="G1122" t="s">
        <v>3637</v>
      </c>
      <c r="H1122" t="s">
        <v>56</v>
      </c>
      <c r="I1122" t="s">
        <v>3638</v>
      </c>
      <c r="J1122" t="s">
        <v>61</v>
      </c>
      <c r="K1122" t="s">
        <v>640</v>
      </c>
      <c r="L1122" t="s">
        <v>56</v>
      </c>
      <c r="M1122" t="s">
        <v>56</v>
      </c>
      <c r="N1122" t="s">
        <v>252</v>
      </c>
      <c r="O1122" t="s">
        <v>1122</v>
      </c>
      <c r="P1122" t="s">
        <v>1123</v>
      </c>
      <c r="Q1122" t="s">
        <v>247</v>
      </c>
      <c r="R1122" t="s">
        <v>248</v>
      </c>
      <c r="S1122">
        <v>55000000</v>
      </c>
      <c r="T1122">
        <v>18195753.84</v>
      </c>
      <c r="U1122" t="s">
        <v>68</v>
      </c>
      <c r="V1122" t="s">
        <v>3630</v>
      </c>
      <c r="W1122" s="9">
        <v>60602509</v>
      </c>
      <c r="X1122" t="s">
        <v>3639</v>
      </c>
      <c r="Y1122" s="1">
        <v>45994</v>
      </c>
      <c r="Z1122" s="1">
        <v>46054</v>
      </c>
      <c r="AA1122" s="2">
        <v>121691.61</v>
      </c>
      <c r="AB1122" s="2">
        <v>103128.48</v>
      </c>
      <c r="AC1122" s="2">
        <v>18563.13</v>
      </c>
      <c r="AD1122" s="2">
        <v>121691.61</v>
      </c>
      <c r="AE1122" t="s">
        <v>3640</v>
      </c>
      <c r="AF1122" t="s">
        <v>72</v>
      </c>
      <c r="AG1122">
        <v>24</v>
      </c>
      <c r="AH1122" t="s">
        <v>73</v>
      </c>
      <c r="AI1122" t="s">
        <v>74</v>
      </c>
      <c r="AJ1122" t="s">
        <v>75</v>
      </c>
      <c r="AK1122" t="s">
        <v>76</v>
      </c>
      <c r="AL1122" t="s">
        <v>77</v>
      </c>
      <c r="AM1122" t="s">
        <v>78</v>
      </c>
      <c r="AN1122" t="s">
        <v>795</v>
      </c>
      <c r="AO1122" t="s">
        <v>80</v>
      </c>
      <c r="AP1122" t="s">
        <v>46</v>
      </c>
      <c r="AQ1122" t="s">
        <v>81</v>
      </c>
      <c r="AR1122" t="str">
        <f t="shared" si="34"/>
        <v>60602509.STATAM</v>
      </c>
      <c r="AS1122">
        <f t="shared" si="35"/>
        <v>28997604.66</v>
      </c>
      <c r="AT1122" t="s">
        <v>82</v>
      </c>
    </row>
    <row r="1123" spans="1:46" x14ac:dyDescent="0.35">
      <c r="A1123" t="s">
        <v>52</v>
      </c>
      <c r="B1123" t="s">
        <v>53</v>
      </c>
      <c r="C1123" t="s">
        <v>54</v>
      </c>
      <c r="D1123" t="s">
        <v>55</v>
      </c>
      <c r="E1123" t="s">
        <v>56</v>
      </c>
      <c r="F1123" t="s">
        <v>3627</v>
      </c>
      <c r="G1123" t="s">
        <v>3641</v>
      </c>
      <c r="H1123" t="s">
        <v>56</v>
      </c>
      <c r="I1123" t="s">
        <v>3642</v>
      </c>
      <c r="J1123" t="s">
        <v>56</v>
      </c>
      <c r="K1123" t="s">
        <v>640</v>
      </c>
      <c r="L1123" t="s">
        <v>56</v>
      </c>
      <c r="M1123" t="s">
        <v>56</v>
      </c>
      <c r="N1123" t="s">
        <v>254</v>
      </c>
      <c r="O1123" t="s">
        <v>902</v>
      </c>
      <c r="P1123" t="s">
        <v>903</v>
      </c>
      <c r="Q1123" t="s">
        <v>984</v>
      </c>
      <c r="R1123" t="s">
        <v>248</v>
      </c>
      <c r="S1123">
        <v>55000000</v>
      </c>
      <c r="T1123">
        <v>18195753.84</v>
      </c>
      <c r="U1123" t="s">
        <v>68</v>
      </c>
      <c r="V1123" t="s">
        <v>3630</v>
      </c>
      <c r="W1123" s="9">
        <v>60602509</v>
      </c>
      <c r="X1123" t="s">
        <v>3643</v>
      </c>
      <c r="Y1123" s="1">
        <v>45994</v>
      </c>
      <c r="Z1123" s="1">
        <v>46054</v>
      </c>
      <c r="AA1123" s="2">
        <v>739354.96</v>
      </c>
      <c r="AB1123" s="2">
        <v>626572</v>
      </c>
      <c r="AC1123" s="2">
        <v>112782.96</v>
      </c>
      <c r="AD1123" s="2">
        <v>739354.96</v>
      </c>
      <c r="AE1123" t="s">
        <v>3644</v>
      </c>
      <c r="AF1123" t="s">
        <v>72</v>
      </c>
      <c r="AG1123">
        <v>24</v>
      </c>
      <c r="AH1123" t="s">
        <v>73</v>
      </c>
      <c r="AI1123" t="s">
        <v>74</v>
      </c>
      <c r="AJ1123" t="s">
        <v>75</v>
      </c>
      <c r="AK1123" t="s">
        <v>76</v>
      </c>
      <c r="AL1123" t="s">
        <v>77</v>
      </c>
      <c r="AM1123" t="s">
        <v>78</v>
      </c>
      <c r="AN1123" t="s">
        <v>795</v>
      </c>
      <c r="AO1123" t="s">
        <v>80</v>
      </c>
      <c r="AP1123" t="s">
        <v>46</v>
      </c>
      <c r="AQ1123" t="s">
        <v>81</v>
      </c>
      <c r="AR1123" t="str">
        <f t="shared" si="34"/>
        <v>60602509.STATAM</v>
      </c>
      <c r="AS1123">
        <f t="shared" si="35"/>
        <v>28997604.66</v>
      </c>
      <c r="AT1123" t="s">
        <v>82</v>
      </c>
    </row>
    <row r="1124" spans="1:46" x14ac:dyDescent="0.35">
      <c r="A1124" t="s">
        <v>52</v>
      </c>
      <c r="B1124" t="s">
        <v>53</v>
      </c>
      <c r="C1124" t="s">
        <v>54</v>
      </c>
      <c r="D1124" t="s">
        <v>55</v>
      </c>
      <c r="E1124" t="s">
        <v>56</v>
      </c>
      <c r="F1124" t="s">
        <v>3627</v>
      </c>
      <c r="G1124" t="s">
        <v>3645</v>
      </c>
      <c r="H1124" t="s">
        <v>56</v>
      </c>
      <c r="I1124" t="s">
        <v>3646</v>
      </c>
      <c r="J1124" t="s">
        <v>61</v>
      </c>
      <c r="K1124" t="s">
        <v>640</v>
      </c>
      <c r="L1124" t="s">
        <v>56</v>
      </c>
      <c r="M1124" t="s">
        <v>56</v>
      </c>
      <c r="N1124" t="s">
        <v>261</v>
      </c>
      <c r="O1124" t="s">
        <v>2621</v>
      </c>
      <c r="P1124" t="s">
        <v>2622</v>
      </c>
      <c r="Q1124" t="s">
        <v>87</v>
      </c>
      <c r="R1124" t="s">
        <v>248</v>
      </c>
      <c r="S1124">
        <v>55000000</v>
      </c>
      <c r="T1124">
        <v>18195753.84</v>
      </c>
      <c r="U1124" t="s">
        <v>68</v>
      </c>
      <c r="V1124" t="s">
        <v>3630</v>
      </c>
      <c r="W1124" s="9">
        <v>60602509</v>
      </c>
      <c r="X1124" t="s">
        <v>3647</v>
      </c>
      <c r="Y1124" s="1">
        <v>45995</v>
      </c>
      <c r="Z1124" s="1">
        <v>46055</v>
      </c>
      <c r="AA1124" s="2">
        <v>49337.760000000002</v>
      </c>
      <c r="AB1124" s="2">
        <v>41811.660000000003</v>
      </c>
      <c r="AC1124" s="2">
        <v>7526.1</v>
      </c>
      <c r="AD1124" s="2">
        <v>49337.760000000002</v>
      </c>
      <c r="AE1124" t="s">
        <v>3648</v>
      </c>
      <c r="AF1124" t="s">
        <v>72</v>
      </c>
      <c r="AG1124">
        <v>23</v>
      </c>
      <c r="AH1124" t="s">
        <v>73</v>
      </c>
      <c r="AI1124" t="s">
        <v>74</v>
      </c>
      <c r="AJ1124" t="s">
        <v>75</v>
      </c>
      <c r="AK1124" t="s">
        <v>76</v>
      </c>
      <c r="AL1124" t="s">
        <v>77</v>
      </c>
      <c r="AM1124" t="s">
        <v>78</v>
      </c>
      <c r="AN1124" t="s">
        <v>92</v>
      </c>
      <c r="AO1124" t="s">
        <v>80</v>
      </c>
      <c r="AP1124" t="s">
        <v>46</v>
      </c>
      <c r="AQ1124" t="s">
        <v>81</v>
      </c>
      <c r="AR1124" t="str">
        <f t="shared" si="34"/>
        <v>60602509.STATAM</v>
      </c>
      <c r="AS1124">
        <f t="shared" si="35"/>
        <v>28997604.66</v>
      </c>
      <c r="AT1124" t="s">
        <v>82</v>
      </c>
    </row>
    <row r="1125" spans="1:46" x14ac:dyDescent="0.35">
      <c r="A1125" t="s">
        <v>52</v>
      </c>
      <c r="B1125" t="s">
        <v>53</v>
      </c>
      <c r="C1125" t="s">
        <v>54</v>
      </c>
      <c r="D1125" t="s">
        <v>55</v>
      </c>
      <c r="E1125" t="s">
        <v>56</v>
      </c>
      <c r="F1125" t="s">
        <v>3627</v>
      </c>
      <c r="G1125" t="s">
        <v>3645</v>
      </c>
      <c r="H1125" t="s">
        <v>56</v>
      </c>
      <c r="I1125" t="s">
        <v>3646</v>
      </c>
      <c r="J1125" t="s">
        <v>61</v>
      </c>
      <c r="K1125" t="s">
        <v>640</v>
      </c>
      <c r="L1125" t="s">
        <v>56</v>
      </c>
      <c r="M1125" t="s">
        <v>56</v>
      </c>
      <c r="N1125" t="s">
        <v>244</v>
      </c>
      <c r="O1125" t="s">
        <v>2621</v>
      </c>
      <c r="P1125" t="s">
        <v>2622</v>
      </c>
      <c r="Q1125" t="s">
        <v>87</v>
      </c>
      <c r="R1125" t="s">
        <v>248</v>
      </c>
      <c r="S1125">
        <v>55000000</v>
      </c>
      <c r="T1125">
        <v>18195753.84</v>
      </c>
      <c r="U1125" t="s">
        <v>68</v>
      </c>
      <c r="V1125" t="s">
        <v>3630</v>
      </c>
      <c r="W1125" s="9">
        <v>60602509</v>
      </c>
      <c r="X1125" t="s">
        <v>3647</v>
      </c>
      <c r="Y1125" s="1">
        <v>45995</v>
      </c>
      <c r="Z1125" s="1">
        <v>46055</v>
      </c>
      <c r="AA1125" s="2">
        <v>425723.47</v>
      </c>
      <c r="AB1125" s="2">
        <v>360782.6</v>
      </c>
      <c r="AC1125" s="2">
        <v>64940.87</v>
      </c>
      <c r="AD1125" s="2">
        <v>425723.47</v>
      </c>
      <c r="AE1125" t="s">
        <v>3649</v>
      </c>
      <c r="AF1125" t="s">
        <v>72</v>
      </c>
      <c r="AG1125">
        <v>23</v>
      </c>
      <c r="AH1125" t="s">
        <v>73</v>
      </c>
      <c r="AI1125" t="s">
        <v>74</v>
      </c>
      <c r="AJ1125" t="s">
        <v>75</v>
      </c>
      <c r="AK1125" t="s">
        <v>76</v>
      </c>
      <c r="AL1125" t="s">
        <v>77</v>
      </c>
      <c r="AM1125" t="s">
        <v>78</v>
      </c>
      <c r="AN1125" t="s">
        <v>92</v>
      </c>
      <c r="AO1125" t="s">
        <v>80</v>
      </c>
      <c r="AP1125" t="s">
        <v>46</v>
      </c>
      <c r="AQ1125" t="s">
        <v>81</v>
      </c>
      <c r="AR1125" t="str">
        <f t="shared" si="34"/>
        <v>60602509.STATAM</v>
      </c>
      <c r="AS1125">
        <f t="shared" si="35"/>
        <v>28997604.66</v>
      </c>
      <c r="AT1125" t="s">
        <v>82</v>
      </c>
    </row>
    <row r="1126" spans="1:46" x14ac:dyDescent="0.35">
      <c r="A1126" t="s">
        <v>52</v>
      </c>
      <c r="B1126" t="s">
        <v>53</v>
      </c>
      <c r="C1126" t="s">
        <v>54</v>
      </c>
      <c r="D1126" t="s">
        <v>55</v>
      </c>
      <c r="E1126" t="s">
        <v>56</v>
      </c>
      <c r="F1126" t="s">
        <v>3627</v>
      </c>
      <c r="G1126" t="s">
        <v>3645</v>
      </c>
      <c r="H1126" t="s">
        <v>56</v>
      </c>
      <c r="I1126" t="s">
        <v>3646</v>
      </c>
      <c r="J1126" t="s">
        <v>61</v>
      </c>
      <c r="K1126" t="s">
        <v>640</v>
      </c>
      <c r="L1126" t="s">
        <v>56</v>
      </c>
      <c r="M1126" t="s">
        <v>56</v>
      </c>
      <c r="N1126" t="s">
        <v>252</v>
      </c>
      <c r="O1126" t="s">
        <v>2621</v>
      </c>
      <c r="P1126" t="s">
        <v>2622</v>
      </c>
      <c r="Q1126" t="s">
        <v>87</v>
      </c>
      <c r="R1126" t="s">
        <v>248</v>
      </c>
      <c r="S1126">
        <v>55000000</v>
      </c>
      <c r="T1126">
        <v>18195753.84</v>
      </c>
      <c r="U1126" t="s">
        <v>68</v>
      </c>
      <c r="V1126" t="s">
        <v>3630</v>
      </c>
      <c r="W1126" s="9">
        <v>60602509</v>
      </c>
      <c r="X1126" t="s">
        <v>3647</v>
      </c>
      <c r="Y1126" s="1">
        <v>45995</v>
      </c>
      <c r="Z1126" s="1">
        <v>46055</v>
      </c>
      <c r="AA1126" s="2">
        <v>20686.91</v>
      </c>
      <c r="AB1126" s="2">
        <v>17531.28</v>
      </c>
      <c r="AC1126" s="2">
        <v>3155.63</v>
      </c>
      <c r="AD1126" s="2">
        <v>20686.91</v>
      </c>
      <c r="AE1126" t="s">
        <v>3650</v>
      </c>
      <c r="AF1126" t="s">
        <v>72</v>
      </c>
      <c r="AG1126">
        <v>23</v>
      </c>
      <c r="AH1126" t="s">
        <v>73</v>
      </c>
      <c r="AI1126" t="s">
        <v>74</v>
      </c>
      <c r="AJ1126" t="s">
        <v>75</v>
      </c>
      <c r="AK1126" t="s">
        <v>76</v>
      </c>
      <c r="AL1126" t="s">
        <v>77</v>
      </c>
      <c r="AM1126" t="s">
        <v>78</v>
      </c>
      <c r="AN1126" t="s">
        <v>92</v>
      </c>
      <c r="AO1126" t="s">
        <v>80</v>
      </c>
      <c r="AP1126" t="s">
        <v>46</v>
      </c>
      <c r="AQ1126" t="s">
        <v>81</v>
      </c>
      <c r="AR1126" t="str">
        <f t="shared" si="34"/>
        <v>60602509.STATAM</v>
      </c>
      <c r="AS1126">
        <f t="shared" si="35"/>
        <v>28997604.66</v>
      </c>
      <c r="AT1126" t="s">
        <v>82</v>
      </c>
    </row>
    <row r="1127" spans="1:46" x14ac:dyDescent="0.35">
      <c r="A1127" t="s">
        <v>52</v>
      </c>
      <c r="B1127" t="s">
        <v>53</v>
      </c>
      <c r="C1127" t="s">
        <v>54</v>
      </c>
      <c r="D1127" t="s">
        <v>55</v>
      </c>
      <c r="E1127" t="s">
        <v>56</v>
      </c>
      <c r="F1127" t="s">
        <v>3627</v>
      </c>
      <c r="G1127" t="s">
        <v>3645</v>
      </c>
      <c r="H1127" t="s">
        <v>56</v>
      </c>
      <c r="I1127" t="s">
        <v>3646</v>
      </c>
      <c r="J1127" t="s">
        <v>61</v>
      </c>
      <c r="K1127" t="s">
        <v>640</v>
      </c>
      <c r="L1127" t="s">
        <v>56</v>
      </c>
      <c r="M1127" t="s">
        <v>56</v>
      </c>
      <c r="N1127" t="s">
        <v>254</v>
      </c>
      <c r="O1127" t="s">
        <v>2621</v>
      </c>
      <c r="P1127" t="s">
        <v>2622</v>
      </c>
      <c r="Q1127" t="s">
        <v>87</v>
      </c>
      <c r="R1127" t="s">
        <v>248</v>
      </c>
      <c r="S1127">
        <v>55000000</v>
      </c>
      <c r="T1127">
        <v>18195753.84</v>
      </c>
      <c r="U1127" t="s">
        <v>68</v>
      </c>
      <c r="V1127" t="s">
        <v>3630</v>
      </c>
      <c r="W1127" s="9">
        <v>60602509</v>
      </c>
      <c r="X1127" t="s">
        <v>3647</v>
      </c>
      <c r="Y1127" s="1">
        <v>45995</v>
      </c>
      <c r="Z1127" s="1">
        <v>46055</v>
      </c>
      <c r="AA1127" s="2">
        <v>386492.48</v>
      </c>
      <c r="AB1127" s="2">
        <v>327536</v>
      </c>
      <c r="AC1127" s="2">
        <v>58956.480000000003</v>
      </c>
      <c r="AD1127" s="2">
        <v>386492.48</v>
      </c>
      <c r="AE1127" t="s">
        <v>3651</v>
      </c>
      <c r="AF1127" t="s">
        <v>72</v>
      </c>
      <c r="AG1127">
        <v>23</v>
      </c>
      <c r="AH1127" t="s">
        <v>73</v>
      </c>
      <c r="AI1127" t="s">
        <v>74</v>
      </c>
      <c r="AJ1127" t="s">
        <v>75</v>
      </c>
      <c r="AK1127" t="s">
        <v>76</v>
      </c>
      <c r="AL1127" t="s">
        <v>77</v>
      </c>
      <c r="AM1127" t="s">
        <v>78</v>
      </c>
      <c r="AN1127" t="s">
        <v>92</v>
      </c>
      <c r="AO1127" t="s">
        <v>80</v>
      </c>
      <c r="AP1127" t="s">
        <v>46</v>
      </c>
      <c r="AQ1127" t="s">
        <v>81</v>
      </c>
      <c r="AR1127" t="str">
        <f t="shared" si="34"/>
        <v>60602509.STATAM</v>
      </c>
      <c r="AS1127">
        <f t="shared" si="35"/>
        <v>28997604.66</v>
      </c>
      <c r="AT1127" t="s">
        <v>82</v>
      </c>
    </row>
    <row r="1128" spans="1:46" x14ac:dyDescent="0.35">
      <c r="A1128" t="s">
        <v>52</v>
      </c>
      <c r="B1128" t="s">
        <v>53</v>
      </c>
      <c r="C1128" t="s">
        <v>54</v>
      </c>
      <c r="D1128" t="s">
        <v>55</v>
      </c>
      <c r="E1128" t="s">
        <v>56</v>
      </c>
      <c r="F1128" t="s">
        <v>3627</v>
      </c>
      <c r="G1128" t="s">
        <v>3652</v>
      </c>
      <c r="H1128" t="s">
        <v>56</v>
      </c>
      <c r="I1128" t="s">
        <v>3653</v>
      </c>
      <c r="J1128" t="s">
        <v>56</v>
      </c>
      <c r="K1128" t="s">
        <v>640</v>
      </c>
      <c r="L1128" t="s">
        <v>56</v>
      </c>
      <c r="M1128" t="s">
        <v>56</v>
      </c>
      <c r="N1128" t="s">
        <v>261</v>
      </c>
      <c r="O1128" t="s">
        <v>2621</v>
      </c>
      <c r="P1128" t="s">
        <v>2622</v>
      </c>
      <c r="Q1128" t="s">
        <v>853</v>
      </c>
      <c r="R1128" t="s">
        <v>248</v>
      </c>
      <c r="S1128">
        <v>55000000</v>
      </c>
      <c r="T1128">
        <v>18195753.84</v>
      </c>
      <c r="U1128" t="s">
        <v>68</v>
      </c>
      <c r="V1128" t="s">
        <v>3630</v>
      </c>
      <c r="W1128" s="9">
        <v>60602509</v>
      </c>
      <c r="X1128" t="s">
        <v>3654</v>
      </c>
      <c r="Y1128" s="1">
        <v>45995</v>
      </c>
      <c r="Z1128" s="1">
        <v>46055</v>
      </c>
      <c r="AA1128" s="2">
        <v>3172.62</v>
      </c>
      <c r="AB1128" s="2">
        <v>2688.66</v>
      </c>
      <c r="AC1128" s="2">
        <v>483.96</v>
      </c>
      <c r="AD1128" s="2">
        <v>3172.62</v>
      </c>
      <c r="AE1128" t="s">
        <v>3655</v>
      </c>
      <c r="AF1128" t="s">
        <v>72</v>
      </c>
      <c r="AG1128">
        <v>23</v>
      </c>
      <c r="AH1128" t="s">
        <v>73</v>
      </c>
      <c r="AI1128" t="s">
        <v>74</v>
      </c>
      <c r="AJ1128" t="s">
        <v>75</v>
      </c>
      <c r="AK1128" t="s">
        <v>76</v>
      </c>
      <c r="AL1128" t="s">
        <v>77</v>
      </c>
      <c r="AM1128" t="s">
        <v>78</v>
      </c>
      <c r="AN1128" t="s">
        <v>92</v>
      </c>
      <c r="AO1128" t="s">
        <v>80</v>
      </c>
      <c r="AP1128" t="s">
        <v>46</v>
      </c>
      <c r="AQ1128" t="s">
        <v>81</v>
      </c>
      <c r="AR1128" t="str">
        <f t="shared" si="34"/>
        <v>60602509.STATAM</v>
      </c>
      <c r="AS1128">
        <f t="shared" si="35"/>
        <v>28997604.66</v>
      </c>
      <c r="AT1128" t="s">
        <v>82</v>
      </c>
    </row>
    <row r="1129" spans="1:46" x14ac:dyDescent="0.35">
      <c r="A1129" t="s">
        <v>52</v>
      </c>
      <c r="B1129" t="s">
        <v>53</v>
      </c>
      <c r="C1129" t="s">
        <v>54</v>
      </c>
      <c r="D1129" t="s">
        <v>55</v>
      </c>
      <c r="E1129" t="s">
        <v>56</v>
      </c>
      <c r="F1129" t="s">
        <v>3627</v>
      </c>
      <c r="G1129" t="s">
        <v>3652</v>
      </c>
      <c r="H1129" t="s">
        <v>56</v>
      </c>
      <c r="I1129" t="s">
        <v>3653</v>
      </c>
      <c r="J1129" t="s">
        <v>56</v>
      </c>
      <c r="K1129" t="s">
        <v>640</v>
      </c>
      <c r="L1129" t="s">
        <v>56</v>
      </c>
      <c r="M1129" t="s">
        <v>56</v>
      </c>
      <c r="N1129" t="s">
        <v>252</v>
      </c>
      <c r="O1129" t="s">
        <v>2621</v>
      </c>
      <c r="P1129" t="s">
        <v>2622</v>
      </c>
      <c r="Q1129" t="s">
        <v>853</v>
      </c>
      <c r="R1129" t="s">
        <v>248</v>
      </c>
      <c r="S1129">
        <v>55000000</v>
      </c>
      <c r="T1129">
        <v>18195753.84</v>
      </c>
      <c r="U1129" t="s">
        <v>68</v>
      </c>
      <c r="V1129" t="s">
        <v>3630</v>
      </c>
      <c r="W1129" s="9">
        <v>60602509</v>
      </c>
      <c r="X1129" t="s">
        <v>3654</v>
      </c>
      <c r="Y1129" s="1">
        <v>45995</v>
      </c>
      <c r="Z1129" s="1">
        <v>46055</v>
      </c>
      <c r="AA1129" s="2">
        <v>11176.42</v>
      </c>
      <c r="AB1129" s="2">
        <v>9471.5400000000009</v>
      </c>
      <c r="AC1129" s="2">
        <v>1704.88</v>
      </c>
      <c r="AD1129" s="2">
        <v>11176.42</v>
      </c>
      <c r="AE1129" t="s">
        <v>3656</v>
      </c>
      <c r="AF1129" t="s">
        <v>72</v>
      </c>
      <c r="AG1129">
        <v>23</v>
      </c>
      <c r="AH1129" t="s">
        <v>73</v>
      </c>
      <c r="AI1129" t="s">
        <v>74</v>
      </c>
      <c r="AJ1129" t="s">
        <v>75</v>
      </c>
      <c r="AK1129" t="s">
        <v>76</v>
      </c>
      <c r="AL1129" t="s">
        <v>77</v>
      </c>
      <c r="AM1129" t="s">
        <v>78</v>
      </c>
      <c r="AN1129" t="s">
        <v>92</v>
      </c>
      <c r="AO1129" t="s">
        <v>80</v>
      </c>
      <c r="AP1129" t="s">
        <v>46</v>
      </c>
      <c r="AQ1129" t="s">
        <v>81</v>
      </c>
      <c r="AR1129" t="str">
        <f t="shared" si="34"/>
        <v>60602509.STATAM</v>
      </c>
      <c r="AS1129">
        <f t="shared" si="35"/>
        <v>28997604.66</v>
      </c>
      <c r="AT1129" t="s">
        <v>82</v>
      </c>
    </row>
    <row r="1130" spans="1:46" x14ac:dyDescent="0.35">
      <c r="A1130" t="s">
        <v>52</v>
      </c>
      <c r="B1130" t="s">
        <v>53</v>
      </c>
      <c r="C1130" t="s">
        <v>54</v>
      </c>
      <c r="D1130" t="s">
        <v>55</v>
      </c>
      <c r="E1130" t="s">
        <v>56</v>
      </c>
      <c r="F1130" t="s">
        <v>3627</v>
      </c>
      <c r="G1130" t="s">
        <v>3652</v>
      </c>
      <c r="H1130" t="s">
        <v>56</v>
      </c>
      <c r="I1130" t="s">
        <v>3653</v>
      </c>
      <c r="J1130" t="s">
        <v>56</v>
      </c>
      <c r="K1130" t="s">
        <v>640</v>
      </c>
      <c r="L1130" t="s">
        <v>56</v>
      </c>
      <c r="M1130" t="s">
        <v>56</v>
      </c>
      <c r="N1130" t="s">
        <v>254</v>
      </c>
      <c r="O1130" t="s">
        <v>2621</v>
      </c>
      <c r="P1130" t="s">
        <v>2622</v>
      </c>
      <c r="Q1130" t="s">
        <v>853</v>
      </c>
      <c r="R1130" t="s">
        <v>248</v>
      </c>
      <c r="S1130">
        <v>55000000</v>
      </c>
      <c r="T1130">
        <v>18195753.84</v>
      </c>
      <c r="U1130" t="s">
        <v>68</v>
      </c>
      <c r="V1130" t="s">
        <v>3630</v>
      </c>
      <c r="W1130" s="9">
        <v>60602509</v>
      </c>
      <c r="X1130" t="s">
        <v>3654</v>
      </c>
      <c r="Y1130" s="1">
        <v>45995</v>
      </c>
      <c r="Z1130" s="1">
        <v>46055</v>
      </c>
      <c r="AA1130" s="2">
        <v>305144.46000000002</v>
      </c>
      <c r="AB1130" s="2">
        <v>258597</v>
      </c>
      <c r="AC1130" s="2">
        <v>46547.46</v>
      </c>
      <c r="AD1130" s="2">
        <v>305144.46000000002</v>
      </c>
      <c r="AE1130" t="s">
        <v>3657</v>
      </c>
      <c r="AF1130" t="s">
        <v>72</v>
      </c>
      <c r="AG1130">
        <v>23</v>
      </c>
      <c r="AH1130" t="s">
        <v>73</v>
      </c>
      <c r="AI1130" t="s">
        <v>74</v>
      </c>
      <c r="AJ1130" t="s">
        <v>75</v>
      </c>
      <c r="AK1130" t="s">
        <v>76</v>
      </c>
      <c r="AL1130" t="s">
        <v>77</v>
      </c>
      <c r="AM1130" t="s">
        <v>78</v>
      </c>
      <c r="AN1130" t="s">
        <v>92</v>
      </c>
      <c r="AO1130" t="s">
        <v>80</v>
      </c>
      <c r="AP1130" t="s">
        <v>46</v>
      </c>
      <c r="AQ1130" t="s">
        <v>81</v>
      </c>
      <c r="AR1130" t="str">
        <f t="shared" si="34"/>
        <v>60602509.STATAM</v>
      </c>
      <c r="AS1130">
        <f t="shared" si="35"/>
        <v>28997604.66</v>
      </c>
      <c r="AT1130" t="s">
        <v>82</v>
      </c>
    </row>
    <row r="1131" spans="1:46" x14ac:dyDescent="0.35">
      <c r="A1131" t="s">
        <v>52</v>
      </c>
      <c r="B1131" t="s">
        <v>53</v>
      </c>
      <c r="C1131" t="s">
        <v>54</v>
      </c>
      <c r="D1131" t="s">
        <v>55</v>
      </c>
      <c r="E1131" t="s">
        <v>56</v>
      </c>
      <c r="F1131" t="s">
        <v>3627</v>
      </c>
      <c r="G1131" t="s">
        <v>3658</v>
      </c>
      <c r="H1131" t="s">
        <v>56</v>
      </c>
      <c r="I1131" t="s">
        <v>3659</v>
      </c>
      <c r="J1131" t="s">
        <v>56</v>
      </c>
      <c r="K1131" t="s">
        <v>640</v>
      </c>
      <c r="L1131" t="s">
        <v>56</v>
      </c>
      <c r="M1131" t="s">
        <v>56</v>
      </c>
      <c r="N1131" t="s">
        <v>263</v>
      </c>
      <c r="O1131" t="s">
        <v>1122</v>
      </c>
      <c r="P1131" t="s">
        <v>1123</v>
      </c>
      <c r="Q1131" t="s">
        <v>853</v>
      </c>
      <c r="R1131" t="s">
        <v>248</v>
      </c>
      <c r="S1131">
        <v>55000000</v>
      </c>
      <c r="T1131">
        <v>18195753.84</v>
      </c>
      <c r="U1131" t="s">
        <v>68</v>
      </c>
      <c r="V1131" t="s">
        <v>3630</v>
      </c>
      <c r="W1131" s="9">
        <v>60602509</v>
      </c>
      <c r="X1131" t="s">
        <v>3660</v>
      </c>
      <c r="Y1131" s="1">
        <v>46007</v>
      </c>
      <c r="Z1131" s="1">
        <v>46067</v>
      </c>
      <c r="AA1131" s="2">
        <v>69079.7</v>
      </c>
      <c r="AB1131" s="2">
        <v>58542.12</v>
      </c>
      <c r="AC1131" s="2">
        <v>10537.58</v>
      </c>
      <c r="AD1131" s="2">
        <v>69079.7</v>
      </c>
      <c r="AE1131" t="s">
        <v>3661</v>
      </c>
      <c r="AF1131" t="s">
        <v>72</v>
      </c>
      <c r="AG1131">
        <v>11</v>
      </c>
      <c r="AH1131" t="s">
        <v>73</v>
      </c>
      <c r="AI1131" t="s">
        <v>74</v>
      </c>
      <c r="AJ1131" t="s">
        <v>75</v>
      </c>
      <c r="AK1131" t="s">
        <v>76</v>
      </c>
      <c r="AL1131" t="s">
        <v>77</v>
      </c>
      <c r="AM1131" t="s">
        <v>78</v>
      </c>
      <c r="AN1131" t="s">
        <v>795</v>
      </c>
      <c r="AO1131" t="s">
        <v>80</v>
      </c>
      <c r="AP1131" t="s">
        <v>46</v>
      </c>
      <c r="AQ1131" t="s">
        <v>81</v>
      </c>
      <c r="AR1131" t="str">
        <f t="shared" si="34"/>
        <v>60602509.STATAM</v>
      </c>
      <c r="AS1131">
        <f t="shared" si="35"/>
        <v>28997604.66</v>
      </c>
      <c r="AT1131" t="s">
        <v>82</v>
      </c>
    </row>
    <row r="1132" spans="1:46" x14ac:dyDescent="0.35">
      <c r="A1132" t="s">
        <v>52</v>
      </c>
      <c r="B1132" t="s">
        <v>53</v>
      </c>
      <c r="C1132" t="s">
        <v>54</v>
      </c>
      <c r="D1132" t="s">
        <v>55</v>
      </c>
      <c r="E1132" t="s">
        <v>56</v>
      </c>
      <c r="F1132" t="s">
        <v>3627</v>
      </c>
      <c r="G1132" t="s">
        <v>3662</v>
      </c>
      <c r="H1132" t="s">
        <v>56</v>
      </c>
      <c r="I1132" t="s">
        <v>3663</v>
      </c>
      <c r="J1132" t="s">
        <v>61</v>
      </c>
      <c r="K1132" t="s">
        <v>640</v>
      </c>
      <c r="L1132" t="s">
        <v>56</v>
      </c>
      <c r="M1132" t="s">
        <v>56</v>
      </c>
      <c r="N1132" t="s">
        <v>682</v>
      </c>
      <c r="O1132" t="s">
        <v>1122</v>
      </c>
      <c r="P1132" t="s">
        <v>1123</v>
      </c>
      <c r="Q1132" t="s">
        <v>87</v>
      </c>
      <c r="R1132" t="s">
        <v>248</v>
      </c>
      <c r="S1132">
        <v>55000000</v>
      </c>
      <c r="T1132">
        <v>18195753.84</v>
      </c>
      <c r="U1132" t="s">
        <v>68</v>
      </c>
      <c r="V1132" t="s">
        <v>3630</v>
      </c>
      <c r="W1132" s="9">
        <v>60602509</v>
      </c>
      <c r="X1132" t="s">
        <v>3664</v>
      </c>
      <c r="Y1132" s="1">
        <v>46007</v>
      </c>
      <c r="Z1132" s="1">
        <v>46067</v>
      </c>
      <c r="AA1132" s="2">
        <v>11348.53</v>
      </c>
      <c r="AB1132" s="2">
        <v>9617.4</v>
      </c>
      <c r="AC1132" s="2">
        <v>1731.13</v>
      </c>
      <c r="AD1132" s="2">
        <v>11348.53</v>
      </c>
      <c r="AE1132" t="s">
        <v>3665</v>
      </c>
      <c r="AF1132" t="s">
        <v>72</v>
      </c>
      <c r="AG1132">
        <v>11</v>
      </c>
      <c r="AH1132" t="s">
        <v>73</v>
      </c>
      <c r="AI1132" t="s">
        <v>74</v>
      </c>
      <c r="AJ1132" t="s">
        <v>127</v>
      </c>
      <c r="AK1132" t="s">
        <v>334</v>
      </c>
      <c r="AL1132" t="s">
        <v>77</v>
      </c>
      <c r="AM1132" t="s">
        <v>78</v>
      </c>
      <c r="AN1132" t="s">
        <v>795</v>
      </c>
      <c r="AO1132" t="s">
        <v>80</v>
      </c>
      <c r="AP1132" t="s">
        <v>46</v>
      </c>
      <c r="AQ1132" t="s">
        <v>335</v>
      </c>
      <c r="AR1132" t="str">
        <f t="shared" si="34"/>
        <v>60602509.SPMINAM</v>
      </c>
      <c r="AS1132">
        <f t="shared" si="35"/>
        <v>1287803.46</v>
      </c>
      <c r="AT1132" t="s">
        <v>82</v>
      </c>
    </row>
    <row r="1133" spans="1:46" x14ac:dyDescent="0.35">
      <c r="A1133" t="s">
        <v>52</v>
      </c>
      <c r="B1133" t="s">
        <v>53</v>
      </c>
      <c r="C1133" t="s">
        <v>54</v>
      </c>
      <c r="D1133" t="s">
        <v>55</v>
      </c>
      <c r="E1133" t="s">
        <v>56</v>
      </c>
      <c r="F1133" t="s">
        <v>3627</v>
      </c>
      <c r="G1133" t="s">
        <v>3662</v>
      </c>
      <c r="H1133" t="s">
        <v>56</v>
      </c>
      <c r="I1133" t="s">
        <v>3663</v>
      </c>
      <c r="J1133" t="s">
        <v>61</v>
      </c>
      <c r="K1133" t="s">
        <v>640</v>
      </c>
      <c r="L1133" t="s">
        <v>56</v>
      </c>
      <c r="M1133" t="s">
        <v>56</v>
      </c>
      <c r="N1133" t="s">
        <v>252</v>
      </c>
      <c r="O1133" t="s">
        <v>1122</v>
      </c>
      <c r="P1133" t="s">
        <v>1123</v>
      </c>
      <c r="Q1133" t="s">
        <v>87</v>
      </c>
      <c r="R1133" t="s">
        <v>248</v>
      </c>
      <c r="S1133">
        <v>55000000</v>
      </c>
      <c r="T1133">
        <v>18195753.84</v>
      </c>
      <c r="U1133" t="s">
        <v>68</v>
      </c>
      <c r="V1133" t="s">
        <v>3630</v>
      </c>
      <c r="W1133" s="9">
        <v>60602509</v>
      </c>
      <c r="X1133" t="s">
        <v>3664</v>
      </c>
      <c r="Y1133" s="1">
        <v>46007</v>
      </c>
      <c r="Z1133" s="1">
        <v>46067</v>
      </c>
      <c r="AA1133" s="2">
        <v>594047.32999999996</v>
      </c>
      <c r="AB1133" s="2">
        <v>503429.94</v>
      </c>
      <c r="AC1133" s="2">
        <v>90617.39</v>
      </c>
      <c r="AD1133" s="2">
        <v>594047.32999999996</v>
      </c>
      <c r="AE1133" t="s">
        <v>3666</v>
      </c>
      <c r="AF1133" t="s">
        <v>72</v>
      </c>
      <c r="AG1133">
        <v>11</v>
      </c>
      <c r="AH1133" t="s">
        <v>73</v>
      </c>
      <c r="AI1133" t="s">
        <v>74</v>
      </c>
      <c r="AJ1133" t="s">
        <v>75</v>
      </c>
      <c r="AK1133" t="s">
        <v>76</v>
      </c>
      <c r="AL1133" t="s">
        <v>77</v>
      </c>
      <c r="AM1133" t="s">
        <v>78</v>
      </c>
      <c r="AN1133" t="s">
        <v>795</v>
      </c>
      <c r="AO1133" t="s">
        <v>80</v>
      </c>
      <c r="AP1133" t="s">
        <v>46</v>
      </c>
      <c r="AQ1133" t="s">
        <v>81</v>
      </c>
      <c r="AR1133" t="str">
        <f t="shared" si="34"/>
        <v>60602509.STATAM</v>
      </c>
      <c r="AS1133">
        <f t="shared" si="35"/>
        <v>28997604.66</v>
      </c>
      <c r="AT1133" t="s">
        <v>82</v>
      </c>
    </row>
    <row r="1134" spans="1:46" x14ac:dyDescent="0.35">
      <c r="A1134" t="s">
        <v>52</v>
      </c>
      <c r="B1134" t="s">
        <v>53</v>
      </c>
      <c r="C1134" t="s">
        <v>54</v>
      </c>
      <c r="D1134" t="s">
        <v>55</v>
      </c>
      <c r="E1134" t="s">
        <v>56</v>
      </c>
      <c r="F1134" t="s">
        <v>3627</v>
      </c>
      <c r="G1134" t="s">
        <v>3667</v>
      </c>
      <c r="H1134" t="s">
        <v>56</v>
      </c>
      <c r="I1134" t="s">
        <v>3668</v>
      </c>
      <c r="J1134" t="s">
        <v>61</v>
      </c>
      <c r="K1134" t="s">
        <v>640</v>
      </c>
      <c r="L1134" t="s">
        <v>56</v>
      </c>
      <c r="M1134" t="s">
        <v>56</v>
      </c>
      <c r="N1134" t="s">
        <v>252</v>
      </c>
      <c r="O1134" t="s">
        <v>2621</v>
      </c>
      <c r="P1134" t="s">
        <v>2622</v>
      </c>
      <c r="Q1134" t="s">
        <v>87</v>
      </c>
      <c r="R1134" t="s">
        <v>248</v>
      </c>
      <c r="S1134">
        <v>55000000</v>
      </c>
      <c r="T1134">
        <v>18195753.84</v>
      </c>
      <c r="U1134" t="s">
        <v>68</v>
      </c>
      <c r="V1134" t="s">
        <v>3630</v>
      </c>
      <c r="W1134" s="9">
        <v>60602509</v>
      </c>
      <c r="X1134" t="s">
        <v>3669</v>
      </c>
      <c r="Y1134" s="1">
        <v>46010</v>
      </c>
      <c r="Z1134" s="1">
        <v>46070</v>
      </c>
      <c r="AA1134" s="2">
        <v>2879.01</v>
      </c>
      <c r="AB1134" s="2">
        <v>2439.84</v>
      </c>
      <c r="AC1134" s="2">
        <v>439.17</v>
      </c>
      <c r="AD1134" s="2">
        <v>2879.01</v>
      </c>
      <c r="AE1134" t="s">
        <v>3670</v>
      </c>
      <c r="AF1134" t="s">
        <v>72</v>
      </c>
      <c r="AG1134">
        <v>8</v>
      </c>
      <c r="AH1134" t="s">
        <v>73</v>
      </c>
      <c r="AI1134" t="s">
        <v>74</v>
      </c>
      <c r="AJ1134" t="s">
        <v>75</v>
      </c>
      <c r="AK1134" t="s">
        <v>76</v>
      </c>
      <c r="AL1134" t="s">
        <v>77</v>
      </c>
      <c r="AM1134" t="s">
        <v>78</v>
      </c>
      <c r="AN1134" t="s">
        <v>92</v>
      </c>
      <c r="AO1134" t="s">
        <v>80</v>
      </c>
      <c r="AP1134" t="s">
        <v>46</v>
      </c>
      <c r="AQ1134" t="s">
        <v>81</v>
      </c>
      <c r="AR1134" t="str">
        <f t="shared" si="34"/>
        <v>60602509.STATAM</v>
      </c>
      <c r="AS1134">
        <f t="shared" si="35"/>
        <v>28997604.66</v>
      </c>
      <c r="AT1134" t="s">
        <v>82</v>
      </c>
    </row>
    <row r="1135" spans="1:46" x14ac:dyDescent="0.35">
      <c r="A1135" t="s">
        <v>52</v>
      </c>
      <c r="B1135" t="s">
        <v>53</v>
      </c>
      <c r="C1135" t="s">
        <v>54</v>
      </c>
      <c r="D1135" t="s">
        <v>55</v>
      </c>
      <c r="E1135" t="s">
        <v>56</v>
      </c>
      <c r="F1135" t="s">
        <v>3627</v>
      </c>
      <c r="G1135" t="s">
        <v>3667</v>
      </c>
      <c r="H1135" t="s">
        <v>56</v>
      </c>
      <c r="I1135" t="s">
        <v>3668</v>
      </c>
      <c r="J1135" t="s">
        <v>61</v>
      </c>
      <c r="K1135" t="s">
        <v>640</v>
      </c>
      <c r="L1135" t="s">
        <v>56</v>
      </c>
      <c r="M1135" t="s">
        <v>56</v>
      </c>
      <c r="N1135" t="s">
        <v>295</v>
      </c>
      <c r="O1135" t="s">
        <v>2621</v>
      </c>
      <c r="P1135" t="s">
        <v>2622</v>
      </c>
      <c r="Q1135" t="s">
        <v>87</v>
      </c>
      <c r="R1135" t="s">
        <v>248</v>
      </c>
      <c r="S1135">
        <v>55000000</v>
      </c>
      <c r="T1135">
        <v>18195753.84</v>
      </c>
      <c r="U1135" t="s">
        <v>68</v>
      </c>
      <c r="V1135" t="s">
        <v>3630</v>
      </c>
      <c r="W1135" s="9">
        <v>60602509</v>
      </c>
      <c r="X1135" t="s">
        <v>3669</v>
      </c>
      <c r="Y1135" s="1">
        <v>46010</v>
      </c>
      <c r="Z1135" s="1">
        <v>46070</v>
      </c>
      <c r="AA1135" s="2">
        <v>2218.16</v>
      </c>
      <c r="AB1135" s="2">
        <v>1879.8</v>
      </c>
      <c r="AC1135" s="2">
        <v>338.36</v>
      </c>
      <c r="AD1135" s="2">
        <v>2218.16</v>
      </c>
      <c r="AE1135" t="s">
        <v>3671</v>
      </c>
      <c r="AF1135" t="s">
        <v>72</v>
      </c>
      <c r="AG1135">
        <v>8</v>
      </c>
      <c r="AH1135" t="s">
        <v>73</v>
      </c>
      <c r="AI1135" t="s">
        <v>74</v>
      </c>
      <c r="AJ1135" t="s">
        <v>75</v>
      </c>
      <c r="AK1135" t="s">
        <v>76</v>
      </c>
      <c r="AL1135" t="s">
        <v>77</v>
      </c>
      <c r="AM1135" t="s">
        <v>78</v>
      </c>
      <c r="AN1135" t="s">
        <v>92</v>
      </c>
      <c r="AO1135" t="s">
        <v>80</v>
      </c>
      <c r="AP1135" t="s">
        <v>46</v>
      </c>
      <c r="AQ1135" t="s">
        <v>81</v>
      </c>
      <c r="AR1135" t="str">
        <f t="shared" si="34"/>
        <v>60602509.STATAM</v>
      </c>
      <c r="AS1135">
        <f t="shared" si="35"/>
        <v>28997604.66</v>
      </c>
      <c r="AT1135" t="s">
        <v>82</v>
      </c>
    </row>
    <row r="1136" spans="1:46" x14ac:dyDescent="0.35">
      <c r="A1136" t="s">
        <v>52</v>
      </c>
      <c r="B1136" t="s">
        <v>53</v>
      </c>
      <c r="C1136" t="s">
        <v>54</v>
      </c>
      <c r="D1136" t="s">
        <v>55</v>
      </c>
      <c r="E1136" t="s">
        <v>56</v>
      </c>
      <c r="F1136" t="s">
        <v>3627</v>
      </c>
      <c r="G1136" t="s">
        <v>3667</v>
      </c>
      <c r="H1136" t="s">
        <v>56</v>
      </c>
      <c r="I1136" t="s">
        <v>3672</v>
      </c>
      <c r="J1136" t="s">
        <v>61</v>
      </c>
      <c r="K1136" t="s">
        <v>640</v>
      </c>
      <c r="L1136" t="s">
        <v>56</v>
      </c>
      <c r="M1136" t="s">
        <v>56</v>
      </c>
      <c r="N1136" t="s">
        <v>1384</v>
      </c>
      <c r="O1136" t="s">
        <v>2621</v>
      </c>
      <c r="P1136" t="s">
        <v>2622</v>
      </c>
      <c r="Q1136" t="s">
        <v>87</v>
      </c>
      <c r="R1136" t="s">
        <v>248</v>
      </c>
      <c r="S1136">
        <v>55000000</v>
      </c>
      <c r="T1136">
        <v>18195753.84</v>
      </c>
      <c r="U1136" t="s">
        <v>68</v>
      </c>
      <c r="V1136" t="s">
        <v>3630</v>
      </c>
      <c r="W1136" s="9">
        <v>60602509</v>
      </c>
      <c r="X1136" t="s">
        <v>3673</v>
      </c>
      <c r="Y1136" s="1">
        <v>46010</v>
      </c>
      <c r="Z1136" s="1">
        <v>46070</v>
      </c>
      <c r="AA1136" s="2">
        <v>18558.95</v>
      </c>
      <c r="AB1136" s="2">
        <v>15727.92</v>
      </c>
      <c r="AC1136" s="2">
        <v>2831.03</v>
      </c>
      <c r="AD1136" s="2">
        <v>18558.95</v>
      </c>
      <c r="AE1136" t="s">
        <v>3674</v>
      </c>
      <c r="AF1136" t="s">
        <v>72</v>
      </c>
      <c r="AG1136">
        <v>8</v>
      </c>
      <c r="AH1136" t="s">
        <v>73</v>
      </c>
      <c r="AI1136" t="s">
        <v>74</v>
      </c>
      <c r="AJ1136" t="s">
        <v>75</v>
      </c>
      <c r="AK1136" t="s">
        <v>76</v>
      </c>
      <c r="AL1136" t="s">
        <v>77</v>
      </c>
      <c r="AM1136" t="s">
        <v>78</v>
      </c>
      <c r="AN1136" t="s">
        <v>92</v>
      </c>
      <c r="AO1136" t="s">
        <v>80</v>
      </c>
      <c r="AP1136" t="s">
        <v>46</v>
      </c>
      <c r="AQ1136" t="s">
        <v>81</v>
      </c>
      <c r="AR1136" t="str">
        <f t="shared" si="34"/>
        <v>60602509.STATAM</v>
      </c>
      <c r="AS1136">
        <f t="shared" si="35"/>
        <v>28997604.66</v>
      </c>
      <c r="AT1136" t="s">
        <v>82</v>
      </c>
    </row>
    <row r="1137" spans="1:46" x14ac:dyDescent="0.35">
      <c r="A1137" t="s">
        <v>52</v>
      </c>
      <c r="B1137" t="s">
        <v>53</v>
      </c>
      <c r="C1137" t="s">
        <v>54</v>
      </c>
      <c r="D1137" t="s">
        <v>55</v>
      </c>
      <c r="E1137" t="s">
        <v>56</v>
      </c>
      <c r="F1137" t="s">
        <v>3627</v>
      </c>
      <c r="G1137" t="s">
        <v>3667</v>
      </c>
      <c r="H1137" t="s">
        <v>56</v>
      </c>
      <c r="I1137" t="s">
        <v>3672</v>
      </c>
      <c r="J1137" t="s">
        <v>61</v>
      </c>
      <c r="K1137" t="s">
        <v>640</v>
      </c>
      <c r="L1137" t="s">
        <v>56</v>
      </c>
      <c r="M1137" t="s">
        <v>56</v>
      </c>
      <c r="N1137" t="s">
        <v>244</v>
      </c>
      <c r="O1137" t="s">
        <v>2621</v>
      </c>
      <c r="P1137" t="s">
        <v>2622</v>
      </c>
      <c r="Q1137" t="s">
        <v>87</v>
      </c>
      <c r="R1137" t="s">
        <v>248</v>
      </c>
      <c r="S1137">
        <v>55000000</v>
      </c>
      <c r="T1137">
        <v>18195753.84</v>
      </c>
      <c r="U1137" t="s">
        <v>68</v>
      </c>
      <c r="V1137" t="s">
        <v>3630</v>
      </c>
      <c r="W1137" s="9">
        <v>60602509</v>
      </c>
      <c r="X1137" t="s">
        <v>3673</v>
      </c>
      <c r="Y1137" s="1">
        <v>46010</v>
      </c>
      <c r="Z1137" s="1">
        <v>46070</v>
      </c>
      <c r="AA1137" s="2">
        <v>425723.47</v>
      </c>
      <c r="AB1137" s="2">
        <v>360782.6</v>
      </c>
      <c r="AC1137" s="2">
        <v>64940.87</v>
      </c>
      <c r="AD1137" s="2">
        <v>425723.47</v>
      </c>
      <c r="AE1137" t="s">
        <v>3675</v>
      </c>
      <c r="AF1137" t="s">
        <v>72</v>
      </c>
      <c r="AG1137">
        <v>8</v>
      </c>
      <c r="AH1137" t="s">
        <v>73</v>
      </c>
      <c r="AI1137" t="s">
        <v>74</v>
      </c>
      <c r="AJ1137" t="s">
        <v>75</v>
      </c>
      <c r="AK1137" t="s">
        <v>76</v>
      </c>
      <c r="AL1137" t="s">
        <v>77</v>
      </c>
      <c r="AM1137" t="s">
        <v>78</v>
      </c>
      <c r="AN1137" t="s">
        <v>92</v>
      </c>
      <c r="AO1137" t="s">
        <v>80</v>
      </c>
      <c r="AP1137" t="s">
        <v>46</v>
      </c>
      <c r="AQ1137" t="s">
        <v>81</v>
      </c>
      <c r="AR1137" t="str">
        <f t="shared" si="34"/>
        <v>60602509.STATAM</v>
      </c>
      <c r="AS1137">
        <f t="shared" si="35"/>
        <v>28997604.66</v>
      </c>
      <c r="AT1137" t="s">
        <v>82</v>
      </c>
    </row>
    <row r="1138" spans="1:46" x14ac:dyDescent="0.35">
      <c r="A1138" t="s">
        <v>52</v>
      </c>
      <c r="B1138" t="s">
        <v>53</v>
      </c>
      <c r="C1138" t="s">
        <v>54</v>
      </c>
      <c r="D1138" t="s">
        <v>55</v>
      </c>
      <c r="E1138" t="s">
        <v>56</v>
      </c>
      <c r="F1138" t="s">
        <v>3627</v>
      </c>
      <c r="G1138" t="s">
        <v>3667</v>
      </c>
      <c r="H1138" t="s">
        <v>56</v>
      </c>
      <c r="I1138" t="s">
        <v>3672</v>
      </c>
      <c r="J1138" t="s">
        <v>61</v>
      </c>
      <c r="K1138" t="s">
        <v>640</v>
      </c>
      <c r="L1138" t="s">
        <v>56</v>
      </c>
      <c r="M1138" t="s">
        <v>56</v>
      </c>
      <c r="N1138" t="s">
        <v>261</v>
      </c>
      <c r="O1138" t="s">
        <v>2621</v>
      </c>
      <c r="P1138" t="s">
        <v>2622</v>
      </c>
      <c r="Q1138" t="s">
        <v>87</v>
      </c>
      <c r="R1138" t="s">
        <v>248</v>
      </c>
      <c r="S1138">
        <v>55000000</v>
      </c>
      <c r="T1138">
        <v>18195753.84</v>
      </c>
      <c r="U1138" t="s">
        <v>68</v>
      </c>
      <c r="V1138" t="s">
        <v>3630</v>
      </c>
      <c r="W1138" s="9">
        <v>60602509</v>
      </c>
      <c r="X1138" t="s">
        <v>3673</v>
      </c>
      <c r="Y1138" s="1">
        <v>46010</v>
      </c>
      <c r="Z1138" s="1">
        <v>46070</v>
      </c>
      <c r="AA1138" s="2">
        <v>98675.520000000004</v>
      </c>
      <c r="AB1138" s="2">
        <v>83623.320000000007</v>
      </c>
      <c r="AC1138" s="2">
        <v>15052.2</v>
      </c>
      <c r="AD1138" s="2">
        <v>98675.520000000004</v>
      </c>
      <c r="AE1138" t="s">
        <v>3676</v>
      </c>
      <c r="AF1138" t="s">
        <v>72</v>
      </c>
      <c r="AG1138">
        <v>8</v>
      </c>
      <c r="AH1138" t="s">
        <v>73</v>
      </c>
      <c r="AI1138" t="s">
        <v>74</v>
      </c>
      <c r="AJ1138" t="s">
        <v>75</v>
      </c>
      <c r="AK1138" t="s">
        <v>76</v>
      </c>
      <c r="AL1138" t="s">
        <v>77</v>
      </c>
      <c r="AM1138" t="s">
        <v>78</v>
      </c>
      <c r="AN1138" t="s">
        <v>92</v>
      </c>
      <c r="AO1138" t="s">
        <v>80</v>
      </c>
      <c r="AP1138" t="s">
        <v>46</v>
      </c>
      <c r="AQ1138" t="s">
        <v>81</v>
      </c>
      <c r="AR1138" t="str">
        <f t="shared" si="34"/>
        <v>60602509.STATAM</v>
      </c>
      <c r="AS1138">
        <f t="shared" si="35"/>
        <v>28997604.66</v>
      </c>
      <c r="AT1138" t="s">
        <v>82</v>
      </c>
    </row>
    <row r="1139" spans="1:46" x14ac:dyDescent="0.35">
      <c r="A1139" t="s">
        <v>52</v>
      </c>
      <c r="B1139" t="s">
        <v>53</v>
      </c>
      <c r="C1139" t="s">
        <v>54</v>
      </c>
      <c r="D1139" t="s">
        <v>55</v>
      </c>
      <c r="E1139" t="s">
        <v>56</v>
      </c>
      <c r="F1139" t="s">
        <v>3627</v>
      </c>
      <c r="G1139" t="s">
        <v>3667</v>
      </c>
      <c r="H1139" t="s">
        <v>56</v>
      </c>
      <c r="I1139" t="s">
        <v>3672</v>
      </c>
      <c r="J1139" t="s">
        <v>61</v>
      </c>
      <c r="K1139" t="s">
        <v>640</v>
      </c>
      <c r="L1139" t="s">
        <v>56</v>
      </c>
      <c r="M1139" t="s">
        <v>56</v>
      </c>
      <c r="N1139" t="s">
        <v>254</v>
      </c>
      <c r="O1139" t="s">
        <v>2621</v>
      </c>
      <c r="P1139" t="s">
        <v>2622</v>
      </c>
      <c r="Q1139" t="s">
        <v>87</v>
      </c>
      <c r="R1139" t="s">
        <v>248</v>
      </c>
      <c r="S1139">
        <v>55000000</v>
      </c>
      <c r="T1139">
        <v>18195753.84</v>
      </c>
      <c r="U1139" t="s">
        <v>68</v>
      </c>
      <c r="V1139" t="s">
        <v>3630</v>
      </c>
      <c r="W1139" s="9">
        <v>60602509</v>
      </c>
      <c r="X1139" t="s">
        <v>3673</v>
      </c>
      <c r="Y1139" s="1">
        <v>46010</v>
      </c>
      <c r="Z1139" s="1">
        <v>46070</v>
      </c>
      <c r="AA1139" s="2">
        <v>772984.96</v>
      </c>
      <c r="AB1139" s="2">
        <v>655072</v>
      </c>
      <c r="AC1139" s="2">
        <v>117912.96000000001</v>
      </c>
      <c r="AD1139" s="2">
        <v>772984.96</v>
      </c>
      <c r="AE1139" t="s">
        <v>3677</v>
      </c>
      <c r="AF1139" t="s">
        <v>72</v>
      </c>
      <c r="AG1139">
        <v>8</v>
      </c>
      <c r="AH1139" t="s">
        <v>73</v>
      </c>
      <c r="AI1139" t="s">
        <v>74</v>
      </c>
      <c r="AJ1139" t="s">
        <v>75</v>
      </c>
      <c r="AK1139" t="s">
        <v>76</v>
      </c>
      <c r="AL1139" t="s">
        <v>77</v>
      </c>
      <c r="AM1139" t="s">
        <v>78</v>
      </c>
      <c r="AN1139" t="s">
        <v>92</v>
      </c>
      <c r="AO1139" t="s">
        <v>80</v>
      </c>
      <c r="AP1139" t="s">
        <v>46</v>
      </c>
      <c r="AQ1139" t="s">
        <v>81</v>
      </c>
      <c r="AR1139" t="str">
        <f t="shared" si="34"/>
        <v>60602509.STATAM</v>
      </c>
      <c r="AS1139">
        <f t="shared" si="35"/>
        <v>28997604.66</v>
      </c>
      <c r="AT1139" t="s">
        <v>82</v>
      </c>
    </row>
    <row r="1140" spans="1:46" x14ac:dyDescent="0.35">
      <c r="A1140" t="s">
        <v>52</v>
      </c>
      <c r="B1140" t="s">
        <v>53</v>
      </c>
      <c r="C1140" t="s">
        <v>54</v>
      </c>
      <c r="D1140" t="s">
        <v>55</v>
      </c>
      <c r="E1140" t="s">
        <v>56</v>
      </c>
      <c r="F1140" t="s">
        <v>3627</v>
      </c>
      <c r="G1140" t="s">
        <v>3667</v>
      </c>
      <c r="H1140" t="s">
        <v>56</v>
      </c>
      <c r="I1140" t="s">
        <v>3672</v>
      </c>
      <c r="J1140" t="s">
        <v>61</v>
      </c>
      <c r="K1140" t="s">
        <v>640</v>
      </c>
      <c r="L1140" t="s">
        <v>56</v>
      </c>
      <c r="M1140" t="s">
        <v>56</v>
      </c>
      <c r="N1140" t="s">
        <v>263</v>
      </c>
      <c r="O1140" t="s">
        <v>2621</v>
      </c>
      <c r="P1140" t="s">
        <v>2622</v>
      </c>
      <c r="Q1140" t="s">
        <v>87</v>
      </c>
      <c r="R1140" t="s">
        <v>248</v>
      </c>
      <c r="S1140">
        <v>55000000</v>
      </c>
      <c r="T1140">
        <v>18195753.84</v>
      </c>
      <c r="U1140" t="s">
        <v>68</v>
      </c>
      <c r="V1140" t="s">
        <v>3630</v>
      </c>
      <c r="W1140" s="9">
        <v>60602509</v>
      </c>
      <c r="X1140" t="s">
        <v>3673</v>
      </c>
      <c r="Y1140" s="1">
        <v>46010</v>
      </c>
      <c r="Z1140" s="1">
        <v>46070</v>
      </c>
      <c r="AA1140" s="2">
        <v>3055.73</v>
      </c>
      <c r="AB1140" s="2">
        <v>2589.6</v>
      </c>
      <c r="AC1140" s="2">
        <v>466.13</v>
      </c>
      <c r="AD1140" s="2">
        <v>3055.73</v>
      </c>
      <c r="AE1140" t="s">
        <v>3678</v>
      </c>
      <c r="AF1140" t="s">
        <v>72</v>
      </c>
      <c r="AG1140">
        <v>8</v>
      </c>
      <c r="AH1140" t="s">
        <v>73</v>
      </c>
      <c r="AI1140" t="s">
        <v>74</v>
      </c>
      <c r="AJ1140" t="s">
        <v>75</v>
      </c>
      <c r="AK1140" t="s">
        <v>76</v>
      </c>
      <c r="AL1140" t="s">
        <v>77</v>
      </c>
      <c r="AM1140" t="s">
        <v>78</v>
      </c>
      <c r="AN1140" t="s">
        <v>92</v>
      </c>
      <c r="AO1140" t="s">
        <v>80</v>
      </c>
      <c r="AP1140" t="s">
        <v>46</v>
      </c>
      <c r="AQ1140" t="s">
        <v>81</v>
      </c>
      <c r="AR1140" t="str">
        <f t="shared" si="34"/>
        <v>60602509.STATAM</v>
      </c>
      <c r="AS1140">
        <f t="shared" si="35"/>
        <v>28997604.66</v>
      </c>
      <c r="AT1140" t="s">
        <v>82</v>
      </c>
    </row>
    <row r="1141" spans="1:46" x14ac:dyDescent="0.35">
      <c r="A1141" t="s">
        <v>52</v>
      </c>
      <c r="B1141" t="s">
        <v>53</v>
      </c>
      <c r="C1141" t="s">
        <v>54</v>
      </c>
      <c r="D1141" t="s">
        <v>55</v>
      </c>
      <c r="E1141" t="s">
        <v>56</v>
      </c>
      <c r="F1141" t="s">
        <v>3627</v>
      </c>
      <c r="G1141" t="s">
        <v>3667</v>
      </c>
      <c r="H1141" t="s">
        <v>56</v>
      </c>
      <c r="I1141" t="s">
        <v>3672</v>
      </c>
      <c r="J1141" t="s">
        <v>61</v>
      </c>
      <c r="K1141" t="s">
        <v>640</v>
      </c>
      <c r="L1141" t="s">
        <v>56</v>
      </c>
      <c r="M1141" t="s">
        <v>56</v>
      </c>
      <c r="N1141" t="s">
        <v>252</v>
      </c>
      <c r="O1141" t="s">
        <v>2621</v>
      </c>
      <c r="P1141" t="s">
        <v>2622</v>
      </c>
      <c r="Q1141" t="s">
        <v>87</v>
      </c>
      <c r="R1141" t="s">
        <v>248</v>
      </c>
      <c r="S1141">
        <v>55000000</v>
      </c>
      <c r="T1141">
        <v>18195753.84</v>
      </c>
      <c r="U1141" t="s">
        <v>68</v>
      </c>
      <c r="V1141" t="s">
        <v>3630</v>
      </c>
      <c r="W1141" s="9">
        <v>60602509</v>
      </c>
      <c r="X1141" t="s">
        <v>3673</v>
      </c>
      <c r="Y1141" s="1">
        <v>46010</v>
      </c>
      <c r="Z1141" s="1">
        <v>46070</v>
      </c>
      <c r="AA1141" s="2">
        <v>20486.259999999998</v>
      </c>
      <c r="AB1141" s="2">
        <v>17361.240000000002</v>
      </c>
      <c r="AC1141" s="2">
        <v>3125.02</v>
      </c>
      <c r="AD1141" s="2">
        <v>20486.259999999998</v>
      </c>
      <c r="AE1141" t="s">
        <v>3679</v>
      </c>
      <c r="AF1141" t="s">
        <v>72</v>
      </c>
      <c r="AG1141">
        <v>8</v>
      </c>
      <c r="AH1141" t="s">
        <v>73</v>
      </c>
      <c r="AI1141" t="s">
        <v>74</v>
      </c>
      <c r="AJ1141" t="s">
        <v>75</v>
      </c>
      <c r="AK1141" t="s">
        <v>76</v>
      </c>
      <c r="AL1141" t="s">
        <v>77</v>
      </c>
      <c r="AM1141" t="s">
        <v>78</v>
      </c>
      <c r="AN1141" t="s">
        <v>92</v>
      </c>
      <c r="AO1141" t="s">
        <v>80</v>
      </c>
      <c r="AP1141" t="s">
        <v>46</v>
      </c>
      <c r="AQ1141" t="s">
        <v>81</v>
      </c>
      <c r="AR1141" t="str">
        <f t="shared" si="34"/>
        <v>60602509.STATAM</v>
      </c>
      <c r="AS1141">
        <f t="shared" si="35"/>
        <v>28997604.66</v>
      </c>
      <c r="AT1141" t="s">
        <v>82</v>
      </c>
    </row>
    <row r="1142" spans="1:46" x14ac:dyDescent="0.35">
      <c r="A1142" t="s">
        <v>52</v>
      </c>
      <c r="B1142" t="s">
        <v>53</v>
      </c>
      <c r="C1142" t="s">
        <v>54</v>
      </c>
      <c r="D1142" t="s">
        <v>55</v>
      </c>
      <c r="E1142" t="s">
        <v>56</v>
      </c>
      <c r="F1142" t="s">
        <v>3627</v>
      </c>
      <c r="G1142" t="s">
        <v>3662</v>
      </c>
      <c r="H1142" t="s">
        <v>56</v>
      </c>
      <c r="I1142" t="s">
        <v>3680</v>
      </c>
      <c r="J1142" t="s">
        <v>61</v>
      </c>
      <c r="K1142" t="s">
        <v>640</v>
      </c>
      <c r="L1142" t="s">
        <v>56</v>
      </c>
      <c r="M1142" t="s">
        <v>56</v>
      </c>
      <c r="N1142" t="s">
        <v>252</v>
      </c>
      <c r="O1142" t="s">
        <v>1122</v>
      </c>
      <c r="P1142" t="s">
        <v>1123</v>
      </c>
      <c r="Q1142" t="s">
        <v>87</v>
      </c>
      <c r="R1142" t="s">
        <v>248</v>
      </c>
      <c r="S1142">
        <v>55000000</v>
      </c>
      <c r="T1142">
        <v>18195753.84</v>
      </c>
      <c r="U1142" t="s">
        <v>68</v>
      </c>
      <c r="V1142" t="s">
        <v>3630</v>
      </c>
      <c r="W1142" s="9">
        <v>60602509</v>
      </c>
      <c r="X1142" t="s">
        <v>3681</v>
      </c>
      <c r="Y1142" s="1">
        <v>46011</v>
      </c>
      <c r="Z1142" s="1">
        <v>46071</v>
      </c>
      <c r="AA1142" s="2">
        <v>11278.58</v>
      </c>
      <c r="AB1142" s="2">
        <v>9558.1200000000008</v>
      </c>
      <c r="AC1142" s="2">
        <v>1720.46</v>
      </c>
      <c r="AD1142" s="2">
        <v>11278.58</v>
      </c>
      <c r="AE1142" t="s">
        <v>3682</v>
      </c>
      <c r="AF1142" t="s">
        <v>72</v>
      </c>
      <c r="AG1142">
        <v>7</v>
      </c>
      <c r="AH1142" t="s">
        <v>73</v>
      </c>
      <c r="AI1142" t="s">
        <v>74</v>
      </c>
      <c r="AJ1142" t="s">
        <v>75</v>
      </c>
      <c r="AK1142" t="s">
        <v>76</v>
      </c>
      <c r="AL1142" t="s">
        <v>77</v>
      </c>
      <c r="AM1142" t="s">
        <v>78</v>
      </c>
      <c r="AN1142" t="s">
        <v>795</v>
      </c>
      <c r="AO1142" t="s">
        <v>80</v>
      </c>
      <c r="AP1142" t="s">
        <v>46</v>
      </c>
      <c r="AQ1142" t="s">
        <v>81</v>
      </c>
      <c r="AR1142" t="str">
        <f t="shared" si="34"/>
        <v>60602509.STATAM</v>
      </c>
      <c r="AS1142">
        <f t="shared" si="35"/>
        <v>28997604.66</v>
      </c>
      <c r="AT1142" t="s">
        <v>82</v>
      </c>
    </row>
    <row r="1143" spans="1:46" x14ac:dyDescent="0.35">
      <c r="A1143" t="s">
        <v>52</v>
      </c>
      <c r="B1143" t="s">
        <v>53</v>
      </c>
      <c r="C1143" t="s">
        <v>54</v>
      </c>
      <c r="D1143" t="s">
        <v>55</v>
      </c>
      <c r="E1143" t="s">
        <v>56</v>
      </c>
      <c r="F1143" t="s">
        <v>3627</v>
      </c>
      <c r="G1143" t="s">
        <v>3662</v>
      </c>
      <c r="H1143" t="s">
        <v>56</v>
      </c>
      <c r="I1143" t="s">
        <v>3680</v>
      </c>
      <c r="J1143" t="s">
        <v>61</v>
      </c>
      <c r="K1143" t="s">
        <v>640</v>
      </c>
      <c r="L1143" t="s">
        <v>56</v>
      </c>
      <c r="M1143" t="s">
        <v>56</v>
      </c>
      <c r="N1143" t="s">
        <v>295</v>
      </c>
      <c r="O1143" t="s">
        <v>1122</v>
      </c>
      <c r="P1143" t="s">
        <v>1123</v>
      </c>
      <c r="Q1143" t="s">
        <v>87</v>
      </c>
      <c r="R1143" t="s">
        <v>248</v>
      </c>
      <c r="S1143">
        <v>55000000</v>
      </c>
      <c r="T1143">
        <v>18195753.84</v>
      </c>
      <c r="U1143" t="s">
        <v>68</v>
      </c>
      <c r="V1143" t="s">
        <v>3630</v>
      </c>
      <c r="W1143" s="9">
        <v>60602509</v>
      </c>
      <c r="X1143" t="s">
        <v>3681</v>
      </c>
      <c r="Y1143" s="1">
        <v>46011</v>
      </c>
      <c r="Z1143" s="1">
        <v>46071</v>
      </c>
      <c r="AA1143" s="2">
        <v>331.34</v>
      </c>
      <c r="AB1143" s="2">
        <v>280.8</v>
      </c>
      <c r="AC1143" s="2">
        <v>50.54</v>
      </c>
      <c r="AD1143" s="2">
        <v>331.34</v>
      </c>
      <c r="AE1143" t="s">
        <v>3683</v>
      </c>
      <c r="AF1143" t="s">
        <v>72</v>
      </c>
      <c r="AG1143">
        <v>7</v>
      </c>
      <c r="AH1143" t="s">
        <v>73</v>
      </c>
      <c r="AI1143" t="s">
        <v>74</v>
      </c>
      <c r="AJ1143" t="s">
        <v>75</v>
      </c>
      <c r="AK1143" t="s">
        <v>76</v>
      </c>
      <c r="AL1143" t="s">
        <v>77</v>
      </c>
      <c r="AM1143" t="s">
        <v>78</v>
      </c>
      <c r="AN1143" t="s">
        <v>795</v>
      </c>
      <c r="AO1143" t="s">
        <v>80</v>
      </c>
      <c r="AP1143" t="s">
        <v>46</v>
      </c>
      <c r="AQ1143" t="s">
        <v>81</v>
      </c>
      <c r="AR1143" t="str">
        <f t="shared" si="34"/>
        <v>60602509.STATAM</v>
      </c>
      <c r="AS1143">
        <f t="shared" si="35"/>
        <v>28997604.66</v>
      </c>
      <c r="AT1143" t="s">
        <v>82</v>
      </c>
    </row>
    <row r="1144" spans="1:46" x14ac:dyDescent="0.35">
      <c r="A1144" t="s">
        <v>52</v>
      </c>
      <c r="B1144" t="s">
        <v>53</v>
      </c>
      <c r="C1144" t="s">
        <v>54</v>
      </c>
      <c r="D1144" t="s">
        <v>55</v>
      </c>
      <c r="E1144" t="s">
        <v>56</v>
      </c>
      <c r="F1144" t="s">
        <v>3627</v>
      </c>
      <c r="G1144" t="s">
        <v>3662</v>
      </c>
      <c r="H1144" t="s">
        <v>56</v>
      </c>
      <c r="I1144" t="s">
        <v>3680</v>
      </c>
      <c r="J1144" t="s">
        <v>61</v>
      </c>
      <c r="K1144" t="s">
        <v>640</v>
      </c>
      <c r="L1144" t="s">
        <v>56</v>
      </c>
      <c r="M1144" t="s">
        <v>56</v>
      </c>
      <c r="N1144" t="s">
        <v>682</v>
      </c>
      <c r="O1144" t="s">
        <v>1122</v>
      </c>
      <c r="P1144" t="s">
        <v>1123</v>
      </c>
      <c r="Q1144" t="s">
        <v>87</v>
      </c>
      <c r="R1144" t="s">
        <v>248</v>
      </c>
      <c r="S1144">
        <v>55000000</v>
      </c>
      <c r="T1144">
        <v>18195753.84</v>
      </c>
      <c r="U1144" t="s">
        <v>68</v>
      </c>
      <c r="V1144" t="s">
        <v>3630</v>
      </c>
      <c r="W1144" s="9">
        <v>60602509</v>
      </c>
      <c r="X1144" t="s">
        <v>3681</v>
      </c>
      <c r="Y1144" s="1">
        <v>46011</v>
      </c>
      <c r="Z1144" s="1">
        <v>46071</v>
      </c>
      <c r="AA1144" s="2">
        <v>251714.66</v>
      </c>
      <c r="AB1144" s="2">
        <v>213317.52</v>
      </c>
      <c r="AC1144" s="2">
        <v>38397.14</v>
      </c>
      <c r="AD1144" s="2">
        <v>251714.66</v>
      </c>
      <c r="AE1144" t="s">
        <v>3684</v>
      </c>
      <c r="AF1144" t="s">
        <v>72</v>
      </c>
      <c r="AG1144">
        <v>7</v>
      </c>
      <c r="AH1144" t="s">
        <v>73</v>
      </c>
      <c r="AI1144" t="s">
        <v>74</v>
      </c>
      <c r="AJ1144" t="s">
        <v>127</v>
      </c>
      <c r="AK1144" t="s">
        <v>334</v>
      </c>
      <c r="AL1144" t="s">
        <v>77</v>
      </c>
      <c r="AM1144" t="s">
        <v>78</v>
      </c>
      <c r="AN1144" t="s">
        <v>795</v>
      </c>
      <c r="AO1144" t="s">
        <v>80</v>
      </c>
      <c r="AP1144" t="s">
        <v>46</v>
      </c>
      <c r="AQ1144" t="s">
        <v>335</v>
      </c>
      <c r="AR1144" t="str">
        <f t="shared" si="34"/>
        <v>60602509.SPMINAM</v>
      </c>
      <c r="AS1144">
        <f t="shared" si="35"/>
        <v>1287803.46</v>
      </c>
      <c r="AT1144" t="s">
        <v>82</v>
      </c>
    </row>
    <row r="1145" spans="1:46" x14ac:dyDescent="0.35">
      <c r="A1145" t="s">
        <v>52</v>
      </c>
      <c r="B1145" t="s">
        <v>53</v>
      </c>
      <c r="C1145" t="s">
        <v>54</v>
      </c>
      <c r="D1145" t="s">
        <v>55</v>
      </c>
      <c r="E1145" t="s">
        <v>56</v>
      </c>
      <c r="F1145" t="s">
        <v>3627</v>
      </c>
      <c r="G1145" t="s">
        <v>3662</v>
      </c>
      <c r="H1145" t="s">
        <v>56</v>
      </c>
      <c r="I1145" t="s">
        <v>3685</v>
      </c>
      <c r="J1145" t="s">
        <v>61</v>
      </c>
      <c r="K1145" t="s">
        <v>640</v>
      </c>
      <c r="L1145" t="s">
        <v>56</v>
      </c>
      <c r="M1145" t="s">
        <v>56</v>
      </c>
      <c r="N1145" t="s">
        <v>252</v>
      </c>
      <c r="O1145" t="s">
        <v>1122</v>
      </c>
      <c r="P1145" t="s">
        <v>1123</v>
      </c>
      <c r="Q1145" t="s">
        <v>87</v>
      </c>
      <c r="R1145" t="s">
        <v>248</v>
      </c>
      <c r="S1145">
        <v>55000000</v>
      </c>
      <c r="T1145">
        <v>18195753.84</v>
      </c>
      <c r="U1145" t="s">
        <v>68</v>
      </c>
      <c r="V1145" t="s">
        <v>3630</v>
      </c>
      <c r="W1145" s="9">
        <v>60602509</v>
      </c>
      <c r="X1145" t="s">
        <v>3686</v>
      </c>
      <c r="Y1145" s="1">
        <v>46015</v>
      </c>
      <c r="Z1145" s="1">
        <v>46075</v>
      </c>
      <c r="AA1145" s="2">
        <v>652662.07999999996</v>
      </c>
      <c r="AB1145" s="2">
        <v>553103.46</v>
      </c>
      <c r="AC1145" s="2">
        <v>99558.62</v>
      </c>
      <c r="AD1145" s="2">
        <v>652662.07999999996</v>
      </c>
      <c r="AE1145" t="s">
        <v>3687</v>
      </c>
      <c r="AF1145" t="s">
        <v>72</v>
      </c>
      <c r="AG1145">
        <v>3</v>
      </c>
      <c r="AH1145" t="s">
        <v>73</v>
      </c>
      <c r="AI1145" t="s">
        <v>74</v>
      </c>
      <c r="AJ1145" t="s">
        <v>75</v>
      </c>
      <c r="AK1145" t="s">
        <v>76</v>
      </c>
      <c r="AL1145" t="s">
        <v>77</v>
      </c>
      <c r="AM1145" t="s">
        <v>78</v>
      </c>
      <c r="AN1145" t="s">
        <v>795</v>
      </c>
      <c r="AO1145" t="s">
        <v>80</v>
      </c>
      <c r="AP1145" t="s">
        <v>46</v>
      </c>
      <c r="AQ1145" t="s">
        <v>81</v>
      </c>
      <c r="AR1145" t="str">
        <f t="shared" si="34"/>
        <v>60602509.STATAM</v>
      </c>
      <c r="AS1145">
        <f t="shared" si="35"/>
        <v>28997604.66</v>
      </c>
      <c r="AT1145" t="s">
        <v>82</v>
      </c>
    </row>
    <row r="1146" spans="1:46" x14ac:dyDescent="0.35">
      <c r="A1146" t="s">
        <v>52</v>
      </c>
      <c r="B1146" t="s">
        <v>53</v>
      </c>
      <c r="C1146" t="s">
        <v>54</v>
      </c>
      <c r="D1146" t="s">
        <v>55</v>
      </c>
      <c r="E1146" t="s">
        <v>56</v>
      </c>
      <c r="F1146" t="s">
        <v>3627</v>
      </c>
      <c r="G1146" t="s">
        <v>3688</v>
      </c>
      <c r="H1146" t="s">
        <v>56</v>
      </c>
      <c r="I1146" t="s">
        <v>3689</v>
      </c>
      <c r="J1146" t="s">
        <v>61</v>
      </c>
      <c r="K1146" t="s">
        <v>640</v>
      </c>
      <c r="L1146" t="s">
        <v>56</v>
      </c>
      <c r="M1146" t="s">
        <v>56</v>
      </c>
      <c r="N1146" t="s">
        <v>252</v>
      </c>
      <c r="O1146" t="s">
        <v>1122</v>
      </c>
      <c r="P1146" t="s">
        <v>1123</v>
      </c>
      <c r="Q1146" t="s">
        <v>247</v>
      </c>
      <c r="R1146" t="s">
        <v>248</v>
      </c>
      <c r="S1146">
        <v>55000000</v>
      </c>
      <c r="T1146">
        <v>18195753.84</v>
      </c>
      <c r="U1146" t="s">
        <v>68</v>
      </c>
      <c r="V1146" t="s">
        <v>3630</v>
      </c>
      <c r="W1146" s="9">
        <v>60602509</v>
      </c>
      <c r="X1146" t="s">
        <v>3690</v>
      </c>
      <c r="Y1146" s="1">
        <v>46021</v>
      </c>
      <c r="Z1146" s="1">
        <v>46081</v>
      </c>
      <c r="AA1146" s="2">
        <v>356984.5</v>
      </c>
      <c r="AB1146" s="2">
        <v>302529.24</v>
      </c>
      <c r="AC1146" s="2">
        <v>54455.26</v>
      </c>
      <c r="AD1146" s="2">
        <v>356984.5</v>
      </c>
      <c r="AE1146" t="s">
        <v>3691</v>
      </c>
      <c r="AF1146" t="s">
        <v>72</v>
      </c>
      <c r="AG1146">
        <v>-3</v>
      </c>
      <c r="AH1146" t="s">
        <v>117</v>
      </c>
      <c r="AI1146" t="s">
        <v>74</v>
      </c>
      <c r="AJ1146" t="s">
        <v>75</v>
      </c>
      <c r="AK1146" t="s">
        <v>76</v>
      </c>
      <c r="AL1146" t="s">
        <v>77</v>
      </c>
      <c r="AM1146" t="s">
        <v>78</v>
      </c>
      <c r="AN1146" t="s">
        <v>795</v>
      </c>
      <c r="AO1146" t="s">
        <v>119</v>
      </c>
      <c r="AP1146" t="s">
        <v>46</v>
      </c>
      <c r="AQ1146" t="s">
        <v>81</v>
      </c>
      <c r="AR1146" t="str">
        <f t="shared" si="34"/>
        <v>60602509.STATAM</v>
      </c>
      <c r="AS1146">
        <f t="shared" si="35"/>
        <v>28997604.66</v>
      </c>
      <c r="AT1146" t="s">
        <v>82</v>
      </c>
    </row>
    <row r="1147" spans="1:46" x14ac:dyDescent="0.35">
      <c r="A1147" t="s">
        <v>52</v>
      </c>
      <c r="B1147" t="s">
        <v>53</v>
      </c>
      <c r="C1147" t="s">
        <v>54</v>
      </c>
      <c r="D1147" t="s">
        <v>55</v>
      </c>
      <c r="E1147" t="s">
        <v>56</v>
      </c>
      <c r="F1147" t="s">
        <v>3627</v>
      </c>
      <c r="G1147" t="s">
        <v>3662</v>
      </c>
      <c r="H1147" t="s">
        <v>56</v>
      </c>
      <c r="I1147" t="s">
        <v>3692</v>
      </c>
      <c r="J1147" t="s">
        <v>61</v>
      </c>
      <c r="K1147" t="s">
        <v>640</v>
      </c>
      <c r="L1147" t="s">
        <v>56</v>
      </c>
      <c r="M1147" t="s">
        <v>56</v>
      </c>
      <c r="N1147" t="s">
        <v>252</v>
      </c>
      <c r="O1147" t="s">
        <v>1122</v>
      </c>
      <c r="P1147" t="s">
        <v>1123</v>
      </c>
      <c r="Q1147" t="s">
        <v>87</v>
      </c>
      <c r="R1147" t="s">
        <v>248</v>
      </c>
      <c r="S1147">
        <v>55000000</v>
      </c>
      <c r="T1147">
        <v>18195753.84</v>
      </c>
      <c r="U1147" t="s">
        <v>68</v>
      </c>
      <c r="V1147" t="s">
        <v>3630</v>
      </c>
      <c r="W1147" s="9">
        <v>60602509</v>
      </c>
      <c r="X1147" t="s">
        <v>3693</v>
      </c>
      <c r="Y1147" s="1">
        <v>46035</v>
      </c>
      <c r="Z1147" s="1">
        <v>46095</v>
      </c>
      <c r="AA1147" s="2">
        <v>100688.08</v>
      </c>
      <c r="AB1147" s="2">
        <v>85328.88</v>
      </c>
      <c r="AC1147" s="2">
        <v>15359.2</v>
      </c>
      <c r="AD1147" s="2">
        <v>100688.08</v>
      </c>
      <c r="AE1147" t="s">
        <v>3694</v>
      </c>
      <c r="AF1147" t="s">
        <v>72</v>
      </c>
      <c r="AG1147">
        <v>-17</v>
      </c>
      <c r="AH1147" t="s">
        <v>117</v>
      </c>
      <c r="AI1147" t="s">
        <v>74</v>
      </c>
      <c r="AJ1147" t="s">
        <v>75</v>
      </c>
      <c r="AK1147" t="s">
        <v>76</v>
      </c>
      <c r="AL1147" t="s">
        <v>118</v>
      </c>
      <c r="AM1147" t="s">
        <v>78</v>
      </c>
      <c r="AN1147" t="s">
        <v>795</v>
      </c>
      <c r="AO1147" t="s">
        <v>119</v>
      </c>
      <c r="AP1147" t="s">
        <v>46</v>
      </c>
      <c r="AQ1147" t="s">
        <v>81</v>
      </c>
      <c r="AR1147" t="str">
        <f t="shared" si="34"/>
        <v>60602509.STATAM</v>
      </c>
      <c r="AS1147">
        <f t="shared" si="35"/>
        <v>28997604.66</v>
      </c>
      <c r="AT1147" t="s">
        <v>82</v>
      </c>
    </row>
    <row r="1148" spans="1:46" x14ac:dyDescent="0.35">
      <c r="A1148" t="s">
        <v>52</v>
      </c>
      <c r="B1148" t="s">
        <v>53</v>
      </c>
      <c r="C1148" t="s">
        <v>54</v>
      </c>
      <c r="D1148" t="s">
        <v>55</v>
      </c>
      <c r="E1148" t="s">
        <v>56</v>
      </c>
      <c r="F1148" t="s">
        <v>3627</v>
      </c>
      <c r="G1148" t="s">
        <v>3662</v>
      </c>
      <c r="H1148" t="s">
        <v>56</v>
      </c>
      <c r="I1148" t="s">
        <v>3692</v>
      </c>
      <c r="J1148" t="s">
        <v>61</v>
      </c>
      <c r="K1148" t="s">
        <v>640</v>
      </c>
      <c r="L1148" t="s">
        <v>56</v>
      </c>
      <c r="M1148" t="s">
        <v>56</v>
      </c>
      <c r="N1148" t="s">
        <v>682</v>
      </c>
      <c r="O1148" t="s">
        <v>1122</v>
      </c>
      <c r="P1148" t="s">
        <v>1123</v>
      </c>
      <c r="Q1148" t="s">
        <v>87</v>
      </c>
      <c r="R1148" t="s">
        <v>248</v>
      </c>
      <c r="S1148">
        <v>55000000</v>
      </c>
      <c r="T1148">
        <v>18195753.84</v>
      </c>
      <c r="U1148" t="s">
        <v>68</v>
      </c>
      <c r="V1148" t="s">
        <v>3630</v>
      </c>
      <c r="W1148" s="9">
        <v>60602509</v>
      </c>
      <c r="X1148" t="s">
        <v>3693</v>
      </c>
      <c r="Y1148" s="1">
        <v>46035</v>
      </c>
      <c r="Z1148" s="1">
        <v>46095</v>
      </c>
      <c r="AA1148" s="2">
        <v>371790.06</v>
      </c>
      <c r="AB1148" s="2">
        <v>315076.32</v>
      </c>
      <c r="AC1148" s="2">
        <v>56713.74</v>
      </c>
      <c r="AD1148" s="2">
        <v>371790.06</v>
      </c>
      <c r="AE1148" t="s">
        <v>3695</v>
      </c>
      <c r="AF1148" t="s">
        <v>72</v>
      </c>
      <c r="AG1148">
        <v>-17</v>
      </c>
      <c r="AH1148" t="s">
        <v>117</v>
      </c>
      <c r="AI1148" t="s">
        <v>74</v>
      </c>
      <c r="AJ1148" t="s">
        <v>127</v>
      </c>
      <c r="AK1148" t="s">
        <v>334</v>
      </c>
      <c r="AL1148" t="s">
        <v>118</v>
      </c>
      <c r="AM1148" t="s">
        <v>78</v>
      </c>
      <c r="AN1148" t="s">
        <v>795</v>
      </c>
      <c r="AO1148" t="s">
        <v>119</v>
      </c>
      <c r="AP1148" t="s">
        <v>46</v>
      </c>
      <c r="AQ1148" t="s">
        <v>335</v>
      </c>
      <c r="AR1148" t="str">
        <f t="shared" si="34"/>
        <v>60602509.SPMINAM</v>
      </c>
      <c r="AS1148">
        <f t="shared" si="35"/>
        <v>1287803.46</v>
      </c>
      <c r="AT1148" t="s">
        <v>82</v>
      </c>
    </row>
    <row r="1149" spans="1:46" x14ac:dyDescent="0.35">
      <c r="A1149" t="s">
        <v>52</v>
      </c>
      <c r="B1149" t="s">
        <v>53</v>
      </c>
      <c r="C1149" t="s">
        <v>54</v>
      </c>
      <c r="D1149" t="s">
        <v>55</v>
      </c>
      <c r="E1149" t="s">
        <v>56</v>
      </c>
      <c r="F1149" t="s">
        <v>3627</v>
      </c>
      <c r="G1149" t="s">
        <v>3662</v>
      </c>
      <c r="H1149" t="s">
        <v>56</v>
      </c>
      <c r="I1149" t="s">
        <v>3696</v>
      </c>
      <c r="J1149" t="s">
        <v>61</v>
      </c>
      <c r="K1149" t="s">
        <v>640</v>
      </c>
      <c r="L1149" t="s">
        <v>56</v>
      </c>
      <c r="M1149" t="s">
        <v>56</v>
      </c>
      <c r="N1149" t="s">
        <v>252</v>
      </c>
      <c r="O1149" t="s">
        <v>1122</v>
      </c>
      <c r="P1149" t="s">
        <v>1123</v>
      </c>
      <c r="Q1149" t="s">
        <v>87</v>
      </c>
      <c r="R1149" t="s">
        <v>248</v>
      </c>
      <c r="S1149">
        <v>55000000</v>
      </c>
      <c r="T1149">
        <v>18195753.84</v>
      </c>
      <c r="U1149" t="s">
        <v>68</v>
      </c>
      <c r="V1149" t="s">
        <v>3630</v>
      </c>
      <c r="W1149" s="9">
        <v>60602509</v>
      </c>
      <c r="X1149" t="s">
        <v>3697</v>
      </c>
      <c r="Y1149" s="1">
        <v>46036</v>
      </c>
      <c r="Z1149" s="1">
        <v>46096</v>
      </c>
      <c r="AA1149" s="2">
        <v>552020.93999999994</v>
      </c>
      <c r="AB1149" s="2">
        <v>467814.36</v>
      </c>
      <c r="AC1149" s="2">
        <v>84206.58</v>
      </c>
      <c r="AD1149" s="2">
        <v>552020.93999999994</v>
      </c>
      <c r="AE1149" t="s">
        <v>3698</v>
      </c>
      <c r="AF1149" t="s">
        <v>72</v>
      </c>
      <c r="AG1149">
        <v>-18</v>
      </c>
      <c r="AH1149" t="s">
        <v>117</v>
      </c>
      <c r="AI1149" t="s">
        <v>74</v>
      </c>
      <c r="AJ1149" t="s">
        <v>75</v>
      </c>
      <c r="AK1149" t="s">
        <v>76</v>
      </c>
      <c r="AL1149" t="s">
        <v>118</v>
      </c>
      <c r="AM1149" t="s">
        <v>78</v>
      </c>
      <c r="AN1149" t="s">
        <v>795</v>
      </c>
      <c r="AO1149" t="s">
        <v>119</v>
      </c>
      <c r="AP1149" t="s">
        <v>46</v>
      </c>
      <c r="AQ1149" t="s">
        <v>81</v>
      </c>
      <c r="AR1149" t="str">
        <f t="shared" si="34"/>
        <v>60602509.STATAM</v>
      </c>
      <c r="AS1149">
        <f t="shared" si="35"/>
        <v>28997604.66</v>
      </c>
      <c r="AT1149" t="s">
        <v>82</v>
      </c>
    </row>
    <row r="1150" spans="1:46" x14ac:dyDescent="0.35">
      <c r="A1150" t="s">
        <v>52</v>
      </c>
      <c r="B1150" t="s">
        <v>53</v>
      </c>
      <c r="C1150" t="s">
        <v>54</v>
      </c>
      <c r="D1150" t="s">
        <v>55</v>
      </c>
      <c r="E1150" t="s">
        <v>56</v>
      </c>
      <c r="F1150" t="s">
        <v>3627</v>
      </c>
      <c r="G1150" t="s">
        <v>3662</v>
      </c>
      <c r="H1150" t="s">
        <v>56</v>
      </c>
      <c r="I1150" t="s">
        <v>3696</v>
      </c>
      <c r="J1150" t="s">
        <v>61</v>
      </c>
      <c r="K1150" t="s">
        <v>640</v>
      </c>
      <c r="L1150" t="s">
        <v>56</v>
      </c>
      <c r="M1150" t="s">
        <v>56</v>
      </c>
      <c r="N1150" t="s">
        <v>682</v>
      </c>
      <c r="O1150" t="s">
        <v>1122</v>
      </c>
      <c r="P1150" t="s">
        <v>1123</v>
      </c>
      <c r="Q1150" t="s">
        <v>87</v>
      </c>
      <c r="R1150" t="s">
        <v>248</v>
      </c>
      <c r="S1150">
        <v>55000000</v>
      </c>
      <c r="T1150">
        <v>18195753.84</v>
      </c>
      <c r="U1150" t="s">
        <v>68</v>
      </c>
      <c r="V1150" t="s">
        <v>3630</v>
      </c>
      <c r="W1150" s="9">
        <v>60602509</v>
      </c>
      <c r="X1150" t="s">
        <v>3697</v>
      </c>
      <c r="Y1150" s="1">
        <v>46036</v>
      </c>
      <c r="Z1150" s="1">
        <v>46096</v>
      </c>
      <c r="AA1150" s="2">
        <v>7344.79</v>
      </c>
      <c r="AB1150" s="2">
        <v>6224.4</v>
      </c>
      <c r="AC1150" s="2">
        <v>1120.3900000000001</v>
      </c>
      <c r="AD1150" s="2">
        <v>7344.79</v>
      </c>
      <c r="AE1150" t="s">
        <v>3699</v>
      </c>
      <c r="AF1150" t="s">
        <v>72</v>
      </c>
      <c r="AG1150">
        <v>-18</v>
      </c>
      <c r="AH1150" t="s">
        <v>117</v>
      </c>
      <c r="AI1150" t="s">
        <v>74</v>
      </c>
      <c r="AJ1150" t="s">
        <v>127</v>
      </c>
      <c r="AK1150" t="s">
        <v>334</v>
      </c>
      <c r="AL1150" t="s">
        <v>118</v>
      </c>
      <c r="AM1150" t="s">
        <v>78</v>
      </c>
      <c r="AN1150" t="s">
        <v>795</v>
      </c>
      <c r="AO1150" t="s">
        <v>119</v>
      </c>
      <c r="AP1150" t="s">
        <v>46</v>
      </c>
      <c r="AQ1150" t="s">
        <v>335</v>
      </c>
      <c r="AR1150" t="str">
        <f t="shared" si="34"/>
        <v>60602509.SPMINAM</v>
      </c>
      <c r="AS1150">
        <f t="shared" si="35"/>
        <v>1287803.46</v>
      </c>
      <c r="AT1150" t="s">
        <v>82</v>
      </c>
    </row>
    <row r="1151" spans="1:46" x14ac:dyDescent="0.35">
      <c r="A1151" t="s">
        <v>52</v>
      </c>
      <c r="B1151" t="s">
        <v>53</v>
      </c>
      <c r="C1151" t="s">
        <v>54</v>
      </c>
      <c r="D1151" t="s">
        <v>55</v>
      </c>
      <c r="E1151" t="s">
        <v>56</v>
      </c>
      <c r="F1151" t="s">
        <v>3627</v>
      </c>
      <c r="G1151" t="s">
        <v>3700</v>
      </c>
      <c r="H1151" t="s">
        <v>56</v>
      </c>
      <c r="I1151" t="s">
        <v>3701</v>
      </c>
      <c r="J1151" t="s">
        <v>56</v>
      </c>
      <c r="K1151" t="s">
        <v>640</v>
      </c>
      <c r="L1151" t="s">
        <v>56</v>
      </c>
      <c r="M1151" t="s">
        <v>56</v>
      </c>
      <c r="N1151" t="s">
        <v>263</v>
      </c>
      <c r="O1151" t="s">
        <v>1122</v>
      </c>
      <c r="P1151" t="s">
        <v>1123</v>
      </c>
      <c r="Q1151" t="s">
        <v>853</v>
      </c>
      <c r="R1151" t="s">
        <v>248</v>
      </c>
      <c r="S1151">
        <v>55000000</v>
      </c>
      <c r="T1151">
        <v>18195753.84</v>
      </c>
      <c r="U1151" t="s">
        <v>68</v>
      </c>
      <c r="V1151" t="s">
        <v>3630</v>
      </c>
      <c r="W1151" s="9">
        <v>60602509</v>
      </c>
      <c r="X1151" t="s">
        <v>3702</v>
      </c>
      <c r="Y1151" s="1">
        <v>46049</v>
      </c>
      <c r="Z1151" s="1">
        <v>46109</v>
      </c>
      <c r="AA1151" s="2">
        <v>134394.04999999999</v>
      </c>
      <c r="AB1151" s="2">
        <v>113893.26</v>
      </c>
      <c r="AC1151" s="2">
        <v>20500.79</v>
      </c>
      <c r="AD1151" s="2">
        <v>134394.04999999999</v>
      </c>
      <c r="AE1151" t="s">
        <v>3703</v>
      </c>
      <c r="AF1151" t="s">
        <v>72</v>
      </c>
      <c r="AG1151">
        <v>-31</v>
      </c>
      <c r="AH1151" t="s">
        <v>117</v>
      </c>
      <c r="AI1151" t="s">
        <v>74</v>
      </c>
      <c r="AJ1151" t="s">
        <v>75</v>
      </c>
      <c r="AK1151" t="s">
        <v>76</v>
      </c>
      <c r="AL1151" t="s">
        <v>118</v>
      </c>
      <c r="AM1151" t="s">
        <v>78</v>
      </c>
      <c r="AN1151" t="s">
        <v>795</v>
      </c>
      <c r="AO1151" t="s">
        <v>119</v>
      </c>
      <c r="AP1151" t="s">
        <v>46</v>
      </c>
      <c r="AQ1151" t="s">
        <v>81</v>
      </c>
      <c r="AR1151" t="str">
        <f t="shared" si="34"/>
        <v>60602509.STATAM</v>
      </c>
      <c r="AS1151">
        <f t="shared" si="35"/>
        <v>28997604.66</v>
      </c>
      <c r="AT1151" t="s">
        <v>82</v>
      </c>
    </row>
    <row r="1152" spans="1:46" x14ac:dyDescent="0.35">
      <c r="A1152" t="s">
        <v>52</v>
      </c>
      <c r="B1152" t="s">
        <v>53</v>
      </c>
      <c r="C1152" t="s">
        <v>54</v>
      </c>
      <c r="D1152" t="s">
        <v>55</v>
      </c>
      <c r="E1152" t="s">
        <v>56</v>
      </c>
      <c r="F1152" t="s">
        <v>3627</v>
      </c>
      <c r="G1152" t="s">
        <v>3700</v>
      </c>
      <c r="H1152" t="s">
        <v>56</v>
      </c>
      <c r="I1152" t="s">
        <v>3701</v>
      </c>
      <c r="J1152" t="s">
        <v>56</v>
      </c>
      <c r="K1152" t="s">
        <v>640</v>
      </c>
      <c r="L1152" t="s">
        <v>56</v>
      </c>
      <c r="M1152" t="s">
        <v>56</v>
      </c>
      <c r="N1152" t="s">
        <v>252</v>
      </c>
      <c r="O1152" t="s">
        <v>1122</v>
      </c>
      <c r="P1152" t="s">
        <v>1123</v>
      </c>
      <c r="Q1152" t="s">
        <v>853</v>
      </c>
      <c r="R1152" t="s">
        <v>248</v>
      </c>
      <c r="S1152">
        <v>55000000</v>
      </c>
      <c r="T1152">
        <v>18195753.84</v>
      </c>
      <c r="U1152" t="s">
        <v>68</v>
      </c>
      <c r="V1152" t="s">
        <v>3630</v>
      </c>
      <c r="W1152" s="9">
        <v>60602509</v>
      </c>
      <c r="X1152" t="s">
        <v>3702</v>
      </c>
      <c r="Y1152" s="1">
        <v>46049</v>
      </c>
      <c r="Z1152" s="1">
        <v>46109</v>
      </c>
      <c r="AA1152" s="2">
        <v>22685.1</v>
      </c>
      <c r="AB1152" s="2">
        <v>19224.66</v>
      </c>
      <c r="AC1152" s="2">
        <v>3460.44</v>
      </c>
      <c r="AD1152" s="2">
        <v>22685.1</v>
      </c>
      <c r="AE1152" t="s">
        <v>3704</v>
      </c>
      <c r="AF1152" t="s">
        <v>72</v>
      </c>
      <c r="AG1152">
        <v>-31</v>
      </c>
      <c r="AH1152" t="s">
        <v>117</v>
      </c>
      <c r="AI1152" t="s">
        <v>74</v>
      </c>
      <c r="AJ1152" t="s">
        <v>75</v>
      </c>
      <c r="AK1152" t="s">
        <v>76</v>
      </c>
      <c r="AL1152" t="s">
        <v>118</v>
      </c>
      <c r="AM1152" t="s">
        <v>78</v>
      </c>
      <c r="AN1152" t="s">
        <v>795</v>
      </c>
      <c r="AO1152" t="s">
        <v>119</v>
      </c>
      <c r="AP1152" t="s">
        <v>46</v>
      </c>
      <c r="AQ1152" t="s">
        <v>81</v>
      </c>
      <c r="AR1152" t="str">
        <f t="shared" si="34"/>
        <v>60602509.STATAM</v>
      </c>
      <c r="AS1152">
        <f t="shared" si="35"/>
        <v>28997604.66</v>
      </c>
      <c r="AT1152" t="s">
        <v>82</v>
      </c>
    </row>
    <row r="1153" spans="1:46" x14ac:dyDescent="0.35">
      <c r="A1153" t="s">
        <v>52</v>
      </c>
      <c r="B1153" t="s">
        <v>53</v>
      </c>
      <c r="C1153" t="s">
        <v>54</v>
      </c>
      <c r="D1153" t="s">
        <v>55</v>
      </c>
      <c r="E1153" t="s">
        <v>56</v>
      </c>
      <c r="F1153" t="s">
        <v>3627</v>
      </c>
      <c r="G1153" t="s">
        <v>3700</v>
      </c>
      <c r="H1153" t="s">
        <v>56</v>
      </c>
      <c r="I1153" t="s">
        <v>3701</v>
      </c>
      <c r="J1153" t="s">
        <v>56</v>
      </c>
      <c r="K1153" t="s">
        <v>640</v>
      </c>
      <c r="L1153" t="s">
        <v>56</v>
      </c>
      <c r="M1153" t="s">
        <v>56</v>
      </c>
      <c r="N1153" t="s">
        <v>655</v>
      </c>
      <c r="O1153" t="s">
        <v>1122</v>
      </c>
      <c r="P1153" t="s">
        <v>1123</v>
      </c>
      <c r="Q1153" t="s">
        <v>853</v>
      </c>
      <c r="R1153" t="s">
        <v>248</v>
      </c>
      <c r="S1153">
        <v>55000000</v>
      </c>
      <c r="T1153">
        <v>18195753.84</v>
      </c>
      <c r="U1153" t="s">
        <v>68</v>
      </c>
      <c r="V1153" t="s">
        <v>3630</v>
      </c>
      <c r="W1153" s="9">
        <v>60602509</v>
      </c>
      <c r="X1153" t="s">
        <v>3702</v>
      </c>
      <c r="Y1153" s="1">
        <v>46049</v>
      </c>
      <c r="Z1153" s="1">
        <v>46109</v>
      </c>
      <c r="AA1153" s="2">
        <v>1778.21</v>
      </c>
      <c r="AB1153" s="2">
        <v>1506.96</v>
      </c>
      <c r="AC1153" s="2">
        <v>271.25</v>
      </c>
      <c r="AD1153" s="2">
        <v>1778.21</v>
      </c>
      <c r="AE1153" t="s">
        <v>3705</v>
      </c>
      <c r="AF1153" t="s">
        <v>72</v>
      </c>
      <c r="AG1153">
        <v>-31</v>
      </c>
      <c r="AH1153" t="s">
        <v>117</v>
      </c>
      <c r="AI1153" t="s">
        <v>74</v>
      </c>
      <c r="AJ1153" t="s">
        <v>75</v>
      </c>
      <c r="AK1153" t="s">
        <v>76</v>
      </c>
      <c r="AL1153" t="s">
        <v>118</v>
      </c>
      <c r="AM1153" t="s">
        <v>78</v>
      </c>
      <c r="AN1153" t="s">
        <v>795</v>
      </c>
      <c r="AO1153" t="s">
        <v>119</v>
      </c>
      <c r="AP1153" t="s">
        <v>46</v>
      </c>
      <c r="AQ1153" t="s">
        <v>81</v>
      </c>
      <c r="AR1153" t="str">
        <f t="shared" si="34"/>
        <v>60602509.STATAM</v>
      </c>
      <c r="AS1153">
        <f t="shared" si="35"/>
        <v>28997604.66</v>
      </c>
      <c r="AT1153" t="s">
        <v>82</v>
      </c>
    </row>
    <row r="1154" spans="1:46" x14ac:dyDescent="0.35">
      <c r="A1154" t="s">
        <v>52</v>
      </c>
      <c r="B1154" t="s">
        <v>53</v>
      </c>
      <c r="C1154" t="s">
        <v>54</v>
      </c>
      <c r="D1154" t="s">
        <v>55</v>
      </c>
      <c r="E1154" t="s">
        <v>56</v>
      </c>
      <c r="F1154" t="s">
        <v>3627</v>
      </c>
      <c r="G1154" t="s">
        <v>3700</v>
      </c>
      <c r="H1154" t="s">
        <v>56</v>
      </c>
      <c r="I1154" t="s">
        <v>3701</v>
      </c>
      <c r="J1154" t="s">
        <v>56</v>
      </c>
      <c r="K1154" t="s">
        <v>640</v>
      </c>
      <c r="L1154" t="s">
        <v>56</v>
      </c>
      <c r="M1154" t="s">
        <v>56</v>
      </c>
      <c r="N1154" t="s">
        <v>295</v>
      </c>
      <c r="O1154" t="s">
        <v>1122</v>
      </c>
      <c r="P1154" t="s">
        <v>1123</v>
      </c>
      <c r="Q1154" t="s">
        <v>853</v>
      </c>
      <c r="R1154" t="s">
        <v>248</v>
      </c>
      <c r="S1154">
        <v>55000000</v>
      </c>
      <c r="T1154">
        <v>18195753.84</v>
      </c>
      <c r="U1154" t="s">
        <v>68</v>
      </c>
      <c r="V1154" t="s">
        <v>3630</v>
      </c>
      <c r="W1154" s="9">
        <v>60602509</v>
      </c>
      <c r="X1154" t="s">
        <v>3702</v>
      </c>
      <c r="Y1154" s="1">
        <v>46049</v>
      </c>
      <c r="Z1154" s="1">
        <v>46109</v>
      </c>
      <c r="AA1154" s="2">
        <v>1552.71</v>
      </c>
      <c r="AB1154" s="2">
        <v>1315.86</v>
      </c>
      <c r="AC1154" s="2">
        <v>236.85</v>
      </c>
      <c r="AD1154" s="2">
        <v>1552.71</v>
      </c>
      <c r="AE1154" t="s">
        <v>3706</v>
      </c>
      <c r="AF1154" t="s">
        <v>72</v>
      </c>
      <c r="AG1154">
        <v>-31</v>
      </c>
      <c r="AH1154" t="s">
        <v>117</v>
      </c>
      <c r="AI1154" t="s">
        <v>74</v>
      </c>
      <c r="AJ1154" t="s">
        <v>75</v>
      </c>
      <c r="AK1154" t="s">
        <v>76</v>
      </c>
      <c r="AL1154" t="s">
        <v>118</v>
      </c>
      <c r="AM1154" t="s">
        <v>78</v>
      </c>
      <c r="AN1154" t="s">
        <v>795</v>
      </c>
      <c r="AO1154" t="s">
        <v>119</v>
      </c>
      <c r="AP1154" t="s">
        <v>46</v>
      </c>
      <c r="AQ1154" t="s">
        <v>81</v>
      </c>
      <c r="AR1154" t="str">
        <f t="shared" si="34"/>
        <v>60602509.STATAM</v>
      </c>
      <c r="AS1154">
        <f t="shared" si="35"/>
        <v>28997604.66</v>
      </c>
      <c r="AT1154" t="s">
        <v>82</v>
      </c>
    </row>
    <row r="1155" spans="1:46" x14ac:dyDescent="0.35">
      <c r="A1155" t="s">
        <v>52</v>
      </c>
      <c r="B1155" t="s">
        <v>53</v>
      </c>
      <c r="C1155" t="s">
        <v>54</v>
      </c>
      <c r="D1155" t="s">
        <v>55</v>
      </c>
      <c r="E1155" t="s">
        <v>56</v>
      </c>
      <c r="F1155" t="s">
        <v>3627</v>
      </c>
      <c r="G1155" t="s">
        <v>3700</v>
      </c>
      <c r="H1155" t="s">
        <v>56</v>
      </c>
      <c r="I1155" t="s">
        <v>3701</v>
      </c>
      <c r="J1155" t="s">
        <v>56</v>
      </c>
      <c r="K1155" t="s">
        <v>640</v>
      </c>
      <c r="L1155" t="s">
        <v>56</v>
      </c>
      <c r="M1155" t="s">
        <v>56</v>
      </c>
      <c r="N1155" t="s">
        <v>244</v>
      </c>
      <c r="O1155" t="s">
        <v>1122</v>
      </c>
      <c r="P1155" t="s">
        <v>1123</v>
      </c>
      <c r="Q1155" t="s">
        <v>853</v>
      </c>
      <c r="R1155" t="s">
        <v>248</v>
      </c>
      <c r="S1155">
        <v>55000000</v>
      </c>
      <c r="T1155">
        <v>18195753.84</v>
      </c>
      <c r="U1155" t="s">
        <v>68</v>
      </c>
      <c r="V1155" t="s">
        <v>3630</v>
      </c>
      <c r="W1155" s="9">
        <v>60602509</v>
      </c>
      <c r="X1155" t="s">
        <v>3702</v>
      </c>
      <c r="Y1155" s="1">
        <v>46049</v>
      </c>
      <c r="Z1155" s="1">
        <v>46109</v>
      </c>
      <c r="AA1155" s="2">
        <v>662029.27</v>
      </c>
      <c r="AB1155" s="2">
        <v>561041.76</v>
      </c>
      <c r="AC1155" s="2">
        <v>100987.51</v>
      </c>
      <c r="AD1155" s="2">
        <v>662029.27</v>
      </c>
      <c r="AE1155" t="s">
        <v>3707</v>
      </c>
      <c r="AF1155" t="s">
        <v>72</v>
      </c>
      <c r="AG1155">
        <v>-31</v>
      </c>
      <c r="AH1155" t="s">
        <v>117</v>
      </c>
      <c r="AI1155" t="s">
        <v>74</v>
      </c>
      <c r="AJ1155" t="s">
        <v>75</v>
      </c>
      <c r="AK1155" t="s">
        <v>76</v>
      </c>
      <c r="AL1155" t="s">
        <v>118</v>
      </c>
      <c r="AM1155" t="s">
        <v>78</v>
      </c>
      <c r="AN1155" t="s">
        <v>795</v>
      </c>
      <c r="AO1155" t="s">
        <v>119</v>
      </c>
      <c r="AP1155" t="s">
        <v>46</v>
      </c>
      <c r="AQ1155" t="s">
        <v>81</v>
      </c>
      <c r="AR1155" t="str">
        <f t="shared" si="34"/>
        <v>60602509.STATAM</v>
      </c>
      <c r="AS1155">
        <f t="shared" si="35"/>
        <v>28997604.66</v>
      </c>
      <c r="AT1155" t="s">
        <v>82</v>
      </c>
    </row>
    <row r="1156" spans="1:46" x14ac:dyDescent="0.35">
      <c r="A1156" t="s">
        <v>52</v>
      </c>
      <c r="B1156" t="s">
        <v>53</v>
      </c>
      <c r="C1156" t="s">
        <v>54</v>
      </c>
      <c r="D1156" t="s">
        <v>55</v>
      </c>
      <c r="E1156" t="s">
        <v>56</v>
      </c>
      <c r="F1156" t="s">
        <v>3627</v>
      </c>
      <c r="G1156" t="s">
        <v>3700</v>
      </c>
      <c r="H1156" t="s">
        <v>56</v>
      </c>
      <c r="I1156" t="s">
        <v>3701</v>
      </c>
      <c r="J1156" t="s">
        <v>56</v>
      </c>
      <c r="K1156" t="s">
        <v>640</v>
      </c>
      <c r="L1156" t="s">
        <v>56</v>
      </c>
      <c r="M1156" t="s">
        <v>56</v>
      </c>
      <c r="N1156" t="s">
        <v>1384</v>
      </c>
      <c r="O1156" t="s">
        <v>1122</v>
      </c>
      <c r="P1156" t="s">
        <v>1123</v>
      </c>
      <c r="Q1156" t="s">
        <v>853</v>
      </c>
      <c r="R1156" t="s">
        <v>248</v>
      </c>
      <c r="S1156">
        <v>55000000</v>
      </c>
      <c r="T1156">
        <v>18195753.84</v>
      </c>
      <c r="U1156" t="s">
        <v>68</v>
      </c>
      <c r="V1156" t="s">
        <v>3630</v>
      </c>
      <c r="W1156" s="9">
        <v>60602509</v>
      </c>
      <c r="X1156" t="s">
        <v>3702</v>
      </c>
      <c r="Y1156" s="1">
        <v>46049</v>
      </c>
      <c r="Z1156" s="1">
        <v>46109</v>
      </c>
      <c r="AA1156" s="2">
        <v>117065.68</v>
      </c>
      <c r="AB1156" s="2">
        <v>99208.2</v>
      </c>
      <c r="AC1156" s="2">
        <v>17857.48</v>
      </c>
      <c r="AD1156" s="2">
        <v>117065.68</v>
      </c>
      <c r="AE1156" t="s">
        <v>3708</v>
      </c>
      <c r="AF1156" t="s">
        <v>72</v>
      </c>
      <c r="AG1156">
        <v>-31</v>
      </c>
      <c r="AH1156" t="s">
        <v>117</v>
      </c>
      <c r="AI1156" t="s">
        <v>74</v>
      </c>
      <c r="AJ1156" t="s">
        <v>75</v>
      </c>
      <c r="AK1156" t="s">
        <v>76</v>
      </c>
      <c r="AL1156" t="s">
        <v>118</v>
      </c>
      <c r="AM1156" t="s">
        <v>78</v>
      </c>
      <c r="AN1156" t="s">
        <v>795</v>
      </c>
      <c r="AO1156" t="s">
        <v>119</v>
      </c>
      <c r="AP1156" t="s">
        <v>46</v>
      </c>
      <c r="AQ1156" t="s">
        <v>81</v>
      </c>
      <c r="AR1156" t="str">
        <f t="shared" si="34"/>
        <v>60602509.STATAM</v>
      </c>
      <c r="AS1156">
        <f t="shared" si="35"/>
        <v>28997604.66</v>
      </c>
      <c r="AT1156" t="s">
        <v>82</v>
      </c>
    </row>
    <row r="1157" spans="1:46" x14ac:dyDescent="0.35">
      <c r="A1157" t="s">
        <v>52</v>
      </c>
      <c r="B1157" t="s">
        <v>53</v>
      </c>
      <c r="C1157" t="s">
        <v>54</v>
      </c>
      <c r="D1157" t="s">
        <v>55</v>
      </c>
      <c r="E1157" t="s">
        <v>56</v>
      </c>
      <c r="F1157" t="s">
        <v>3627</v>
      </c>
      <c r="G1157" t="s">
        <v>3700</v>
      </c>
      <c r="H1157" t="s">
        <v>56</v>
      </c>
      <c r="I1157" t="s">
        <v>3701</v>
      </c>
      <c r="J1157" t="s">
        <v>56</v>
      </c>
      <c r="K1157" t="s">
        <v>640</v>
      </c>
      <c r="L1157" t="s">
        <v>56</v>
      </c>
      <c r="M1157" t="s">
        <v>56</v>
      </c>
      <c r="N1157" t="s">
        <v>261</v>
      </c>
      <c r="O1157" t="s">
        <v>1122</v>
      </c>
      <c r="P1157" t="s">
        <v>1123</v>
      </c>
      <c r="Q1157" t="s">
        <v>853</v>
      </c>
      <c r="R1157" t="s">
        <v>248</v>
      </c>
      <c r="S1157">
        <v>55000000</v>
      </c>
      <c r="T1157">
        <v>18195753.84</v>
      </c>
      <c r="U1157" t="s">
        <v>68</v>
      </c>
      <c r="V1157" t="s">
        <v>3630</v>
      </c>
      <c r="W1157" s="9">
        <v>60602509</v>
      </c>
      <c r="X1157" t="s">
        <v>3702</v>
      </c>
      <c r="Y1157" s="1">
        <v>46049</v>
      </c>
      <c r="Z1157" s="1">
        <v>46109</v>
      </c>
      <c r="AA1157" s="2">
        <v>198915.93</v>
      </c>
      <c r="AB1157" s="2">
        <v>168572.82</v>
      </c>
      <c r="AC1157" s="2">
        <v>30343.11</v>
      </c>
      <c r="AD1157" s="2">
        <v>198915.93</v>
      </c>
      <c r="AE1157" t="s">
        <v>3709</v>
      </c>
      <c r="AF1157" t="s">
        <v>72</v>
      </c>
      <c r="AG1157">
        <v>-31</v>
      </c>
      <c r="AH1157" t="s">
        <v>117</v>
      </c>
      <c r="AI1157" t="s">
        <v>74</v>
      </c>
      <c r="AJ1157" t="s">
        <v>75</v>
      </c>
      <c r="AK1157" t="s">
        <v>76</v>
      </c>
      <c r="AL1157" t="s">
        <v>118</v>
      </c>
      <c r="AM1157" t="s">
        <v>78</v>
      </c>
      <c r="AN1157" t="s">
        <v>795</v>
      </c>
      <c r="AO1157" t="s">
        <v>119</v>
      </c>
      <c r="AP1157" t="s">
        <v>46</v>
      </c>
      <c r="AQ1157" t="s">
        <v>81</v>
      </c>
      <c r="AR1157" t="str">
        <f t="shared" si="34"/>
        <v>60602509.STATAM</v>
      </c>
      <c r="AS1157">
        <f t="shared" si="35"/>
        <v>28997604.66</v>
      </c>
      <c r="AT1157" t="s">
        <v>82</v>
      </c>
    </row>
    <row r="1158" spans="1:46" x14ac:dyDescent="0.35">
      <c r="A1158" t="s">
        <v>52</v>
      </c>
      <c r="B1158" t="s">
        <v>53</v>
      </c>
      <c r="C1158" t="s">
        <v>54</v>
      </c>
      <c r="D1158" t="s">
        <v>55</v>
      </c>
      <c r="E1158" t="s">
        <v>56</v>
      </c>
      <c r="F1158" t="s">
        <v>3627</v>
      </c>
      <c r="G1158" t="s">
        <v>3700</v>
      </c>
      <c r="H1158" t="s">
        <v>56</v>
      </c>
      <c r="I1158" t="s">
        <v>3701</v>
      </c>
      <c r="J1158" t="s">
        <v>56</v>
      </c>
      <c r="K1158" t="s">
        <v>640</v>
      </c>
      <c r="L1158" t="s">
        <v>56</v>
      </c>
      <c r="M1158" t="s">
        <v>56</v>
      </c>
      <c r="N1158" t="s">
        <v>1186</v>
      </c>
      <c r="O1158" t="s">
        <v>1122</v>
      </c>
      <c r="P1158" t="s">
        <v>1123</v>
      </c>
      <c r="Q1158" t="s">
        <v>853</v>
      </c>
      <c r="R1158" t="s">
        <v>248</v>
      </c>
      <c r="S1158">
        <v>55000000</v>
      </c>
      <c r="T1158">
        <v>18195753.84</v>
      </c>
      <c r="U1158" t="s">
        <v>68</v>
      </c>
      <c r="V1158" t="s">
        <v>3630</v>
      </c>
      <c r="W1158" s="9">
        <v>60602509</v>
      </c>
      <c r="X1158" t="s">
        <v>3702</v>
      </c>
      <c r="Y1158" s="1">
        <v>46049</v>
      </c>
      <c r="Z1158" s="1">
        <v>46109</v>
      </c>
      <c r="AA1158" s="2">
        <v>508.06</v>
      </c>
      <c r="AB1158" s="2">
        <v>430.56</v>
      </c>
      <c r="AC1158" s="2">
        <v>77.5</v>
      </c>
      <c r="AD1158" s="2">
        <v>508.06</v>
      </c>
      <c r="AE1158" t="s">
        <v>3710</v>
      </c>
      <c r="AF1158" t="s">
        <v>72</v>
      </c>
      <c r="AG1158">
        <v>-31</v>
      </c>
      <c r="AH1158" t="s">
        <v>117</v>
      </c>
      <c r="AI1158" t="s">
        <v>74</v>
      </c>
      <c r="AJ1158" t="s">
        <v>75</v>
      </c>
      <c r="AK1158" t="s">
        <v>76</v>
      </c>
      <c r="AL1158" t="s">
        <v>118</v>
      </c>
      <c r="AM1158" t="s">
        <v>78</v>
      </c>
      <c r="AN1158" t="s">
        <v>795</v>
      </c>
      <c r="AO1158" t="s">
        <v>119</v>
      </c>
      <c r="AP1158" t="s">
        <v>46</v>
      </c>
      <c r="AQ1158" t="s">
        <v>81</v>
      </c>
      <c r="AR1158" t="str">
        <f t="shared" si="34"/>
        <v>60602509.STATAM</v>
      </c>
      <c r="AS1158">
        <f t="shared" si="35"/>
        <v>28997604.66</v>
      </c>
      <c r="AT1158" t="s">
        <v>82</v>
      </c>
    </row>
    <row r="1159" spans="1:46" x14ac:dyDescent="0.35">
      <c r="A1159" t="s">
        <v>52</v>
      </c>
      <c r="B1159" t="s">
        <v>53</v>
      </c>
      <c r="C1159" t="s">
        <v>54</v>
      </c>
      <c r="D1159" t="s">
        <v>55</v>
      </c>
      <c r="E1159" t="s">
        <v>56</v>
      </c>
      <c r="F1159" t="s">
        <v>3627</v>
      </c>
      <c r="G1159" t="s">
        <v>3711</v>
      </c>
      <c r="H1159" t="s">
        <v>56</v>
      </c>
      <c r="I1159" t="s">
        <v>3712</v>
      </c>
      <c r="J1159" t="s">
        <v>56</v>
      </c>
      <c r="K1159" t="s">
        <v>640</v>
      </c>
      <c r="L1159" t="s">
        <v>56</v>
      </c>
      <c r="M1159" t="s">
        <v>56</v>
      </c>
      <c r="N1159" t="s">
        <v>254</v>
      </c>
      <c r="O1159" t="s">
        <v>1122</v>
      </c>
      <c r="P1159" t="s">
        <v>1123</v>
      </c>
      <c r="Q1159" t="s">
        <v>3713</v>
      </c>
      <c r="R1159" t="s">
        <v>248</v>
      </c>
      <c r="S1159">
        <v>55000000</v>
      </c>
      <c r="T1159">
        <v>18195753.84</v>
      </c>
      <c r="U1159" t="s">
        <v>68</v>
      </c>
      <c r="V1159" t="s">
        <v>3630</v>
      </c>
      <c r="W1159" s="9">
        <v>60602509</v>
      </c>
      <c r="X1159" t="s">
        <v>3714</v>
      </c>
      <c r="Y1159" s="1">
        <v>46049</v>
      </c>
      <c r="Z1159" s="1">
        <v>46109</v>
      </c>
      <c r="AA1159" s="2">
        <v>311248.59999999998</v>
      </c>
      <c r="AB1159" s="2">
        <v>263770</v>
      </c>
      <c r="AC1159" s="2">
        <v>47478.6</v>
      </c>
      <c r="AD1159" s="2">
        <v>311248.59999999998</v>
      </c>
      <c r="AE1159" t="s">
        <v>3715</v>
      </c>
      <c r="AF1159" t="s">
        <v>72</v>
      </c>
      <c r="AG1159">
        <v>-31</v>
      </c>
      <c r="AH1159" t="s">
        <v>117</v>
      </c>
      <c r="AI1159" t="s">
        <v>74</v>
      </c>
      <c r="AJ1159" t="s">
        <v>75</v>
      </c>
      <c r="AK1159" t="s">
        <v>76</v>
      </c>
      <c r="AL1159" t="s">
        <v>118</v>
      </c>
      <c r="AM1159" t="s">
        <v>78</v>
      </c>
      <c r="AN1159" t="s">
        <v>795</v>
      </c>
      <c r="AO1159" t="s">
        <v>119</v>
      </c>
      <c r="AP1159" t="s">
        <v>46</v>
      </c>
      <c r="AQ1159" t="s">
        <v>81</v>
      </c>
      <c r="AR1159" t="str">
        <f t="shared" si="34"/>
        <v>60602509.STATAM</v>
      </c>
      <c r="AS1159">
        <f t="shared" si="35"/>
        <v>28997604.66</v>
      </c>
      <c r="AT1159" t="s">
        <v>82</v>
      </c>
    </row>
    <row r="1160" spans="1:46" x14ac:dyDescent="0.35">
      <c r="A1160" t="s">
        <v>52</v>
      </c>
      <c r="B1160" t="s">
        <v>53</v>
      </c>
      <c r="C1160" t="s">
        <v>54</v>
      </c>
      <c r="D1160" t="s">
        <v>55</v>
      </c>
      <c r="E1160" t="s">
        <v>56</v>
      </c>
      <c r="F1160" t="s">
        <v>3627</v>
      </c>
      <c r="G1160" t="s">
        <v>3711</v>
      </c>
      <c r="H1160" t="s">
        <v>56</v>
      </c>
      <c r="I1160" t="s">
        <v>3712</v>
      </c>
      <c r="J1160" t="s">
        <v>56</v>
      </c>
      <c r="K1160" t="s">
        <v>640</v>
      </c>
      <c r="L1160" t="s">
        <v>56</v>
      </c>
      <c r="M1160" t="s">
        <v>56</v>
      </c>
      <c r="N1160" t="s">
        <v>244</v>
      </c>
      <c r="O1160" t="s">
        <v>1122</v>
      </c>
      <c r="P1160" t="s">
        <v>1123</v>
      </c>
      <c r="Q1160" t="s">
        <v>3713</v>
      </c>
      <c r="R1160" t="s">
        <v>248</v>
      </c>
      <c r="S1160">
        <v>55000000</v>
      </c>
      <c r="T1160">
        <v>18195753.84</v>
      </c>
      <c r="U1160" t="s">
        <v>68</v>
      </c>
      <c r="V1160" t="s">
        <v>3630</v>
      </c>
      <c r="W1160" s="9">
        <v>60602509</v>
      </c>
      <c r="X1160" t="s">
        <v>3714</v>
      </c>
      <c r="Y1160" s="1">
        <v>46049</v>
      </c>
      <c r="Z1160" s="1">
        <v>46109</v>
      </c>
      <c r="AA1160" s="2">
        <v>46376.36</v>
      </c>
      <c r="AB1160" s="2">
        <v>39302</v>
      </c>
      <c r="AC1160" s="2">
        <v>7074.36</v>
      </c>
      <c r="AD1160" s="2">
        <v>46376.36</v>
      </c>
      <c r="AE1160" t="s">
        <v>3716</v>
      </c>
      <c r="AF1160" t="s">
        <v>72</v>
      </c>
      <c r="AG1160">
        <v>-31</v>
      </c>
      <c r="AH1160" t="s">
        <v>117</v>
      </c>
      <c r="AI1160" t="s">
        <v>74</v>
      </c>
      <c r="AJ1160" t="s">
        <v>75</v>
      </c>
      <c r="AK1160" t="s">
        <v>76</v>
      </c>
      <c r="AL1160" t="s">
        <v>118</v>
      </c>
      <c r="AM1160" t="s">
        <v>78</v>
      </c>
      <c r="AN1160" t="s">
        <v>795</v>
      </c>
      <c r="AO1160" t="s">
        <v>119</v>
      </c>
      <c r="AP1160" t="s">
        <v>46</v>
      </c>
      <c r="AQ1160" t="s">
        <v>81</v>
      </c>
      <c r="AR1160" t="str">
        <f t="shared" ref="AR1160:AR1223" si="36">W1160&amp;"."&amp;AQ1160</f>
        <v>60602509.STATAM</v>
      </c>
      <c r="AS1160">
        <f t="shared" ref="AS1160:AS1223" si="37">SUMIFS(AD:AD,AQ:AQ,AQ1160,W:W,W1160)</f>
        <v>28997604.66</v>
      </c>
      <c r="AT1160" t="s">
        <v>82</v>
      </c>
    </row>
    <row r="1161" spans="1:46" x14ac:dyDescent="0.35">
      <c r="A1161" t="s">
        <v>52</v>
      </c>
      <c r="B1161" t="s">
        <v>53</v>
      </c>
      <c r="C1161" t="s">
        <v>54</v>
      </c>
      <c r="D1161" t="s">
        <v>55</v>
      </c>
      <c r="E1161" t="s">
        <v>56</v>
      </c>
      <c r="F1161" t="s">
        <v>3627</v>
      </c>
      <c r="G1161" t="s">
        <v>3717</v>
      </c>
      <c r="H1161" t="s">
        <v>56</v>
      </c>
      <c r="I1161" t="s">
        <v>3718</v>
      </c>
      <c r="J1161" t="s">
        <v>61</v>
      </c>
      <c r="K1161" t="s">
        <v>640</v>
      </c>
      <c r="L1161" t="s">
        <v>56</v>
      </c>
      <c r="M1161" t="s">
        <v>56</v>
      </c>
      <c r="N1161" t="s">
        <v>261</v>
      </c>
      <c r="O1161" t="s">
        <v>2621</v>
      </c>
      <c r="P1161" t="s">
        <v>2622</v>
      </c>
      <c r="Q1161" t="s">
        <v>87</v>
      </c>
      <c r="R1161" t="s">
        <v>248</v>
      </c>
      <c r="S1161">
        <v>55000000</v>
      </c>
      <c r="T1161">
        <v>18195753.84</v>
      </c>
      <c r="U1161" t="s">
        <v>68</v>
      </c>
      <c r="V1161" t="s">
        <v>3630</v>
      </c>
      <c r="W1161" s="9">
        <v>60602509</v>
      </c>
      <c r="X1161" t="s">
        <v>3719</v>
      </c>
      <c r="Y1161" s="1">
        <v>46052</v>
      </c>
      <c r="Z1161" s="1">
        <v>46112</v>
      </c>
      <c r="AA1161" s="2">
        <v>161542.81</v>
      </c>
      <c r="AB1161" s="2">
        <v>136900.68</v>
      </c>
      <c r="AC1161" s="2">
        <v>24642.13</v>
      </c>
      <c r="AD1161" s="2">
        <v>161542.81</v>
      </c>
      <c r="AE1161" t="s">
        <v>3720</v>
      </c>
      <c r="AF1161" t="s">
        <v>72</v>
      </c>
      <c r="AG1161">
        <v>-34</v>
      </c>
      <c r="AH1161" t="s">
        <v>117</v>
      </c>
      <c r="AI1161" t="s">
        <v>74</v>
      </c>
      <c r="AJ1161" t="s">
        <v>75</v>
      </c>
      <c r="AK1161" t="s">
        <v>76</v>
      </c>
      <c r="AL1161" t="s">
        <v>118</v>
      </c>
      <c r="AM1161" t="s">
        <v>78</v>
      </c>
      <c r="AN1161" t="s">
        <v>92</v>
      </c>
      <c r="AO1161" t="s">
        <v>119</v>
      </c>
      <c r="AP1161" t="s">
        <v>46</v>
      </c>
      <c r="AQ1161" t="s">
        <v>81</v>
      </c>
      <c r="AR1161" t="str">
        <f t="shared" si="36"/>
        <v>60602509.STATAM</v>
      </c>
      <c r="AS1161">
        <f t="shared" si="37"/>
        <v>28997604.66</v>
      </c>
      <c r="AT1161" t="s">
        <v>82</v>
      </c>
    </row>
    <row r="1162" spans="1:46" x14ac:dyDescent="0.35">
      <c r="A1162" t="s">
        <v>52</v>
      </c>
      <c r="B1162" t="s">
        <v>53</v>
      </c>
      <c r="C1162" t="s">
        <v>54</v>
      </c>
      <c r="D1162" t="s">
        <v>55</v>
      </c>
      <c r="E1162" t="s">
        <v>56</v>
      </c>
      <c r="F1162" t="s">
        <v>3627</v>
      </c>
      <c r="G1162" t="s">
        <v>3721</v>
      </c>
      <c r="H1162" t="s">
        <v>56</v>
      </c>
      <c r="I1162" t="s">
        <v>3722</v>
      </c>
      <c r="J1162" t="s">
        <v>61</v>
      </c>
      <c r="K1162" t="s">
        <v>640</v>
      </c>
      <c r="L1162" t="s">
        <v>56</v>
      </c>
      <c r="M1162" t="s">
        <v>56</v>
      </c>
      <c r="N1162" t="s">
        <v>263</v>
      </c>
      <c r="O1162" t="s">
        <v>1122</v>
      </c>
      <c r="P1162" t="s">
        <v>1123</v>
      </c>
      <c r="Q1162" t="s">
        <v>1486</v>
      </c>
      <c r="R1162" t="s">
        <v>248</v>
      </c>
      <c r="S1162">
        <v>55000000</v>
      </c>
      <c r="T1162">
        <v>18195753.84</v>
      </c>
      <c r="U1162" t="s">
        <v>68</v>
      </c>
      <c r="V1162" t="s">
        <v>3630</v>
      </c>
      <c r="W1162" s="9">
        <v>60602509</v>
      </c>
      <c r="X1162" t="s">
        <v>3723</v>
      </c>
      <c r="Y1162" s="1">
        <v>46052</v>
      </c>
      <c r="Z1162" s="1">
        <v>46112</v>
      </c>
      <c r="AA1162" s="2">
        <v>24040.14</v>
      </c>
      <c r="AB1162" s="2">
        <v>20373</v>
      </c>
      <c r="AC1162" s="2">
        <v>3667.14</v>
      </c>
      <c r="AD1162" s="2">
        <v>24040.14</v>
      </c>
      <c r="AE1162" t="s">
        <v>3724</v>
      </c>
      <c r="AF1162" t="s">
        <v>72</v>
      </c>
      <c r="AG1162">
        <v>-34</v>
      </c>
      <c r="AH1162" t="s">
        <v>117</v>
      </c>
      <c r="AI1162" t="s">
        <v>74</v>
      </c>
      <c r="AJ1162" t="s">
        <v>75</v>
      </c>
      <c r="AK1162" t="s">
        <v>76</v>
      </c>
      <c r="AL1162" t="s">
        <v>118</v>
      </c>
      <c r="AM1162" t="s">
        <v>78</v>
      </c>
      <c r="AN1162" t="s">
        <v>795</v>
      </c>
      <c r="AO1162" t="s">
        <v>119</v>
      </c>
      <c r="AP1162" t="s">
        <v>46</v>
      </c>
      <c r="AQ1162" t="s">
        <v>81</v>
      </c>
      <c r="AR1162" t="str">
        <f t="shared" si="36"/>
        <v>60602509.STATAM</v>
      </c>
      <c r="AS1162">
        <f t="shared" si="37"/>
        <v>28997604.66</v>
      </c>
      <c r="AT1162" t="s">
        <v>82</v>
      </c>
    </row>
    <row r="1163" spans="1:46" x14ac:dyDescent="0.35">
      <c r="A1163" t="s">
        <v>52</v>
      </c>
      <c r="B1163" t="s">
        <v>53</v>
      </c>
      <c r="C1163" t="s">
        <v>54</v>
      </c>
      <c r="D1163" t="s">
        <v>55</v>
      </c>
      <c r="E1163" t="s">
        <v>56</v>
      </c>
      <c r="F1163" t="s">
        <v>3627</v>
      </c>
      <c r="G1163" t="s">
        <v>3721</v>
      </c>
      <c r="H1163" t="s">
        <v>56</v>
      </c>
      <c r="I1163" t="s">
        <v>3722</v>
      </c>
      <c r="J1163" t="s">
        <v>61</v>
      </c>
      <c r="K1163" t="s">
        <v>640</v>
      </c>
      <c r="L1163" t="s">
        <v>56</v>
      </c>
      <c r="M1163" t="s">
        <v>56</v>
      </c>
      <c r="N1163" t="s">
        <v>254</v>
      </c>
      <c r="O1163" t="s">
        <v>1122</v>
      </c>
      <c r="P1163" t="s">
        <v>1123</v>
      </c>
      <c r="Q1163" t="s">
        <v>1486</v>
      </c>
      <c r="R1163" t="s">
        <v>248</v>
      </c>
      <c r="S1163">
        <v>55000000</v>
      </c>
      <c r="T1163">
        <v>18195753.84</v>
      </c>
      <c r="U1163" t="s">
        <v>68</v>
      </c>
      <c r="V1163" t="s">
        <v>3630</v>
      </c>
      <c r="W1163" s="9">
        <v>60602509</v>
      </c>
      <c r="X1163" t="s">
        <v>3723</v>
      </c>
      <c r="Y1163" s="1">
        <v>46052</v>
      </c>
      <c r="Z1163" s="1">
        <v>46112</v>
      </c>
      <c r="AA1163" s="2">
        <v>394223.84</v>
      </c>
      <c r="AB1163" s="2">
        <v>334088</v>
      </c>
      <c r="AC1163" s="2">
        <v>60135.839999999997</v>
      </c>
      <c r="AD1163" s="2">
        <v>394223.84</v>
      </c>
      <c r="AE1163" t="s">
        <v>3725</v>
      </c>
      <c r="AF1163" t="s">
        <v>72</v>
      </c>
      <c r="AG1163">
        <v>-34</v>
      </c>
      <c r="AH1163" t="s">
        <v>117</v>
      </c>
      <c r="AI1163" t="s">
        <v>74</v>
      </c>
      <c r="AJ1163" t="s">
        <v>75</v>
      </c>
      <c r="AK1163" t="s">
        <v>76</v>
      </c>
      <c r="AL1163" t="s">
        <v>118</v>
      </c>
      <c r="AM1163" t="s">
        <v>78</v>
      </c>
      <c r="AN1163" t="s">
        <v>795</v>
      </c>
      <c r="AO1163" t="s">
        <v>119</v>
      </c>
      <c r="AP1163" t="s">
        <v>46</v>
      </c>
      <c r="AQ1163" t="s">
        <v>81</v>
      </c>
      <c r="AR1163" t="str">
        <f t="shared" si="36"/>
        <v>60602509.STATAM</v>
      </c>
      <c r="AS1163">
        <f t="shared" si="37"/>
        <v>28997604.66</v>
      </c>
      <c r="AT1163" t="s">
        <v>82</v>
      </c>
    </row>
    <row r="1164" spans="1:46" x14ac:dyDescent="0.35">
      <c r="A1164" t="s">
        <v>52</v>
      </c>
      <c r="B1164" t="s">
        <v>53</v>
      </c>
      <c r="C1164" t="s">
        <v>54</v>
      </c>
      <c r="D1164" t="s">
        <v>55</v>
      </c>
      <c r="E1164" t="s">
        <v>56</v>
      </c>
      <c r="F1164" t="s">
        <v>3627</v>
      </c>
      <c r="G1164" t="s">
        <v>3721</v>
      </c>
      <c r="H1164" t="s">
        <v>56</v>
      </c>
      <c r="I1164" t="s">
        <v>3722</v>
      </c>
      <c r="J1164" t="s">
        <v>61</v>
      </c>
      <c r="K1164" t="s">
        <v>640</v>
      </c>
      <c r="L1164" t="s">
        <v>56</v>
      </c>
      <c r="M1164" t="s">
        <v>56</v>
      </c>
      <c r="N1164" t="s">
        <v>244</v>
      </c>
      <c r="O1164" t="s">
        <v>1122</v>
      </c>
      <c r="P1164" t="s">
        <v>1123</v>
      </c>
      <c r="Q1164" t="s">
        <v>1486</v>
      </c>
      <c r="R1164" t="s">
        <v>248</v>
      </c>
      <c r="S1164">
        <v>55000000</v>
      </c>
      <c r="T1164">
        <v>18195753.84</v>
      </c>
      <c r="U1164" t="s">
        <v>68</v>
      </c>
      <c r="V1164" t="s">
        <v>3630</v>
      </c>
      <c r="W1164" s="9">
        <v>60602509</v>
      </c>
      <c r="X1164" t="s">
        <v>3723</v>
      </c>
      <c r="Y1164" s="1">
        <v>46052</v>
      </c>
      <c r="Z1164" s="1">
        <v>46112</v>
      </c>
      <c r="AA1164" s="2">
        <v>872546.28</v>
      </c>
      <c r="AB1164" s="2">
        <v>739446</v>
      </c>
      <c r="AC1164" s="2">
        <v>133100.28</v>
      </c>
      <c r="AD1164" s="2">
        <v>872546.28</v>
      </c>
      <c r="AE1164" t="s">
        <v>3726</v>
      </c>
      <c r="AF1164" t="s">
        <v>72</v>
      </c>
      <c r="AG1164">
        <v>-34</v>
      </c>
      <c r="AH1164" t="s">
        <v>117</v>
      </c>
      <c r="AI1164" t="s">
        <v>74</v>
      </c>
      <c r="AJ1164" t="s">
        <v>75</v>
      </c>
      <c r="AK1164" t="s">
        <v>76</v>
      </c>
      <c r="AL1164" t="s">
        <v>118</v>
      </c>
      <c r="AM1164" t="s">
        <v>78</v>
      </c>
      <c r="AN1164" t="s">
        <v>795</v>
      </c>
      <c r="AO1164" t="s">
        <v>119</v>
      </c>
      <c r="AP1164" t="s">
        <v>46</v>
      </c>
      <c r="AQ1164" t="s">
        <v>81</v>
      </c>
      <c r="AR1164" t="str">
        <f t="shared" si="36"/>
        <v>60602509.STATAM</v>
      </c>
      <c r="AS1164">
        <f t="shared" si="37"/>
        <v>28997604.66</v>
      </c>
      <c r="AT1164" t="s">
        <v>82</v>
      </c>
    </row>
    <row r="1165" spans="1:46" x14ac:dyDescent="0.35">
      <c r="A1165" t="s">
        <v>52</v>
      </c>
      <c r="B1165" t="s">
        <v>53</v>
      </c>
      <c r="C1165" t="s">
        <v>54</v>
      </c>
      <c r="D1165" t="s">
        <v>55</v>
      </c>
      <c r="E1165" t="s">
        <v>56</v>
      </c>
      <c r="F1165" t="s">
        <v>3627</v>
      </c>
      <c r="G1165" t="s">
        <v>3667</v>
      </c>
      <c r="H1165" t="s">
        <v>56</v>
      </c>
      <c r="I1165" t="s">
        <v>3727</v>
      </c>
      <c r="J1165" t="s">
        <v>61</v>
      </c>
      <c r="K1165" t="s">
        <v>640</v>
      </c>
      <c r="L1165" t="s">
        <v>56</v>
      </c>
      <c r="M1165" t="s">
        <v>56</v>
      </c>
      <c r="N1165" t="s">
        <v>252</v>
      </c>
      <c r="O1165" t="s">
        <v>2621</v>
      </c>
      <c r="P1165" t="s">
        <v>2622</v>
      </c>
      <c r="Q1165" t="s">
        <v>87</v>
      </c>
      <c r="R1165" t="s">
        <v>248</v>
      </c>
      <c r="S1165">
        <v>55000000</v>
      </c>
      <c r="T1165">
        <v>18195753.84</v>
      </c>
      <c r="U1165" t="s">
        <v>68</v>
      </c>
      <c r="V1165" t="s">
        <v>3630</v>
      </c>
      <c r="W1165" s="9">
        <v>60602509</v>
      </c>
      <c r="X1165" t="s">
        <v>3728</v>
      </c>
      <c r="Y1165" s="1">
        <v>46052</v>
      </c>
      <c r="Z1165" s="1">
        <v>46112</v>
      </c>
      <c r="AA1165" s="2">
        <v>63143.12</v>
      </c>
      <c r="AB1165" s="2">
        <v>53511.12</v>
      </c>
      <c r="AC1165" s="2">
        <v>9632</v>
      </c>
      <c r="AD1165" s="2">
        <v>63143.12</v>
      </c>
      <c r="AE1165" t="s">
        <v>3729</v>
      </c>
      <c r="AF1165" t="s">
        <v>72</v>
      </c>
      <c r="AG1165">
        <v>-34</v>
      </c>
      <c r="AH1165" t="s">
        <v>117</v>
      </c>
      <c r="AI1165" t="s">
        <v>74</v>
      </c>
      <c r="AJ1165" t="s">
        <v>75</v>
      </c>
      <c r="AK1165" t="s">
        <v>76</v>
      </c>
      <c r="AL1165" t="s">
        <v>118</v>
      </c>
      <c r="AM1165" t="s">
        <v>78</v>
      </c>
      <c r="AN1165" t="s">
        <v>92</v>
      </c>
      <c r="AO1165" t="s">
        <v>119</v>
      </c>
      <c r="AP1165" t="s">
        <v>46</v>
      </c>
      <c r="AQ1165" t="s">
        <v>81</v>
      </c>
      <c r="AR1165" t="str">
        <f t="shared" si="36"/>
        <v>60602509.STATAM</v>
      </c>
      <c r="AS1165">
        <f t="shared" si="37"/>
        <v>28997604.66</v>
      </c>
      <c r="AT1165" t="s">
        <v>82</v>
      </c>
    </row>
    <row r="1166" spans="1:46" x14ac:dyDescent="0.35">
      <c r="A1166" t="s">
        <v>52</v>
      </c>
      <c r="B1166" t="s">
        <v>53</v>
      </c>
      <c r="C1166" t="s">
        <v>54</v>
      </c>
      <c r="D1166" t="s">
        <v>55</v>
      </c>
      <c r="E1166" t="s">
        <v>56</v>
      </c>
      <c r="F1166" t="s">
        <v>3627</v>
      </c>
      <c r="G1166" t="s">
        <v>3730</v>
      </c>
      <c r="H1166" t="s">
        <v>56</v>
      </c>
      <c r="I1166" t="s">
        <v>3731</v>
      </c>
      <c r="J1166" t="s">
        <v>56</v>
      </c>
      <c r="K1166" t="s">
        <v>640</v>
      </c>
      <c r="L1166" t="s">
        <v>56</v>
      </c>
      <c r="M1166" t="s">
        <v>56</v>
      </c>
      <c r="N1166" t="s">
        <v>331</v>
      </c>
      <c r="O1166" t="s">
        <v>2621</v>
      </c>
      <c r="P1166" t="s">
        <v>2622</v>
      </c>
      <c r="Q1166" t="s">
        <v>853</v>
      </c>
      <c r="R1166" t="s">
        <v>248</v>
      </c>
      <c r="S1166">
        <v>55000000</v>
      </c>
      <c r="T1166">
        <v>18195753.84</v>
      </c>
      <c r="U1166" t="s">
        <v>68</v>
      </c>
      <c r="V1166" t="s">
        <v>3630</v>
      </c>
      <c r="W1166" s="9">
        <v>60602509</v>
      </c>
      <c r="X1166" t="s">
        <v>3732</v>
      </c>
      <c r="Y1166" s="1">
        <v>46066</v>
      </c>
      <c r="Z1166" s="1">
        <v>46126</v>
      </c>
      <c r="AA1166" s="2">
        <v>52748.72</v>
      </c>
      <c r="AB1166" s="2">
        <v>44702.31</v>
      </c>
      <c r="AC1166" s="2">
        <v>8046.41</v>
      </c>
      <c r="AD1166" s="2">
        <v>52748.72</v>
      </c>
      <c r="AE1166" t="s">
        <v>3733</v>
      </c>
      <c r="AF1166" t="s">
        <v>72</v>
      </c>
      <c r="AG1166">
        <v>-48</v>
      </c>
      <c r="AH1166" t="s">
        <v>117</v>
      </c>
      <c r="AI1166" t="s">
        <v>74</v>
      </c>
      <c r="AJ1166" t="s">
        <v>127</v>
      </c>
      <c r="AK1166" t="s">
        <v>334</v>
      </c>
      <c r="AL1166" t="s">
        <v>118</v>
      </c>
      <c r="AM1166" t="s">
        <v>78</v>
      </c>
      <c r="AN1166" t="s">
        <v>92</v>
      </c>
      <c r="AO1166" t="s">
        <v>119</v>
      </c>
      <c r="AP1166" t="s">
        <v>46</v>
      </c>
      <c r="AQ1166" t="s">
        <v>335</v>
      </c>
      <c r="AR1166" t="str">
        <f t="shared" si="36"/>
        <v>60602509.SPMINAM</v>
      </c>
      <c r="AS1166">
        <f t="shared" si="37"/>
        <v>1287803.46</v>
      </c>
      <c r="AT1166" t="s">
        <v>82</v>
      </c>
    </row>
    <row r="1167" spans="1:46" x14ac:dyDescent="0.35">
      <c r="A1167" t="s">
        <v>52</v>
      </c>
      <c r="B1167" t="s">
        <v>53</v>
      </c>
      <c r="C1167" t="s">
        <v>54</v>
      </c>
      <c r="D1167" t="s">
        <v>55</v>
      </c>
      <c r="E1167" t="s">
        <v>56</v>
      </c>
      <c r="F1167" t="s">
        <v>3627</v>
      </c>
      <c r="G1167" t="s">
        <v>3730</v>
      </c>
      <c r="H1167" t="s">
        <v>56</v>
      </c>
      <c r="I1167" t="s">
        <v>3731</v>
      </c>
      <c r="J1167" t="s">
        <v>56</v>
      </c>
      <c r="K1167" t="s">
        <v>640</v>
      </c>
      <c r="L1167" t="s">
        <v>56</v>
      </c>
      <c r="M1167" t="s">
        <v>56</v>
      </c>
      <c r="N1167" t="s">
        <v>244</v>
      </c>
      <c r="O1167" t="s">
        <v>2621</v>
      </c>
      <c r="P1167" t="s">
        <v>2622</v>
      </c>
      <c r="Q1167" t="s">
        <v>853</v>
      </c>
      <c r="R1167" t="s">
        <v>248</v>
      </c>
      <c r="S1167">
        <v>55000000</v>
      </c>
      <c r="T1167">
        <v>18195753.84</v>
      </c>
      <c r="U1167" t="s">
        <v>68</v>
      </c>
      <c r="V1167" t="s">
        <v>3630</v>
      </c>
      <c r="W1167" s="9">
        <v>60602509</v>
      </c>
      <c r="X1167" t="s">
        <v>3732</v>
      </c>
      <c r="Y1167" s="1">
        <v>46066</v>
      </c>
      <c r="Z1167" s="1">
        <v>46126</v>
      </c>
      <c r="AA1167" s="2">
        <v>333438.77</v>
      </c>
      <c r="AB1167" s="2">
        <v>282575.24</v>
      </c>
      <c r="AC1167" s="2">
        <v>50863.53</v>
      </c>
      <c r="AD1167" s="2">
        <v>333438.77</v>
      </c>
      <c r="AE1167" t="s">
        <v>3734</v>
      </c>
      <c r="AF1167" t="s">
        <v>72</v>
      </c>
      <c r="AG1167">
        <v>-48</v>
      </c>
      <c r="AH1167" t="s">
        <v>117</v>
      </c>
      <c r="AI1167" t="s">
        <v>74</v>
      </c>
      <c r="AJ1167" t="s">
        <v>75</v>
      </c>
      <c r="AK1167" t="s">
        <v>76</v>
      </c>
      <c r="AL1167" t="s">
        <v>118</v>
      </c>
      <c r="AM1167" t="s">
        <v>78</v>
      </c>
      <c r="AN1167" t="s">
        <v>92</v>
      </c>
      <c r="AO1167" t="s">
        <v>119</v>
      </c>
      <c r="AP1167" t="s">
        <v>46</v>
      </c>
      <c r="AQ1167" t="s">
        <v>81</v>
      </c>
      <c r="AR1167" t="str">
        <f t="shared" si="36"/>
        <v>60602509.STATAM</v>
      </c>
      <c r="AS1167">
        <f t="shared" si="37"/>
        <v>28997604.66</v>
      </c>
      <c r="AT1167" t="s">
        <v>82</v>
      </c>
    </row>
    <row r="1168" spans="1:46" x14ac:dyDescent="0.35">
      <c r="A1168" t="s">
        <v>52</v>
      </c>
      <c r="B1168" t="s">
        <v>53</v>
      </c>
      <c r="C1168" t="s">
        <v>54</v>
      </c>
      <c r="D1168" t="s">
        <v>55</v>
      </c>
      <c r="E1168" t="s">
        <v>56</v>
      </c>
      <c r="F1168" t="s">
        <v>3627</v>
      </c>
      <c r="G1168" t="s">
        <v>3730</v>
      </c>
      <c r="H1168" t="s">
        <v>56</v>
      </c>
      <c r="I1168" t="s">
        <v>3731</v>
      </c>
      <c r="J1168" t="s">
        <v>56</v>
      </c>
      <c r="K1168" t="s">
        <v>640</v>
      </c>
      <c r="L1168" t="s">
        <v>56</v>
      </c>
      <c r="M1168" t="s">
        <v>56</v>
      </c>
      <c r="N1168" t="s">
        <v>252</v>
      </c>
      <c r="O1168" t="s">
        <v>2621</v>
      </c>
      <c r="P1168" t="s">
        <v>2622</v>
      </c>
      <c r="Q1168" t="s">
        <v>853</v>
      </c>
      <c r="R1168" t="s">
        <v>248</v>
      </c>
      <c r="S1168">
        <v>55000000</v>
      </c>
      <c r="T1168">
        <v>18195753.84</v>
      </c>
      <c r="U1168" t="s">
        <v>68</v>
      </c>
      <c r="V1168" t="s">
        <v>3630</v>
      </c>
      <c r="W1168" s="9">
        <v>60602509</v>
      </c>
      <c r="X1168" t="s">
        <v>3732</v>
      </c>
      <c r="Y1168" s="1">
        <v>46066</v>
      </c>
      <c r="Z1168" s="1">
        <v>46126</v>
      </c>
      <c r="AA1168" s="2">
        <v>52424.14</v>
      </c>
      <c r="AB1168" s="2">
        <v>44427.24</v>
      </c>
      <c r="AC1168" s="2">
        <v>7996.9</v>
      </c>
      <c r="AD1168" s="2">
        <v>52424.14</v>
      </c>
      <c r="AE1168" t="s">
        <v>3735</v>
      </c>
      <c r="AF1168" t="s">
        <v>72</v>
      </c>
      <c r="AG1168">
        <v>-48</v>
      </c>
      <c r="AH1168" t="s">
        <v>117</v>
      </c>
      <c r="AI1168" t="s">
        <v>74</v>
      </c>
      <c r="AJ1168" t="s">
        <v>75</v>
      </c>
      <c r="AK1168" t="s">
        <v>76</v>
      </c>
      <c r="AL1168" t="s">
        <v>118</v>
      </c>
      <c r="AM1168" t="s">
        <v>78</v>
      </c>
      <c r="AN1168" t="s">
        <v>92</v>
      </c>
      <c r="AO1168" t="s">
        <v>119</v>
      </c>
      <c r="AP1168" t="s">
        <v>46</v>
      </c>
      <c r="AQ1168" t="s">
        <v>81</v>
      </c>
      <c r="AR1168" t="str">
        <f t="shared" si="36"/>
        <v>60602509.STATAM</v>
      </c>
      <c r="AS1168">
        <f t="shared" si="37"/>
        <v>28997604.66</v>
      </c>
      <c r="AT1168" t="s">
        <v>82</v>
      </c>
    </row>
    <row r="1169" spans="1:46" x14ac:dyDescent="0.35">
      <c r="A1169" t="s">
        <v>52</v>
      </c>
      <c r="B1169" t="s">
        <v>53</v>
      </c>
      <c r="C1169" t="s">
        <v>54</v>
      </c>
      <c r="D1169" t="s">
        <v>55</v>
      </c>
      <c r="E1169" t="s">
        <v>56</v>
      </c>
      <c r="F1169" t="s">
        <v>3627</v>
      </c>
      <c r="G1169" t="s">
        <v>3730</v>
      </c>
      <c r="H1169" t="s">
        <v>56</v>
      </c>
      <c r="I1169" t="s">
        <v>3731</v>
      </c>
      <c r="J1169" t="s">
        <v>56</v>
      </c>
      <c r="K1169" t="s">
        <v>640</v>
      </c>
      <c r="L1169" t="s">
        <v>56</v>
      </c>
      <c r="M1169" t="s">
        <v>56</v>
      </c>
      <c r="N1169" t="s">
        <v>337</v>
      </c>
      <c r="O1169" t="s">
        <v>2621</v>
      </c>
      <c r="P1169" t="s">
        <v>2622</v>
      </c>
      <c r="Q1169" t="s">
        <v>853</v>
      </c>
      <c r="R1169" t="s">
        <v>248</v>
      </c>
      <c r="S1169">
        <v>55000000</v>
      </c>
      <c r="T1169">
        <v>18195753.84</v>
      </c>
      <c r="U1169" t="s">
        <v>68</v>
      </c>
      <c r="V1169" t="s">
        <v>3630</v>
      </c>
      <c r="W1169" s="9">
        <v>60602509</v>
      </c>
      <c r="X1169" t="s">
        <v>3732</v>
      </c>
      <c r="Y1169" s="1">
        <v>46066</v>
      </c>
      <c r="Z1169" s="1">
        <v>46126</v>
      </c>
      <c r="AA1169" s="2">
        <v>12674.51</v>
      </c>
      <c r="AB1169" s="2">
        <v>10741.11</v>
      </c>
      <c r="AC1169" s="2">
        <v>1933.4</v>
      </c>
      <c r="AD1169" s="2">
        <v>12674.51</v>
      </c>
      <c r="AE1169" t="s">
        <v>3736</v>
      </c>
      <c r="AF1169" t="s">
        <v>72</v>
      </c>
      <c r="AG1169">
        <v>-48</v>
      </c>
      <c r="AH1169" t="s">
        <v>117</v>
      </c>
      <c r="AI1169" t="s">
        <v>74</v>
      </c>
      <c r="AJ1169" t="s">
        <v>127</v>
      </c>
      <c r="AK1169" t="s">
        <v>334</v>
      </c>
      <c r="AL1169" t="s">
        <v>118</v>
      </c>
      <c r="AM1169" t="s">
        <v>78</v>
      </c>
      <c r="AN1169" t="s">
        <v>92</v>
      </c>
      <c r="AO1169" t="s">
        <v>119</v>
      </c>
      <c r="AP1169" t="s">
        <v>46</v>
      </c>
      <c r="AQ1169" t="s">
        <v>335</v>
      </c>
      <c r="AR1169" t="str">
        <f t="shared" si="36"/>
        <v>60602509.SPMINAM</v>
      </c>
      <c r="AS1169">
        <f t="shared" si="37"/>
        <v>1287803.46</v>
      </c>
      <c r="AT1169" t="s">
        <v>82</v>
      </c>
    </row>
    <row r="1170" spans="1:46" x14ac:dyDescent="0.35">
      <c r="A1170" t="s">
        <v>52</v>
      </c>
      <c r="B1170" t="s">
        <v>53</v>
      </c>
      <c r="C1170" t="s">
        <v>54</v>
      </c>
      <c r="D1170" t="s">
        <v>55</v>
      </c>
      <c r="E1170" t="s">
        <v>56</v>
      </c>
      <c r="F1170" t="s">
        <v>3627</v>
      </c>
      <c r="G1170" t="s">
        <v>3730</v>
      </c>
      <c r="H1170" t="s">
        <v>56</v>
      </c>
      <c r="I1170" t="s">
        <v>3737</v>
      </c>
      <c r="J1170" t="s">
        <v>56</v>
      </c>
      <c r="K1170" t="s">
        <v>640</v>
      </c>
      <c r="L1170" t="s">
        <v>56</v>
      </c>
      <c r="M1170" t="s">
        <v>56</v>
      </c>
      <c r="N1170" t="s">
        <v>261</v>
      </c>
      <c r="O1170" t="s">
        <v>2621</v>
      </c>
      <c r="P1170" t="s">
        <v>2622</v>
      </c>
      <c r="Q1170" t="s">
        <v>853</v>
      </c>
      <c r="R1170" t="s">
        <v>248</v>
      </c>
      <c r="S1170">
        <v>55000000</v>
      </c>
      <c r="T1170">
        <v>18195753.84</v>
      </c>
      <c r="U1170" t="s">
        <v>68</v>
      </c>
      <c r="V1170" t="s">
        <v>3630</v>
      </c>
      <c r="W1170" s="9">
        <v>60602509</v>
      </c>
      <c r="X1170" t="s">
        <v>3738</v>
      </c>
      <c r="Y1170" s="1">
        <v>46066</v>
      </c>
      <c r="Z1170" s="1">
        <v>46126</v>
      </c>
      <c r="AA1170" s="2">
        <v>64979.32</v>
      </c>
      <c r="AB1170" s="2">
        <v>55067.22</v>
      </c>
      <c r="AC1170" s="2">
        <v>9912.1</v>
      </c>
      <c r="AD1170" s="2">
        <v>64979.32</v>
      </c>
      <c r="AE1170" t="s">
        <v>3739</v>
      </c>
      <c r="AF1170" t="s">
        <v>72</v>
      </c>
      <c r="AG1170">
        <v>-48</v>
      </c>
      <c r="AH1170" t="s">
        <v>117</v>
      </c>
      <c r="AI1170" t="s">
        <v>74</v>
      </c>
      <c r="AJ1170" t="s">
        <v>75</v>
      </c>
      <c r="AK1170" t="s">
        <v>76</v>
      </c>
      <c r="AL1170" t="s">
        <v>118</v>
      </c>
      <c r="AM1170" t="s">
        <v>78</v>
      </c>
      <c r="AN1170" t="s">
        <v>92</v>
      </c>
      <c r="AO1170" t="s">
        <v>119</v>
      </c>
      <c r="AP1170" t="s">
        <v>46</v>
      </c>
      <c r="AQ1170" t="s">
        <v>81</v>
      </c>
      <c r="AR1170" t="str">
        <f t="shared" si="36"/>
        <v>60602509.STATAM</v>
      </c>
      <c r="AS1170">
        <f t="shared" si="37"/>
        <v>28997604.66</v>
      </c>
      <c r="AT1170" t="s">
        <v>82</v>
      </c>
    </row>
    <row r="1171" spans="1:46" x14ac:dyDescent="0.35">
      <c r="A1171" t="s">
        <v>52</v>
      </c>
      <c r="B1171" t="s">
        <v>53</v>
      </c>
      <c r="C1171" t="s">
        <v>54</v>
      </c>
      <c r="D1171" t="s">
        <v>55</v>
      </c>
      <c r="E1171" t="s">
        <v>56</v>
      </c>
      <c r="F1171" t="s">
        <v>3627</v>
      </c>
      <c r="G1171" t="s">
        <v>3730</v>
      </c>
      <c r="H1171" t="s">
        <v>56</v>
      </c>
      <c r="I1171" t="s">
        <v>3737</v>
      </c>
      <c r="J1171" t="s">
        <v>56</v>
      </c>
      <c r="K1171" t="s">
        <v>640</v>
      </c>
      <c r="L1171" t="s">
        <v>56</v>
      </c>
      <c r="M1171" t="s">
        <v>56</v>
      </c>
      <c r="N1171" t="s">
        <v>295</v>
      </c>
      <c r="O1171" t="s">
        <v>2621</v>
      </c>
      <c r="P1171" t="s">
        <v>2622</v>
      </c>
      <c r="Q1171" t="s">
        <v>853</v>
      </c>
      <c r="R1171" t="s">
        <v>248</v>
      </c>
      <c r="S1171">
        <v>55000000</v>
      </c>
      <c r="T1171">
        <v>18195753.84</v>
      </c>
      <c r="U1171" t="s">
        <v>68</v>
      </c>
      <c r="V1171" t="s">
        <v>3630</v>
      </c>
      <c r="W1171" s="9">
        <v>60602509</v>
      </c>
      <c r="X1171" t="s">
        <v>3738</v>
      </c>
      <c r="Y1171" s="1">
        <v>46066</v>
      </c>
      <c r="Z1171" s="1">
        <v>46126</v>
      </c>
      <c r="AA1171" s="2">
        <v>2345.1799999999998</v>
      </c>
      <c r="AB1171" s="2">
        <v>1987.44</v>
      </c>
      <c r="AC1171" s="2">
        <v>357.74</v>
      </c>
      <c r="AD1171" s="2">
        <v>2345.1799999999998</v>
      </c>
      <c r="AE1171" t="s">
        <v>3740</v>
      </c>
      <c r="AF1171" t="s">
        <v>72</v>
      </c>
      <c r="AG1171">
        <v>-48</v>
      </c>
      <c r="AH1171" t="s">
        <v>117</v>
      </c>
      <c r="AI1171" t="s">
        <v>74</v>
      </c>
      <c r="AJ1171" t="s">
        <v>75</v>
      </c>
      <c r="AK1171" t="s">
        <v>76</v>
      </c>
      <c r="AL1171" t="s">
        <v>118</v>
      </c>
      <c r="AM1171" t="s">
        <v>78</v>
      </c>
      <c r="AN1171" t="s">
        <v>92</v>
      </c>
      <c r="AO1171" t="s">
        <v>119</v>
      </c>
      <c r="AP1171" t="s">
        <v>46</v>
      </c>
      <c r="AQ1171" t="s">
        <v>81</v>
      </c>
      <c r="AR1171" t="str">
        <f t="shared" si="36"/>
        <v>60602509.STATAM</v>
      </c>
      <c r="AS1171">
        <f t="shared" si="37"/>
        <v>28997604.66</v>
      </c>
      <c r="AT1171" t="s">
        <v>82</v>
      </c>
    </row>
    <row r="1172" spans="1:46" x14ac:dyDescent="0.35">
      <c r="A1172" t="s">
        <v>52</v>
      </c>
      <c r="B1172" t="s">
        <v>53</v>
      </c>
      <c r="C1172" t="s">
        <v>54</v>
      </c>
      <c r="D1172" t="s">
        <v>55</v>
      </c>
      <c r="E1172" t="s">
        <v>56</v>
      </c>
      <c r="F1172" t="s">
        <v>3627</v>
      </c>
      <c r="G1172" t="s">
        <v>3730</v>
      </c>
      <c r="H1172" t="s">
        <v>56</v>
      </c>
      <c r="I1172" t="s">
        <v>3737</v>
      </c>
      <c r="J1172" t="s">
        <v>56</v>
      </c>
      <c r="K1172" t="s">
        <v>640</v>
      </c>
      <c r="L1172" t="s">
        <v>56</v>
      </c>
      <c r="M1172" t="s">
        <v>56</v>
      </c>
      <c r="N1172" t="s">
        <v>244</v>
      </c>
      <c r="O1172" t="s">
        <v>2621</v>
      </c>
      <c r="P1172" t="s">
        <v>2622</v>
      </c>
      <c r="Q1172" t="s">
        <v>853</v>
      </c>
      <c r="R1172" t="s">
        <v>248</v>
      </c>
      <c r="S1172">
        <v>55000000</v>
      </c>
      <c r="T1172">
        <v>18195753.84</v>
      </c>
      <c r="U1172" t="s">
        <v>68</v>
      </c>
      <c r="V1172" t="s">
        <v>3630</v>
      </c>
      <c r="W1172" s="9">
        <v>60602509</v>
      </c>
      <c r="X1172" t="s">
        <v>3738</v>
      </c>
      <c r="Y1172" s="1">
        <v>46066</v>
      </c>
      <c r="Z1172" s="1">
        <v>46126</v>
      </c>
      <c r="AA1172" s="2">
        <v>44153.24</v>
      </c>
      <c r="AB1172" s="2">
        <v>37418</v>
      </c>
      <c r="AC1172" s="2">
        <v>6735.24</v>
      </c>
      <c r="AD1172" s="2">
        <v>44153.24</v>
      </c>
      <c r="AE1172" t="s">
        <v>3741</v>
      </c>
      <c r="AF1172" t="s">
        <v>72</v>
      </c>
      <c r="AG1172">
        <v>-48</v>
      </c>
      <c r="AH1172" t="s">
        <v>117</v>
      </c>
      <c r="AI1172" t="s">
        <v>74</v>
      </c>
      <c r="AJ1172" t="s">
        <v>75</v>
      </c>
      <c r="AK1172" t="s">
        <v>76</v>
      </c>
      <c r="AL1172" t="s">
        <v>118</v>
      </c>
      <c r="AM1172" t="s">
        <v>78</v>
      </c>
      <c r="AN1172" t="s">
        <v>92</v>
      </c>
      <c r="AO1172" t="s">
        <v>119</v>
      </c>
      <c r="AP1172" t="s">
        <v>46</v>
      </c>
      <c r="AQ1172" t="s">
        <v>81</v>
      </c>
      <c r="AR1172" t="str">
        <f t="shared" si="36"/>
        <v>60602509.STATAM</v>
      </c>
      <c r="AS1172">
        <f t="shared" si="37"/>
        <v>28997604.66</v>
      </c>
      <c r="AT1172" t="s">
        <v>82</v>
      </c>
    </row>
    <row r="1173" spans="1:46" x14ac:dyDescent="0.35">
      <c r="A1173" t="s">
        <v>52</v>
      </c>
      <c r="B1173" t="s">
        <v>53</v>
      </c>
      <c r="C1173" t="s">
        <v>54</v>
      </c>
      <c r="D1173" t="s">
        <v>55</v>
      </c>
      <c r="E1173" t="s">
        <v>56</v>
      </c>
      <c r="F1173" t="s">
        <v>3627</v>
      </c>
      <c r="G1173" t="s">
        <v>3742</v>
      </c>
      <c r="H1173" t="s">
        <v>59</v>
      </c>
      <c r="I1173" t="s">
        <v>3743</v>
      </c>
      <c r="J1173" t="s">
        <v>61</v>
      </c>
      <c r="K1173" t="s">
        <v>640</v>
      </c>
      <c r="L1173" t="s">
        <v>56</v>
      </c>
      <c r="M1173" t="s">
        <v>56</v>
      </c>
      <c r="N1173" t="s">
        <v>63</v>
      </c>
      <c r="O1173" t="s">
        <v>2534</v>
      </c>
      <c r="P1173" t="s">
        <v>2535</v>
      </c>
      <c r="Q1173" t="s">
        <v>3744</v>
      </c>
      <c r="R1173" t="s">
        <v>248</v>
      </c>
      <c r="S1173">
        <v>55000000</v>
      </c>
      <c r="T1173">
        <v>18195753.84</v>
      </c>
      <c r="U1173" t="s">
        <v>68</v>
      </c>
      <c r="V1173" t="s">
        <v>3630</v>
      </c>
      <c r="W1173" s="9">
        <v>60602509</v>
      </c>
      <c r="X1173" t="s">
        <v>3745</v>
      </c>
      <c r="Y1173" s="1">
        <v>46066</v>
      </c>
      <c r="Z1173" s="1">
        <v>46126</v>
      </c>
      <c r="AA1173" s="2">
        <v>4574430.2</v>
      </c>
      <c r="AB1173" s="2">
        <v>3876635.76</v>
      </c>
      <c r="AC1173" s="2">
        <v>697794.44</v>
      </c>
      <c r="AD1173" s="2">
        <v>4574430.2</v>
      </c>
      <c r="AE1173" t="s">
        <v>3746</v>
      </c>
      <c r="AF1173" t="s">
        <v>72</v>
      </c>
      <c r="AG1173">
        <v>-48</v>
      </c>
      <c r="AH1173" t="s">
        <v>117</v>
      </c>
      <c r="AI1173" t="s">
        <v>74</v>
      </c>
      <c r="AJ1173" t="s">
        <v>75</v>
      </c>
      <c r="AK1173" t="s">
        <v>76</v>
      </c>
      <c r="AL1173" t="s">
        <v>118</v>
      </c>
      <c r="AM1173" t="s">
        <v>78</v>
      </c>
      <c r="AN1173" t="s">
        <v>795</v>
      </c>
      <c r="AO1173" t="s">
        <v>119</v>
      </c>
      <c r="AP1173" t="s">
        <v>46</v>
      </c>
      <c r="AQ1173" t="s">
        <v>81</v>
      </c>
      <c r="AR1173" t="str">
        <f t="shared" si="36"/>
        <v>60602509.STATAM</v>
      </c>
      <c r="AS1173">
        <f t="shared" si="37"/>
        <v>28997604.66</v>
      </c>
      <c r="AT1173" t="s">
        <v>82</v>
      </c>
    </row>
    <row r="1174" spans="1:46" x14ac:dyDescent="0.35">
      <c r="A1174" t="s">
        <v>52</v>
      </c>
      <c r="B1174" t="s">
        <v>53</v>
      </c>
      <c r="C1174" t="s">
        <v>54</v>
      </c>
      <c r="D1174" t="s">
        <v>55</v>
      </c>
      <c r="E1174" t="s">
        <v>56</v>
      </c>
      <c r="F1174" t="s">
        <v>3627</v>
      </c>
      <c r="G1174" t="s">
        <v>3747</v>
      </c>
      <c r="H1174" t="s">
        <v>59</v>
      </c>
      <c r="I1174" t="s">
        <v>3748</v>
      </c>
      <c r="J1174" t="s">
        <v>61</v>
      </c>
      <c r="K1174" t="s">
        <v>640</v>
      </c>
      <c r="L1174" t="s">
        <v>56</v>
      </c>
      <c r="M1174" t="s">
        <v>56</v>
      </c>
      <c r="N1174" t="s">
        <v>63</v>
      </c>
      <c r="O1174" t="s">
        <v>3749</v>
      </c>
      <c r="P1174" t="s">
        <v>3750</v>
      </c>
      <c r="Q1174" t="s">
        <v>3751</v>
      </c>
      <c r="R1174" t="s">
        <v>248</v>
      </c>
      <c r="S1174">
        <v>55000000</v>
      </c>
      <c r="T1174">
        <v>18195753.84</v>
      </c>
      <c r="U1174" t="s">
        <v>68</v>
      </c>
      <c r="V1174" t="s">
        <v>3630</v>
      </c>
      <c r="W1174" s="9">
        <v>60602509</v>
      </c>
      <c r="X1174" t="s">
        <v>3752</v>
      </c>
      <c r="Y1174" s="1">
        <v>46067</v>
      </c>
      <c r="Z1174" s="1">
        <v>46127</v>
      </c>
      <c r="AA1174" s="2">
        <v>6826303.1699999999</v>
      </c>
      <c r="AB1174" s="2">
        <v>5785002.6900000004</v>
      </c>
      <c r="AC1174" s="2">
        <v>1041300.48</v>
      </c>
      <c r="AD1174" s="2">
        <v>6826303.1699999999</v>
      </c>
      <c r="AE1174" t="s">
        <v>3753</v>
      </c>
      <c r="AF1174" t="s">
        <v>72</v>
      </c>
      <c r="AG1174">
        <v>-49</v>
      </c>
      <c r="AH1174" t="s">
        <v>117</v>
      </c>
      <c r="AI1174" t="s">
        <v>74</v>
      </c>
      <c r="AJ1174" t="s">
        <v>75</v>
      </c>
      <c r="AK1174" t="s">
        <v>76</v>
      </c>
      <c r="AL1174" t="s">
        <v>118</v>
      </c>
      <c r="AM1174" t="s">
        <v>78</v>
      </c>
      <c r="AN1174" t="s">
        <v>795</v>
      </c>
      <c r="AO1174" t="s">
        <v>119</v>
      </c>
      <c r="AP1174" t="s">
        <v>46</v>
      </c>
      <c r="AQ1174" t="s">
        <v>81</v>
      </c>
      <c r="AR1174" t="str">
        <f t="shared" si="36"/>
        <v>60602509.STATAM</v>
      </c>
      <c r="AS1174">
        <f t="shared" si="37"/>
        <v>28997604.66</v>
      </c>
      <c r="AT1174" t="s">
        <v>82</v>
      </c>
    </row>
    <row r="1175" spans="1:46" x14ac:dyDescent="0.35">
      <c r="A1175" t="s">
        <v>52</v>
      </c>
      <c r="B1175" t="s">
        <v>53</v>
      </c>
      <c r="C1175" t="s">
        <v>54</v>
      </c>
      <c r="D1175" t="s">
        <v>55</v>
      </c>
      <c r="E1175" t="s">
        <v>56</v>
      </c>
      <c r="F1175" t="s">
        <v>3627</v>
      </c>
      <c r="G1175" t="s">
        <v>3754</v>
      </c>
      <c r="H1175" t="s">
        <v>59</v>
      </c>
      <c r="I1175" t="s">
        <v>3755</v>
      </c>
      <c r="J1175" t="s">
        <v>61</v>
      </c>
      <c r="K1175" t="s">
        <v>640</v>
      </c>
      <c r="L1175" t="s">
        <v>56</v>
      </c>
      <c r="M1175" t="s">
        <v>56</v>
      </c>
      <c r="N1175" t="s">
        <v>63</v>
      </c>
      <c r="O1175" t="s">
        <v>3749</v>
      </c>
      <c r="P1175" t="s">
        <v>3750</v>
      </c>
      <c r="Q1175" t="s">
        <v>3756</v>
      </c>
      <c r="R1175" t="s">
        <v>248</v>
      </c>
      <c r="S1175">
        <v>55000000</v>
      </c>
      <c r="T1175">
        <v>18195753.84</v>
      </c>
      <c r="U1175" t="s">
        <v>68</v>
      </c>
      <c r="V1175" t="s">
        <v>3630</v>
      </c>
      <c r="W1175" s="9">
        <v>60602509</v>
      </c>
      <c r="X1175" t="s">
        <v>3757</v>
      </c>
      <c r="Y1175" s="1">
        <v>46067</v>
      </c>
      <c r="Z1175" s="1">
        <v>46127</v>
      </c>
      <c r="AA1175" s="2">
        <v>7578476.4900000002</v>
      </c>
      <c r="AB1175" s="2">
        <v>6422437.71</v>
      </c>
      <c r="AC1175" s="2">
        <v>1156038.78</v>
      </c>
      <c r="AD1175" s="2">
        <v>7578476.4900000002</v>
      </c>
      <c r="AE1175" t="s">
        <v>3758</v>
      </c>
      <c r="AF1175" t="s">
        <v>72</v>
      </c>
      <c r="AG1175">
        <v>-49</v>
      </c>
      <c r="AH1175" t="s">
        <v>117</v>
      </c>
      <c r="AI1175" t="s">
        <v>74</v>
      </c>
      <c r="AJ1175" t="s">
        <v>75</v>
      </c>
      <c r="AK1175" t="s">
        <v>76</v>
      </c>
      <c r="AL1175" t="s">
        <v>118</v>
      </c>
      <c r="AM1175" t="s">
        <v>78</v>
      </c>
      <c r="AN1175" t="s">
        <v>795</v>
      </c>
      <c r="AO1175" t="s">
        <v>119</v>
      </c>
      <c r="AP1175" t="s">
        <v>46</v>
      </c>
      <c r="AQ1175" t="s">
        <v>81</v>
      </c>
      <c r="AR1175" t="str">
        <f t="shared" si="36"/>
        <v>60602509.STATAM</v>
      </c>
      <c r="AS1175">
        <f t="shared" si="37"/>
        <v>28997604.66</v>
      </c>
      <c r="AT1175" t="s">
        <v>82</v>
      </c>
    </row>
    <row r="1176" spans="1:46" x14ac:dyDescent="0.35">
      <c r="A1176" t="s">
        <v>52</v>
      </c>
      <c r="B1176" t="s">
        <v>53</v>
      </c>
      <c r="C1176" t="s">
        <v>54</v>
      </c>
      <c r="D1176" t="s">
        <v>55</v>
      </c>
      <c r="E1176" t="s">
        <v>56</v>
      </c>
      <c r="F1176" t="s">
        <v>3627</v>
      </c>
      <c r="G1176" t="s">
        <v>3759</v>
      </c>
      <c r="H1176" t="s">
        <v>56</v>
      </c>
      <c r="I1176" t="s">
        <v>3760</v>
      </c>
      <c r="J1176" t="s">
        <v>56</v>
      </c>
      <c r="K1176" t="s">
        <v>640</v>
      </c>
      <c r="L1176" t="s">
        <v>3761</v>
      </c>
      <c r="M1176" t="s">
        <v>56</v>
      </c>
      <c r="N1176" t="s">
        <v>254</v>
      </c>
      <c r="O1176" t="s">
        <v>2621</v>
      </c>
      <c r="P1176" t="s">
        <v>2622</v>
      </c>
      <c r="Q1176" t="s">
        <v>3713</v>
      </c>
      <c r="R1176" t="s">
        <v>248</v>
      </c>
      <c r="S1176">
        <v>55000000</v>
      </c>
      <c r="T1176">
        <v>18195753.84</v>
      </c>
      <c r="U1176" t="s">
        <v>68</v>
      </c>
      <c r="V1176" t="s">
        <v>3630</v>
      </c>
      <c r="W1176" s="9">
        <v>60602509</v>
      </c>
      <c r="X1176" t="s">
        <v>3762</v>
      </c>
      <c r="Y1176" s="1">
        <v>46070</v>
      </c>
      <c r="Z1176" s="1">
        <v>46130</v>
      </c>
      <c r="AA1176" s="2">
        <v>311248.59999999998</v>
      </c>
      <c r="AB1176" s="2">
        <v>263770</v>
      </c>
      <c r="AC1176" s="2">
        <v>47478.6</v>
      </c>
      <c r="AD1176" s="2">
        <v>311248.59999999998</v>
      </c>
      <c r="AE1176" t="s">
        <v>3763</v>
      </c>
      <c r="AF1176" t="s">
        <v>72</v>
      </c>
      <c r="AG1176">
        <v>-52</v>
      </c>
      <c r="AH1176" t="s">
        <v>117</v>
      </c>
      <c r="AI1176" t="s">
        <v>74</v>
      </c>
      <c r="AJ1176" t="s">
        <v>75</v>
      </c>
      <c r="AK1176" t="s">
        <v>76</v>
      </c>
      <c r="AL1176" t="s">
        <v>118</v>
      </c>
      <c r="AM1176" t="s">
        <v>78</v>
      </c>
      <c r="AN1176" t="s">
        <v>92</v>
      </c>
      <c r="AO1176" t="s">
        <v>119</v>
      </c>
      <c r="AP1176" t="s">
        <v>46</v>
      </c>
      <c r="AQ1176" t="s">
        <v>81</v>
      </c>
      <c r="AR1176" t="str">
        <f t="shared" si="36"/>
        <v>60602509.STATAM</v>
      </c>
      <c r="AS1176">
        <f t="shared" si="37"/>
        <v>28997604.66</v>
      </c>
      <c r="AT1176" t="s">
        <v>82</v>
      </c>
    </row>
    <row r="1177" spans="1:46" x14ac:dyDescent="0.35">
      <c r="A1177" t="s">
        <v>52</v>
      </c>
      <c r="B1177" t="s">
        <v>53</v>
      </c>
      <c r="C1177" t="s">
        <v>54</v>
      </c>
      <c r="D1177" t="s">
        <v>55</v>
      </c>
      <c r="E1177" t="s">
        <v>56</v>
      </c>
      <c r="F1177" t="s">
        <v>3627</v>
      </c>
      <c r="G1177" t="s">
        <v>3764</v>
      </c>
      <c r="H1177" t="s">
        <v>56</v>
      </c>
      <c r="I1177" t="s">
        <v>3765</v>
      </c>
      <c r="J1177" t="s">
        <v>56</v>
      </c>
      <c r="K1177" t="s">
        <v>640</v>
      </c>
      <c r="L1177" t="s">
        <v>3766</v>
      </c>
      <c r="M1177" t="s">
        <v>56</v>
      </c>
      <c r="N1177" t="s">
        <v>244</v>
      </c>
      <c r="O1177" t="s">
        <v>2621</v>
      </c>
      <c r="P1177" t="s">
        <v>2622</v>
      </c>
      <c r="Q1177" t="s">
        <v>853</v>
      </c>
      <c r="R1177" t="s">
        <v>248</v>
      </c>
      <c r="S1177">
        <v>55000000</v>
      </c>
      <c r="T1177">
        <v>18195753.84</v>
      </c>
      <c r="U1177" t="s">
        <v>68</v>
      </c>
      <c r="V1177" t="s">
        <v>3630</v>
      </c>
      <c r="W1177" s="9">
        <v>60602509</v>
      </c>
      <c r="X1177" t="s">
        <v>3767</v>
      </c>
      <c r="Y1177" s="1">
        <v>46070</v>
      </c>
      <c r="Z1177" s="1">
        <v>46130</v>
      </c>
      <c r="AA1177" s="2">
        <v>328590.49</v>
      </c>
      <c r="AB1177" s="2">
        <v>278466.52</v>
      </c>
      <c r="AC1177" s="2">
        <v>50123.97</v>
      </c>
      <c r="AD1177" s="2">
        <v>328590.49</v>
      </c>
      <c r="AE1177" t="s">
        <v>3768</v>
      </c>
      <c r="AF1177" t="s">
        <v>72</v>
      </c>
      <c r="AG1177">
        <v>-52</v>
      </c>
      <c r="AH1177" t="s">
        <v>117</v>
      </c>
      <c r="AI1177" t="s">
        <v>74</v>
      </c>
      <c r="AJ1177" t="s">
        <v>75</v>
      </c>
      <c r="AK1177" t="s">
        <v>76</v>
      </c>
      <c r="AL1177" t="s">
        <v>118</v>
      </c>
      <c r="AM1177" t="s">
        <v>78</v>
      </c>
      <c r="AN1177" t="s">
        <v>92</v>
      </c>
      <c r="AO1177" t="s">
        <v>119</v>
      </c>
      <c r="AP1177" t="s">
        <v>46</v>
      </c>
      <c r="AQ1177" t="s">
        <v>81</v>
      </c>
      <c r="AR1177" t="str">
        <f t="shared" si="36"/>
        <v>60602509.STATAM</v>
      </c>
      <c r="AS1177">
        <f t="shared" si="37"/>
        <v>28997604.66</v>
      </c>
      <c r="AT1177" t="s">
        <v>82</v>
      </c>
    </row>
    <row r="1178" spans="1:46" x14ac:dyDescent="0.35">
      <c r="A1178" t="s">
        <v>52</v>
      </c>
      <c r="B1178" t="s">
        <v>53</v>
      </c>
      <c r="C1178" t="s">
        <v>54</v>
      </c>
      <c r="D1178" t="s">
        <v>55</v>
      </c>
      <c r="E1178" t="s">
        <v>56</v>
      </c>
      <c r="F1178" t="s">
        <v>3627</v>
      </c>
      <c r="G1178" t="s">
        <v>3764</v>
      </c>
      <c r="H1178" t="s">
        <v>56</v>
      </c>
      <c r="I1178" t="s">
        <v>3765</v>
      </c>
      <c r="J1178" t="s">
        <v>56</v>
      </c>
      <c r="K1178" t="s">
        <v>640</v>
      </c>
      <c r="L1178" t="s">
        <v>3766</v>
      </c>
      <c r="M1178" t="s">
        <v>56</v>
      </c>
      <c r="N1178" t="s">
        <v>680</v>
      </c>
      <c r="O1178" t="s">
        <v>2621</v>
      </c>
      <c r="P1178" t="s">
        <v>2622</v>
      </c>
      <c r="Q1178" t="s">
        <v>853</v>
      </c>
      <c r="R1178" t="s">
        <v>248</v>
      </c>
      <c r="S1178">
        <v>55000000</v>
      </c>
      <c r="T1178">
        <v>18195753.84</v>
      </c>
      <c r="U1178" t="s">
        <v>68</v>
      </c>
      <c r="V1178" t="s">
        <v>3630</v>
      </c>
      <c r="W1178" s="9">
        <v>60602509</v>
      </c>
      <c r="X1178" t="s">
        <v>3767</v>
      </c>
      <c r="Y1178" s="1">
        <v>46070</v>
      </c>
      <c r="Z1178" s="1">
        <v>46130</v>
      </c>
      <c r="AA1178" s="2">
        <v>281.64</v>
      </c>
      <c r="AB1178" s="2">
        <v>238.68</v>
      </c>
      <c r="AC1178" s="2">
        <v>42.96</v>
      </c>
      <c r="AD1178" s="2">
        <v>281.64</v>
      </c>
      <c r="AE1178" t="s">
        <v>3769</v>
      </c>
      <c r="AF1178" t="s">
        <v>72</v>
      </c>
      <c r="AG1178">
        <v>-52</v>
      </c>
      <c r="AH1178" t="s">
        <v>117</v>
      </c>
      <c r="AI1178" t="s">
        <v>74</v>
      </c>
      <c r="AJ1178" t="s">
        <v>127</v>
      </c>
      <c r="AK1178" t="s">
        <v>334</v>
      </c>
      <c r="AL1178" t="s">
        <v>118</v>
      </c>
      <c r="AM1178" t="s">
        <v>78</v>
      </c>
      <c r="AN1178" t="s">
        <v>92</v>
      </c>
      <c r="AO1178" t="s">
        <v>119</v>
      </c>
      <c r="AP1178" t="s">
        <v>46</v>
      </c>
      <c r="AQ1178" t="s">
        <v>335</v>
      </c>
      <c r="AR1178" t="str">
        <f t="shared" si="36"/>
        <v>60602509.SPMINAM</v>
      </c>
      <c r="AS1178">
        <f t="shared" si="37"/>
        <v>1287803.46</v>
      </c>
      <c r="AT1178" t="s">
        <v>82</v>
      </c>
    </row>
    <row r="1179" spans="1:46" x14ac:dyDescent="0.35">
      <c r="A1179" t="s">
        <v>52</v>
      </c>
      <c r="B1179" t="s">
        <v>53</v>
      </c>
      <c r="C1179" t="s">
        <v>54</v>
      </c>
      <c r="D1179" t="s">
        <v>55</v>
      </c>
      <c r="E1179" t="s">
        <v>56</v>
      </c>
      <c r="F1179" t="s">
        <v>3627</v>
      </c>
      <c r="G1179" t="s">
        <v>3764</v>
      </c>
      <c r="H1179" t="s">
        <v>56</v>
      </c>
      <c r="I1179" t="s">
        <v>3765</v>
      </c>
      <c r="J1179" t="s">
        <v>56</v>
      </c>
      <c r="K1179" t="s">
        <v>640</v>
      </c>
      <c r="L1179" t="s">
        <v>3766</v>
      </c>
      <c r="M1179" t="s">
        <v>56</v>
      </c>
      <c r="N1179" t="s">
        <v>252</v>
      </c>
      <c r="O1179" t="s">
        <v>2621</v>
      </c>
      <c r="P1179" t="s">
        <v>2622</v>
      </c>
      <c r="Q1179" t="s">
        <v>853</v>
      </c>
      <c r="R1179" t="s">
        <v>248</v>
      </c>
      <c r="S1179">
        <v>55000000</v>
      </c>
      <c r="T1179">
        <v>18195753.84</v>
      </c>
      <c r="U1179" t="s">
        <v>68</v>
      </c>
      <c r="V1179" t="s">
        <v>3630</v>
      </c>
      <c r="W1179" s="9">
        <v>60602509</v>
      </c>
      <c r="X1179" t="s">
        <v>3767</v>
      </c>
      <c r="Y1179" s="1">
        <v>46070</v>
      </c>
      <c r="Z1179" s="1">
        <v>46130</v>
      </c>
      <c r="AA1179" s="2">
        <v>55629.9</v>
      </c>
      <c r="AB1179" s="2">
        <v>47143.98</v>
      </c>
      <c r="AC1179" s="2">
        <v>8485.92</v>
      </c>
      <c r="AD1179" s="2">
        <v>55629.9</v>
      </c>
      <c r="AE1179" t="s">
        <v>3770</v>
      </c>
      <c r="AF1179" t="s">
        <v>72</v>
      </c>
      <c r="AG1179">
        <v>-52</v>
      </c>
      <c r="AH1179" t="s">
        <v>117</v>
      </c>
      <c r="AI1179" t="s">
        <v>74</v>
      </c>
      <c r="AJ1179" t="s">
        <v>75</v>
      </c>
      <c r="AK1179" t="s">
        <v>76</v>
      </c>
      <c r="AL1179" t="s">
        <v>118</v>
      </c>
      <c r="AM1179" t="s">
        <v>78</v>
      </c>
      <c r="AN1179" t="s">
        <v>92</v>
      </c>
      <c r="AO1179" t="s">
        <v>119</v>
      </c>
      <c r="AP1179" t="s">
        <v>46</v>
      </c>
      <c r="AQ1179" t="s">
        <v>81</v>
      </c>
      <c r="AR1179" t="str">
        <f t="shared" si="36"/>
        <v>60602509.STATAM</v>
      </c>
      <c r="AS1179">
        <f t="shared" si="37"/>
        <v>28997604.66</v>
      </c>
      <c r="AT1179" t="s">
        <v>82</v>
      </c>
    </row>
    <row r="1180" spans="1:46" x14ac:dyDescent="0.35">
      <c r="A1180" t="s">
        <v>52</v>
      </c>
      <c r="B1180" t="s">
        <v>53</v>
      </c>
      <c r="C1180" t="s">
        <v>54</v>
      </c>
      <c r="D1180" t="s">
        <v>55</v>
      </c>
      <c r="E1180" t="s">
        <v>56</v>
      </c>
      <c r="F1180" t="s">
        <v>3771</v>
      </c>
      <c r="G1180" t="s">
        <v>3772</v>
      </c>
      <c r="H1180" t="s">
        <v>153</v>
      </c>
      <c r="I1180" t="s">
        <v>3773</v>
      </c>
      <c r="J1180" t="s">
        <v>56</v>
      </c>
      <c r="K1180" t="s">
        <v>62</v>
      </c>
      <c r="L1180" t="s">
        <v>56</v>
      </c>
      <c r="M1180" t="s">
        <v>56</v>
      </c>
      <c r="N1180" t="s">
        <v>155</v>
      </c>
      <c r="O1180" t="s">
        <v>2571</v>
      </c>
      <c r="P1180" t="s">
        <v>2572</v>
      </c>
      <c r="Q1180" t="s">
        <v>3774</v>
      </c>
      <c r="R1180" t="s">
        <v>248</v>
      </c>
      <c r="S1180">
        <v>526014520</v>
      </c>
      <c r="T1180">
        <v>526008621.54000002</v>
      </c>
      <c r="U1180" t="s">
        <v>68</v>
      </c>
      <c r="V1180" t="s">
        <v>3630</v>
      </c>
      <c r="W1180" s="9">
        <v>60602984</v>
      </c>
      <c r="X1180" t="s">
        <v>3775</v>
      </c>
      <c r="Y1180" s="1">
        <v>46067</v>
      </c>
      <c r="Z1180" s="1">
        <v>46127</v>
      </c>
      <c r="AA1180" s="2">
        <v>567580</v>
      </c>
      <c r="AB1180" s="2">
        <v>481000</v>
      </c>
      <c r="AC1180" s="2">
        <v>86580</v>
      </c>
      <c r="AD1180" s="2">
        <v>5898.46</v>
      </c>
      <c r="AE1180" t="s">
        <v>3776</v>
      </c>
      <c r="AF1180" t="s">
        <v>72</v>
      </c>
      <c r="AG1180">
        <v>-49</v>
      </c>
      <c r="AH1180" t="s">
        <v>117</v>
      </c>
      <c r="AI1180" t="s">
        <v>74</v>
      </c>
      <c r="AJ1180" t="s">
        <v>75</v>
      </c>
      <c r="AK1180" t="s">
        <v>102</v>
      </c>
      <c r="AL1180" t="s">
        <v>118</v>
      </c>
      <c r="AM1180" t="s">
        <v>103</v>
      </c>
      <c r="AN1180" t="s">
        <v>2346</v>
      </c>
      <c r="AO1180" t="s">
        <v>119</v>
      </c>
      <c r="AP1180" t="e">
        <v>#N/A</v>
      </c>
      <c r="AQ1180" t="s">
        <v>105</v>
      </c>
      <c r="AR1180" t="str">
        <f t="shared" si="36"/>
        <v>60602984.STATEQ</v>
      </c>
      <c r="AS1180">
        <f t="shared" si="37"/>
        <v>5898.46</v>
      </c>
      <c r="AT1180" t="s">
        <v>82</v>
      </c>
    </row>
    <row r="1181" spans="1:46" x14ac:dyDescent="0.35">
      <c r="A1181" t="s">
        <v>52</v>
      </c>
      <c r="B1181" t="s">
        <v>53</v>
      </c>
      <c r="C1181" t="s">
        <v>54</v>
      </c>
      <c r="D1181" t="s">
        <v>55</v>
      </c>
      <c r="E1181" t="s">
        <v>56</v>
      </c>
      <c r="F1181" t="s">
        <v>3777</v>
      </c>
      <c r="G1181" t="s">
        <v>3778</v>
      </c>
      <c r="H1181" t="s">
        <v>56</v>
      </c>
      <c r="I1181" t="s">
        <v>3779</v>
      </c>
      <c r="J1181" t="s">
        <v>56</v>
      </c>
      <c r="K1181" t="s">
        <v>640</v>
      </c>
      <c r="L1181" t="s">
        <v>56</v>
      </c>
      <c r="M1181" t="s">
        <v>56</v>
      </c>
      <c r="N1181" t="s">
        <v>252</v>
      </c>
      <c r="O1181" t="s">
        <v>902</v>
      </c>
      <c r="P1181" t="s">
        <v>903</v>
      </c>
      <c r="Q1181" t="s">
        <v>114</v>
      </c>
      <c r="R1181" t="s">
        <v>248</v>
      </c>
      <c r="S1181">
        <v>51128501</v>
      </c>
      <c r="T1181">
        <v>23205446.289999999</v>
      </c>
      <c r="U1181" t="s">
        <v>68</v>
      </c>
      <c r="V1181" t="s">
        <v>3630</v>
      </c>
      <c r="W1181" s="9">
        <v>60604088</v>
      </c>
      <c r="X1181" t="s">
        <v>3780</v>
      </c>
      <c r="Y1181" s="1">
        <v>45974</v>
      </c>
      <c r="Z1181" s="1">
        <v>46034</v>
      </c>
      <c r="AA1181" s="2">
        <v>65153.279999999999</v>
      </c>
      <c r="AB1181" s="2">
        <v>55214.64</v>
      </c>
      <c r="AC1181" s="2">
        <v>9938.64</v>
      </c>
      <c r="AD1181" s="2">
        <v>37460.99</v>
      </c>
      <c r="AE1181" t="s">
        <v>3781</v>
      </c>
      <c r="AF1181" t="s">
        <v>72</v>
      </c>
      <c r="AG1181">
        <v>44</v>
      </c>
      <c r="AH1181" t="s">
        <v>236</v>
      </c>
      <c r="AI1181" t="s">
        <v>74</v>
      </c>
      <c r="AJ1181" t="s">
        <v>75</v>
      </c>
      <c r="AK1181" t="s">
        <v>76</v>
      </c>
      <c r="AL1181" t="s">
        <v>77</v>
      </c>
      <c r="AM1181" t="s">
        <v>78</v>
      </c>
      <c r="AN1181" t="s">
        <v>795</v>
      </c>
      <c r="AO1181" t="s">
        <v>80</v>
      </c>
      <c r="AP1181" t="s">
        <v>46</v>
      </c>
      <c r="AQ1181" t="s">
        <v>81</v>
      </c>
      <c r="AR1181" t="str">
        <f t="shared" si="36"/>
        <v>60604088.STATAM</v>
      </c>
      <c r="AS1181">
        <f t="shared" si="37"/>
        <v>17800327.649999999</v>
      </c>
      <c r="AT1181" t="s">
        <v>82</v>
      </c>
    </row>
    <row r="1182" spans="1:46" x14ac:dyDescent="0.35">
      <c r="A1182" t="s">
        <v>52</v>
      </c>
      <c r="B1182" t="s">
        <v>53</v>
      </c>
      <c r="C1182" t="s">
        <v>54</v>
      </c>
      <c r="D1182" t="s">
        <v>55</v>
      </c>
      <c r="E1182" t="s">
        <v>56</v>
      </c>
      <c r="F1182" t="s">
        <v>3777</v>
      </c>
      <c r="G1182" t="s">
        <v>3778</v>
      </c>
      <c r="H1182" t="s">
        <v>56</v>
      </c>
      <c r="I1182" t="s">
        <v>3779</v>
      </c>
      <c r="J1182" t="s">
        <v>56</v>
      </c>
      <c r="K1182" t="s">
        <v>640</v>
      </c>
      <c r="L1182" t="s">
        <v>56</v>
      </c>
      <c r="M1182" t="s">
        <v>56</v>
      </c>
      <c r="N1182" t="s">
        <v>655</v>
      </c>
      <c r="O1182" t="s">
        <v>902</v>
      </c>
      <c r="P1182" t="s">
        <v>903</v>
      </c>
      <c r="Q1182" t="s">
        <v>114</v>
      </c>
      <c r="R1182" t="s">
        <v>248</v>
      </c>
      <c r="S1182">
        <v>51128501</v>
      </c>
      <c r="T1182">
        <v>23205446.289999999</v>
      </c>
      <c r="U1182" t="s">
        <v>68</v>
      </c>
      <c r="V1182" t="s">
        <v>3630</v>
      </c>
      <c r="W1182" s="9">
        <v>60604088</v>
      </c>
      <c r="X1182" t="s">
        <v>3780</v>
      </c>
      <c r="Y1182" s="1">
        <v>45974</v>
      </c>
      <c r="Z1182" s="1">
        <v>46034</v>
      </c>
      <c r="AA1182" s="2">
        <v>10851.52</v>
      </c>
      <c r="AB1182" s="2">
        <v>9196.2000000000007</v>
      </c>
      <c r="AC1182" s="2">
        <v>1655.32</v>
      </c>
      <c r="AD1182" s="2">
        <v>6239.26</v>
      </c>
      <c r="AE1182" t="s">
        <v>3782</v>
      </c>
      <c r="AF1182" t="s">
        <v>72</v>
      </c>
      <c r="AG1182">
        <v>44</v>
      </c>
      <c r="AH1182" t="s">
        <v>236</v>
      </c>
      <c r="AI1182" t="s">
        <v>74</v>
      </c>
      <c r="AJ1182" t="s">
        <v>75</v>
      </c>
      <c r="AK1182" t="s">
        <v>76</v>
      </c>
      <c r="AL1182" t="s">
        <v>77</v>
      </c>
      <c r="AM1182" t="s">
        <v>78</v>
      </c>
      <c r="AN1182" t="s">
        <v>795</v>
      </c>
      <c r="AO1182" t="s">
        <v>80</v>
      </c>
      <c r="AP1182" t="s">
        <v>46</v>
      </c>
      <c r="AQ1182" t="s">
        <v>81</v>
      </c>
      <c r="AR1182" t="str">
        <f t="shared" si="36"/>
        <v>60604088.STATAM</v>
      </c>
      <c r="AS1182">
        <f t="shared" si="37"/>
        <v>17800327.649999999</v>
      </c>
      <c r="AT1182" t="s">
        <v>82</v>
      </c>
    </row>
    <row r="1183" spans="1:46" x14ac:dyDescent="0.35">
      <c r="A1183" t="s">
        <v>52</v>
      </c>
      <c r="B1183" t="s">
        <v>53</v>
      </c>
      <c r="C1183" t="s">
        <v>54</v>
      </c>
      <c r="D1183" t="s">
        <v>55</v>
      </c>
      <c r="E1183" t="s">
        <v>56</v>
      </c>
      <c r="F1183" t="s">
        <v>3777</v>
      </c>
      <c r="G1183" t="s">
        <v>3778</v>
      </c>
      <c r="H1183" t="s">
        <v>56</v>
      </c>
      <c r="I1183" t="s">
        <v>3779</v>
      </c>
      <c r="J1183" t="s">
        <v>56</v>
      </c>
      <c r="K1183" t="s">
        <v>640</v>
      </c>
      <c r="L1183" t="s">
        <v>56</v>
      </c>
      <c r="M1183" t="s">
        <v>56</v>
      </c>
      <c r="N1183" t="s">
        <v>682</v>
      </c>
      <c r="O1183" t="s">
        <v>902</v>
      </c>
      <c r="P1183" t="s">
        <v>903</v>
      </c>
      <c r="Q1183" t="s">
        <v>114</v>
      </c>
      <c r="R1183" t="s">
        <v>248</v>
      </c>
      <c r="S1183">
        <v>51128501</v>
      </c>
      <c r="T1183">
        <v>23205446.289999999</v>
      </c>
      <c r="U1183" t="s">
        <v>68</v>
      </c>
      <c r="V1183" t="s">
        <v>3630</v>
      </c>
      <c r="W1183" s="9">
        <v>60604088</v>
      </c>
      <c r="X1183" t="s">
        <v>3780</v>
      </c>
      <c r="Y1183" s="1">
        <v>45974</v>
      </c>
      <c r="Z1183" s="1">
        <v>46034</v>
      </c>
      <c r="AA1183" s="2">
        <v>113529.5</v>
      </c>
      <c r="AB1183" s="2">
        <v>96211.44</v>
      </c>
      <c r="AC1183" s="2">
        <v>17318.060000000001</v>
      </c>
      <c r="AD1183" s="2">
        <v>65275.73</v>
      </c>
      <c r="AE1183" t="s">
        <v>3783</v>
      </c>
      <c r="AF1183" t="s">
        <v>72</v>
      </c>
      <c r="AG1183">
        <v>44</v>
      </c>
      <c r="AH1183" t="s">
        <v>236</v>
      </c>
      <c r="AI1183" t="s">
        <v>74</v>
      </c>
      <c r="AJ1183" t="s">
        <v>127</v>
      </c>
      <c r="AK1183" t="s">
        <v>334</v>
      </c>
      <c r="AL1183" t="s">
        <v>77</v>
      </c>
      <c r="AM1183" t="s">
        <v>78</v>
      </c>
      <c r="AN1183" t="s">
        <v>795</v>
      </c>
      <c r="AO1183" t="s">
        <v>80</v>
      </c>
      <c r="AP1183" t="s">
        <v>46</v>
      </c>
      <c r="AQ1183" t="s">
        <v>335</v>
      </c>
      <c r="AR1183" t="str">
        <f t="shared" si="36"/>
        <v>60604088.SPMINAM</v>
      </c>
      <c r="AS1183">
        <f t="shared" si="37"/>
        <v>2756259.4099999997</v>
      </c>
      <c r="AT1183" t="s">
        <v>82</v>
      </c>
    </row>
    <row r="1184" spans="1:46" x14ac:dyDescent="0.35">
      <c r="A1184" t="s">
        <v>52</v>
      </c>
      <c r="B1184" t="s">
        <v>53</v>
      </c>
      <c r="C1184" t="s">
        <v>54</v>
      </c>
      <c r="D1184" t="s">
        <v>55</v>
      </c>
      <c r="E1184" t="s">
        <v>56</v>
      </c>
      <c r="F1184" t="s">
        <v>3777</v>
      </c>
      <c r="G1184" t="s">
        <v>3778</v>
      </c>
      <c r="H1184" t="s">
        <v>56</v>
      </c>
      <c r="I1184" t="s">
        <v>3779</v>
      </c>
      <c r="J1184" t="s">
        <v>56</v>
      </c>
      <c r="K1184" t="s">
        <v>640</v>
      </c>
      <c r="L1184" t="s">
        <v>56</v>
      </c>
      <c r="M1184" t="s">
        <v>56</v>
      </c>
      <c r="N1184" t="s">
        <v>1384</v>
      </c>
      <c r="O1184" t="s">
        <v>902</v>
      </c>
      <c r="P1184" t="s">
        <v>903</v>
      </c>
      <c r="Q1184" t="s">
        <v>114</v>
      </c>
      <c r="R1184" t="s">
        <v>248</v>
      </c>
      <c r="S1184">
        <v>51128501</v>
      </c>
      <c r="T1184">
        <v>23205446.289999999</v>
      </c>
      <c r="U1184" t="s">
        <v>68</v>
      </c>
      <c r="V1184" t="s">
        <v>3630</v>
      </c>
      <c r="W1184" s="9">
        <v>60604088</v>
      </c>
      <c r="X1184" t="s">
        <v>3780</v>
      </c>
      <c r="Y1184" s="1">
        <v>45974</v>
      </c>
      <c r="Z1184" s="1">
        <v>46034</v>
      </c>
      <c r="AA1184" s="2">
        <v>25445.38</v>
      </c>
      <c r="AB1184" s="2">
        <v>21563.88</v>
      </c>
      <c r="AC1184" s="2">
        <v>3881.5</v>
      </c>
      <c r="AD1184" s="2">
        <v>14630.26</v>
      </c>
      <c r="AE1184" t="s">
        <v>3784</v>
      </c>
      <c r="AF1184" t="s">
        <v>72</v>
      </c>
      <c r="AG1184">
        <v>44</v>
      </c>
      <c r="AH1184" t="s">
        <v>236</v>
      </c>
      <c r="AI1184" t="s">
        <v>74</v>
      </c>
      <c r="AJ1184" t="s">
        <v>75</v>
      </c>
      <c r="AK1184" t="s">
        <v>76</v>
      </c>
      <c r="AL1184" t="s">
        <v>77</v>
      </c>
      <c r="AM1184" t="s">
        <v>78</v>
      </c>
      <c r="AN1184" t="s">
        <v>795</v>
      </c>
      <c r="AO1184" t="s">
        <v>80</v>
      </c>
      <c r="AP1184" t="s">
        <v>46</v>
      </c>
      <c r="AQ1184" t="s">
        <v>81</v>
      </c>
      <c r="AR1184" t="str">
        <f t="shared" si="36"/>
        <v>60604088.STATAM</v>
      </c>
      <c r="AS1184">
        <f t="shared" si="37"/>
        <v>17800327.649999999</v>
      </c>
      <c r="AT1184" t="s">
        <v>82</v>
      </c>
    </row>
    <row r="1185" spans="1:46" x14ac:dyDescent="0.35">
      <c r="A1185" t="s">
        <v>52</v>
      </c>
      <c r="B1185" t="s">
        <v>53</v>
      </c>
      <c r="C1185" t="s">
        <v>54</v>
      </c>
      <c r="D1185" t="s">
        <v>55</v>
      </c>
      <c r="E1185" t="s">
        <v>56</v>
      </c>
      <c r="F1185" t="s">
        <v>3777</v>
      </c>
      <c r="G1185" t="s">
        <v>3778</v>
      </c>
      <c r="H1185" t="s">
        <v>56</v>
      </c>
      <c r="I1185" t="s">
        <v>3779</v>
      </c>
      <c r="J1185" t="s">
        <v>56</v>
      </c>
      <c r="K1185" t="s">
        <v>640</v>
      </c>
      <c r="L1185" t="s">
        <v>56</v>
      </c>
      <c r="M1185" t="s">
        <v>56</v>
      </c>
      <c r="N1185" t="s">
        <v>261</v>
      </c>
      <c r="O1185" t="s">
        <v>902</v>
      </c>
      <c r="P1185" t="s">
        <v>903</v>
      </c>
      <c r="Q1185" t="s">
        <v>114</v>
      </c>
      <c r="R1185" t="s">
        <v>248</v>
      </c>
      <c r="S1185">
        <v>51128501</v>
      </c>
      <c r="T1185">
        <v>23205446.289999999</v>
      </c>
      <c r="U1185" t="s">
        <v>68</v>
      </c>
      <c r="V1185" t="s">
        <v>3630</v>
      </c>
      <c r="W1185" s="9">
        <v>60604088</v>
      </c>
      <c r="X1185" t="s">
        <v>3780</v>
      </c>
      <c r="Y1185" s="1">
        <v>45974</v>
      </c>
      <c r="Z1185" s="1">
        <v>46034</v>
      </c>
      <c r="AA1185" s="2">
        <v>839832.8</v>
      </c>
      <c r="AB1185" s="2">
        <v>711722.7</v>
      </c>
      <c r="AC1185" s="2">
        <v>128110.1</v>
      </c>
      <c r="AD1185" s="2">
        <v>482876.21</v>
      </c>
      <c r="AE1185" t="s">
        <v>3785</v>
      </c>
      <c r="AF1185" t="s">
        <v>72</v>
      </c>
      <c r="AG1185">
        <v>44</v>
      </c>
      <c r="AH1185" t="s">
        <v>236</v>
      </c>
      <c r="AI1185" t="s">
        <v>74</v>
      </c>
      <c r="AJ1185" t="s">
        <v>75</v>
      </c>
      <c r="AK1185" t="s">
        <v>76</v>
      </c>
      <c r="AL1185" t="s">
        <v>77</v>
      </c>
      <c r="AM1185" t="s">
        <v>78</v>
      </c>
      <c r="AN1185" t="s">
        <v>795</v>
      </c>
      <c r="AO1185" t="s">
        <v>80</v>
      </c>
      <c r="AP1185" t="s">
        <v>46</v>
      </c>
      <c r="AQ1185" t="s">
        <v>81</v>
      </c>
      <c r="AR1185" t="str">
        <f t="shared" si="36"/>
        <v>60604088.STATAM</v>
      </c>
      <c r="AS1185">
        <f t="shared" si="37"/>
        <v>17800327.649999999</v>
      </c>
      <c r="AT1185" t="s">
        <v>82</v>
      </c>
    </row>
    <row r="1186" spans="1:46" x14ac:dyDescent="0.35">
      <c r="A1186" t="s">
        <v>52</v>
      </c>
      <c r="B1186" t="s">
        <v>53</v>
      </c>
      <c r="C1186" t="s">
        <v>54</v>
      </c>
      <c r="D1186" t="s">
        <v>55</v>
      </c>
      <c r="E1186" t="s">
        <v>56</v>
      </c>
      <c r="F1186" t="s">
        <v>3777</v>
      </c>
      <c r="G1186" t="s">
        <v>3778</v>
      </c>
      <c r="H1186" t="s">
        <v>56</v>
      </c>
      <c r="I1186" t="s">
        <v>3779</v>
      </c>
      <c r="J1186" t="s">
        <v>56</v>
      </c>
      <c r="K1186" t="s">
        <v>640</v>
      </c>
      <c r="L1186" t="s">
        <v>56</v>
      </c>
      <c r="M1186" t="s">
        <v>56</v>
      </c>
      <c r="N1186" t="s">
        <v>295</v>
      </c>
      <c r="O1186" t="s">
        <v>902</v>
      </c>
      <c r="P1186" t="s">
        <v>903</v>
      </c>
      <c r="Q1186" t="s">
        <v>114</v>
      </c>
      <c r="R1186" t="s">
        <v>248</v>
      </c>
      <c r="S1186">
        <v>51128501</v>
      </c>
      <c r="T1186">
        <v>23205446.289999999</v>
      </c>
      <c r="U1186" t="s">
        <v>68</v>
      </c>
      <c r="V1186" t="s">
        <v>3630</v>
      </c>
      <c r="W1186" s="9">
        <v>60604088</v>
      </c>
      <c r="X1186" t="s">
        <v>3780</v>
      </c>
      <c r="Y1186" s="1">
        <v>45974</v>
      </c>
      <c r="Z1186" s="1">
        <v>46034</v>
      </c>
      <c r="AA1186" s="2">
        <v>22472.49</v>
      </c>
      <c r="AB1186" s="2">
        <v>19044.48</v>
      </c>
      <c r="AC1186" s="2">
        <v>3428.01</v>
      </c>
      <c r="AD1186" s="2">
        <v>12920.94</v>
      </c>
      <c r="AE1186" t="s">
        <v>3786</v>
      </c>
      <c r="AF1186" t="s">
        <v>72</v>
      </c>
      <c r="AG1186">
        <v>44</v>
      </c>
      <c r="AH1186" t="s">
        <v>236</v>
      </c>
      <c r="AI1186" t="s">
        <v>74</v>
      </c>
      <c r="AJ1186" t="s">
        <v>75</v>
      </c>
      <c r="AK1186" t="s">
        <v>76</v>
      </c>
      <c r="AL1186" t="s">
        <v>77</v>
      </c>
      <c r="AM1186" t="s">
        <v>78</v>
      </c>
      <c r="AN1186" t="s">
        <v>795</v>
      </c>
      <c r="AO1186" t="s">
        <v>80</v>
      </c>
      <c r="AP1186" t="s">
        <v>46</v>
      </c>
      <c r="AQ1186" t="s">
        <v>81</v>
      </c>
      <c r="AR1186" t="str">
        <f t="shared" si="36"/>
        <v>60604088.STATAM</v>
      </c>
      <c r="AS1186">
        <f t="shared" si="37"/>
        <v>17800327.649999999</v>
      </c>
      <c r="AT1186" t="s">
        <v>82</v>
      </c>
    </row>
    <row r="1187" spans="1:46" x14ac:dyDescent="0.35">
      <c r="A1187" t="s">
        <v>52</v>
      </c>
      <c r="B1187" t="s">
        <v>53</v>
      </c>
      <c r="C1187" t="s">
        <v>54</v>
      </c>
      <c r="D1187" t="s">
        <v>55</v>
      </c>
      <c r="E1187" t="s">
        <v>56</v>
      </c>
      <c r="F1187" t="s">
        <v>3777</v>
      </c>
      <c r="G1187" t="s">
        <v>3787</v>
      </c>
      <c r="H1187" t="s">
        <v>56</v>
      </c>
      <c r="I1187" t="s">
        <v>3788</v>
      </c>
      <c r="J1187" t="s">
        <v>56</v>
      </c>
      <c r="K1187" t="s">
        <v>640</v>
      </c>
      <c r="L1187" t="s">
        <v>56</v>
      </c>
      <c r="M1187" t="s">
        <v>56</v>
      </c>
      <c r="N1187" t="s">
        <v>252</v>
      </c>
      <c r="O1187" t="s">
        <v>902</v>
      </c>
      <c r="P1187" t="s">
        <v>903</v>
      </c>
      <c r="Q1187" t="s">
        <v>114</v>
      </c>
      <c r="R1187" t="s">
        <v>248</v>
      </c>
      <c r="S1187">
        <v>51128501</v>
      </c>
      <c r="T1187">
        <v>23205446.289999999</v>
      </c>
      <c r="U1187" t="s">
        <v>68</v>
      </c>
      <c r="V1187" t="s">
        <v>3630</v>
      </c>
      <c r="W1187" s="9">
        <v>60604088</v>
      </c>
      <c r="X1187" t="s">
        <v>3789</v>
      </c>
      <c r="Y1187" s="1">
        <v>45974</v>
      </c>
      <c r="Z1187" s="1">
        <v>46034</v>
      </c>
      <c r="AA1187" s="2">
        <v>628.63</v>
      </c>
      <c r="AB1187" s="2">
        <v>532.74</v>
      </c>
      <c r="AC1187" s="2">
        <v>95.89</v>
      </c>
      <c r="AD1187" s="2">
        <v>628.63</v>
      </c>
      <c r="AE1187" t="s">
        <v>3790</v>
      </c>
      <c r="AF1187" t="s">
        <v>72</v>
      </c>
      <c r="AG1187">
        <v>44</v>
      </c>
      <c r="AH1187" t="s">
        <v>236</v>
      </c>
      <c r="AI1187" t="s">
        <v>74</v>
      </c>
      <c r="AJ1187" t="s">
        <v>75</v>
      </c>
      <c r="AK1187" t="s">
        <v>76</v>
      </c>
      <c r="AL1187" t="s">
        <v>77</v>
      </c>
      <c r="AM1187" t="s">
        <v>78</v>
      </c>
      <c r="AN1187" t="s">
        <v>795</v>
      </c>
      <c r="AO1187" t="s">
        <v>80</v>
      </c>
      <c r="AP1187" t="s">
        <v>46</v>
      </c>
      <c r="AQ1187" t="s">
        <v>81</v>
      </c>
      <c r="AR1187" t="str">
        <f t="shared" si="36"/>
        <v>60604088.STATAM</v>
      </c>
      <c r="AS1187">
        <f t="shared" si="37"/>
        <v>17800327.649999999</v>
      </c>
      <c r="AT1187" t="s">
        <v>82</v>
      </c>
    </row>
    <row r="1188" spans="1:46" x14ac:dyDescent="0.35">
      <c r="A1188" t="s">
        <v>52</v>
      </c>
      <c r="B1188" t="s">
        <v>53</v>
      </c>
      <c r="C1188" t="s">
        <v>54</v>
      </c>
      <c r="D1188" t="s">
        <v>55</v>
      </c>
      <c r="E1188" t="s">
        <v>56</v>
      </c>
      <c r="F1188" t="s">
        <v>3777</v>
      </c>
      <c r="G1188" t="s">
        <v>3787</v>
      </c>
      <c r="H1188" t="s">
        <v>56</v>
      </c>
      <c r="I1188" t="s">
        <v>3788</v>
      </c>
      <c r="J1188" t="s">
        <v>56</v>
      </c>
      <c r="K1188" t="s">
        <v>640</v>
      </c>
      <c r="L1188" t="s">
        <v>56</v>
      </c>
      <c r="M1188" t="s">
        <v>56</v>
      </c>
      <c r="N1188" t="s">
        <v>682</v>
      </c>
      <c r="O1188" t="s">
        <v>902</v>
      </c>
      <c r="P1188" t="s">
        <v>903</v>
      </c>
      <c r="Q1188" t="s">
        <v>114</v>
      </c>
      <c r="R1188" t="s">
        <v>248</v>
      </c>
      <c r="S1188">
        <v>51128501</v>
      </c>
      <c r="T1188">
        <v>23205446.289999999</v>
      </c>
      <c r="U1188" t="s">
        <v>68</v>
      </c>
      <c r="V1188" t="s">
        <v>3630</v>
      </c>
      <c r="W1188" s="9">
        <v>60604088</v>
      </c>
      <c r="X1188" t="s">
        <v>3789</v>
      </c>
      <c r="Y1188" s="1">
        <v>45974</v>
      </c>
      <c r="Z1188" s="1">
        <v>46034</v>
      </c>
      <c r="AA1188" s="2">
        <v>28.32</v>
      </c>
      <c r="AB1188" s="2">
        <v>24</v>
      </c>
      <c r="AC1188" s="2">
        <v>4.32</v>
      </c>
      <c r="AD1188" s="2">
        <v>28.32</v>
      </c>
      <c r="AE1188" t="s">
        <v>3791</v>
      </c>
      <c r="AF1188" t="s">
        <v>72</v>
      </c>
      <c r="AG1188">
        <v>44</v>
      </c>
      <c r="AH1188" t="s">
        <v>236</v>
      </c>
      <c r="AI1188" t="s">
        <v>74</v>
      </c>
      <c r="AJ1188" t="s">
        <v>127</v>
      </c>
      <c r="AK1188" t="s">
        <v>334</v>
      </c>
      <c r="AL1188" t="s">
        <v>77</v>
      </c>
      <c r="AM1188" t="s">
        <v>78</v>
      </c>
      <c r="AN1188" t="s">
        <v>795</v>
      </c>
      <c r="AO1188" t="s">
        <v>80</v>
      </c>
      <c r="AP1188" t="s">
        <v>46</v>
      </c>
      <c r="AQ1188" t="s">
        <v>335</v>
      </c>
      <c r="AR1188" t="str">
        <f t="shared" si="36"/>
        <v>60604088.SPMINAM</v>
      </c>
      <c r="AS1188">
        <f t="shared" si="37"/>
        <v>2756259.4099999997</v>
      </c>
      <c r="AT1188" t="s">
        <v>82</v>
      </c>
    </row>
    <row r="1189" spans="1:46" x14ac:dyDescent="0.35">
      <c r="A1189" t="s">
        <v>52</v>
      </c>
      <c r="B1189" t="s">
        <v>53</v>
      </c>
      <c r="C1189" t="s">
        <v>54</v>
      </c>
      <c r="D1189" t="s">
        <v>55</v>
      </c>
      <c r="E1189" t="s">
        <v>56</v>
      </c>
      <c r="F1189" t="s">
        <v>3777</v>
      </c>
      <c r="G1189" t="s">
        <v>3787</v>
      </c>
      <c r="H1189" t="s">
        <v>56</v>
      </c>
      <c r="I1189" t="s">
        <v>3788</v>
      </c>
      <c r="J1189" t="s">
        <v>56</v>
      </c>
      <c r="K1189" t="s">
        <v>640</v>
      </c>
      <c r="L1189" t="s">
        <v>56</v>
      </c>
      <c r="M1189" t="s">
        <v>56</v>
      </c>
      <c r="N1189" t="s">
        <v>261</v>
      </c>
      <c r="O1189" t="s">
        <v>902</v>
      </c>
      <c r="P1189" t="s">
        <v>903</v>
      </c>
      <c r="Q1189" t="s">
        <v>114</v>
      </c>
      <c r="R1189" t="s">
        <v>248</v>
      </c>
      <c r="S1189">
        <v>51128501</v>
      </c>
      <c r="T1189">
        <v>23205446.289999999</v>
      </c>
      <c r="U1189" t="s">
        <v>68</v>
      </c>
      <c r="V1189" t="s">
        <v>3630</v>
      </c>
      <c r="W1189" s="9">
        <v>60604088</v>
      </c>
      <c r="X1189" t="s">
        <v>3789</v>
      </c>
      <c r="Y1189" s="1">
        <v>45974</v>
      </c>
      <c r="Z1189" s="1">
        <v>46034</v>
      </c>
      <c r="AA1189" s="2">
        <v>27250.28</v>
      </c>
      <c r="AB1189" s="2">
        <v>23093.46</v>
      </c>
      <c r="AC1189" s="2">
        <v>4156.82</v>
      </c>
      <c r="AD1189" s="2">
        <v>27250.28</v>
      </c>
      <c r="AE1189" t="s">
        <v>3792</v>
      </c>
      <c r="AF1189" t="s">
        <v>72</v>
      </c>
      <c r="AG1189">
        <v>44</v>
      </c>
      <c r="AH1189" t="s">
        <v>236</v>
      </c>
      <c r="AI1189" t="s">
        <v>74</v>
      </c>
      <c r="AJ1189" t="s">
        <v>75</v>
      </c>
      <c r="AK1189" t="s">
        <v>76</v>
      </c>
      <c r="AL1189" t="s">
        <v>77</v>
      </c>
      <c r="AM1189" t="s">
        <v>78</v>
      </c>
      <c r="AN1189" t="s">
        <v>795</v>
      </c>
      <c r="AO1189" t="s">
        <v>80</v>
      </c>
      <c r="AP1189" t="s">
        <v>46</v>
      </c>
      <c r="AQ1189" t="s">
        <v>81</v>
      </c>
      <c r="AR1189" t="str">
        <f t="shared" si="36"/>
        <v>60604088.STATAM</v>
      </c>
      <c r="AS1189">
        <f t="shared" si="37"/>
        <v>17800327.649999999</v>
      </c>
      <c r="AT1189" t="s">
        <v>82</v>
      </c>
    </row>
    <row r="1190" spans="1:46" x14ac:dyDescent="0.35">
      <c r="A1190" t="s">
        <v>52</v>
      </c>
      <c r="B1190" t="s">
        <v>53</v>
      </c>
      <c r="C1190" t="s">
        <v>54</v>
      </c>
      <c r="D1190" t="s">
        <v>55</v>
      </c>
      <c r="E1190" t="s">
        <v>56</v>
      </c>
      <c r="F1190" t="s">
        <v>3777</v>
      </c>
      <c r="G1190" t="s">
        <v>3793</v>
      </c>
      <c r="H1190" t="s">
        <v>56</v>
      </c>
      <c r="I1190" t="s">
        <v>3794</v>
      </c>
      <c r="J1190" t="s">
        <v>56</v>
      </c>
      <c r="K1190" t="s">
        <v>640</v>
      </c>
      <c r="L1190" t="s">
        <v>56</v>
      </c>
      <c r="M1190" t="s">
        <v>56</v>
      </c>
      <c r="N1190" t="s">
        <v>682</v>
      </c>
      <c r="O1190" t="s">
        <v>902</v>
      </c>
      <c r="P1190" t="s">
        <v>903</v>
      </c>
      <c r="Q1190" t="s">
        <v>114</v>
      </c>
      <c r="R1190" t="s">
        <v>248</v>
      </c>
      <c r="S1190">
        <v>51128501</v>
      </c>
      <c r="T1190">
        <v>23205446.289999999</v>
      </c>
      <c r="U1190" t="s">
        <v>68</v>
      </c>
      <c r="V1190" t="s">
        <v>3630</v>
      </c>
      <c r="W1190" s="9">
        <v>60604088</v>
      </c>
      <c r="X1190" t="s">
        <v>3795</v>
      </c>
      <c r="Y1190" s="1">
        <v>45975</v>
      </c>
      <c r="Z1190" s="1">
        <v>46035</v>
      </c>
      <c r="AA1190" s="2">
        <v>431850.5</v>
      </c>
      <c r="AB1190" s="2">
        <v>365975</v>
      </c>
      <c r="AC1190" s="2">
        <v>65875.5</v>
      </c>
      <c r="AD1190" s="2">
        <v>431850.5</v>
      </c>
      <c r="AE1190" t="s">
        <v>3796</v>
      </c>
      <c r="AF1190" t="s">
        <v>72</v>
      </c>
      <c r="AG1190">
        <v>43</v>
      </c>
      <c r="AH1190" t="s">
        <v>236</v>
      </c>
      <c r="AI1190" t="s">
        <v>74</v>
      </c>
      <c r="AJ1190" t="s">
        <v>127</v>
      </c>
      <c r="AK1190" t="s">
        <v>334</v>
      </c>
      <c r="AL1190" t="s">
        <v>77</v>
      </c>
      <c r="AM1190" t="s">
        <v>78</v>
      </c>
      <c r="AN1190" t="s">
        <v>795</v>
      </c>
      <c r="AO1190" t="s">
        <v>80</v>
      </c>
      <c r="AP1190" t="s">
        <v>46</v>
      </c>
      <c r="AQ1190" t="s">
        <v>335</v>
      </c>
      <c r="AR1190" t="str">
        <f t="shared" si="36"/>
        <v>60604088.SPMINAM</v>
      </c>
      <c r="AS1190">
        <f t="shared" si="37"/>
        <v>2756259.4099999997</v>
      </c>
      <c r="AT1190" t="s">
        <v>82</v>
      </c>
    </row>
    <row r="1191" spans="1:46" x14ac:dyDescent="0.35">
      <c r="A1191" t="s">
        <v>52</v>
      </c>
      <c r="B1191" t="s">
        <v>53</v>
      </c>
      <c r="C1191" t="s">
        <v>54</v>
      </c>
      <c r="D1191" t="s">
        <v>55</v>
      </c>
      <c r="E1191" t="s">
        <v>56</v>
      </c>
      <c r="F1191" t="s">
        <v>3777</v>
      </c>
      <c r="G1191" t="s">
        <v>3793</v>
      </c>
      <c r="H1191" t="s">
        <v>56</v>
      </c>
      <c r="I1191" t="s">
        <v>3794</v>
      </c>
      <c r="J1191" t="s">
        <v>56</v>
      </c>
      <c r="K1191" t="s">
        <v>640</v>
      </c>
      <c r="L1191" t="s">
        <v>56</v>
      </c>
      <c r="M1191" t="s">
        <v>56</v>
      </c>
      <c r="N1191" t="s">
        <v>331</v>
      </c>
      <c r="O1191" t="s">
        <v>902</v>
      </c>
      <c r="P1191" t="s">
        <v>903</v>
      </c>
      <c r="Q1191" t="s">
        <v>114</v>
      </c>
      <c r="R1191" t="s">
        <v>248</v>
      </c>
      <c r="S1191">
        <v>51128501</v>
      </c>
      <c r="T1191">
        <v>23205446.289999999</v>
      </c>
      <c r="U1191" t="s">
        <v>68</v>
      </c>
      <c r="V1191" t="s">
        <v>3630</v>
      </c>
      <c r="W1191" s="9">
        <v>60604088</v>
      </c>
      <c r="X1191" t="s">
        <v>3795</v>
      </c>
      <c r="Y1191" s="1">
        <v>45975</v>
      </c>
      <c r="Z1191" s="1">
        <v>46035</v>
      </c>
      <c r="AA1191" s="2">
        <v>67707.22</v>
      </c>
      <c r="AB1191" s="2">
        <v>57379</v>
      </c>
      <c r="AC1191" s="2">
        <v>10328.219999999999</v>
      </c>
      <c r="AD1191" s="2">
        <v>67707.22</v>
      </c>
      <c r="AE1191" t="s">
        <v>3797</v>
      </c>
      <c r="AF1191" t="s">
        <v>72</v>
      </c>
      <c r="AG1191">
        <v>43</v>
      </c>
      <c r="AH1191" t="s">
        <v>236</v>
      </c>
      <c r="AI1191" t="s">
        <v>74</v>
      </c>
      <c r="AJ1191" t="s">
        <v>127</v>
      </c>
      <c r="AK1191" t="s">
        <v>334</v>
      </c>
      <c r="AL1191" t="s">
        <v>77</v>
      </c>
      <c r="AM1191" t="s">
        <v>78</v>
      </c>
      <c r="AN1191" t="s">
        <v>795</v>
      </c>
      <c r="AO1191" t="s">
        <v>80</v>
      </c>
      <c r="AP1191" t="s">
        <v>46</v>
      </c>
      <c r="AQ1191" t="s">
        <v>335</v>
      </c>
      <c r="AR1191" t="str">
        <f t="shared" si="36"/>
        <v>60604088.SPMINAM</v>
      </c>
      <c r="AS1191">
        <f t="shared" si="37"/>
        <v>2756259.4099999997</v>
      </c>
      <c r="AT1191" t="s">
        <v>82</v>
      </c>
    </row>
    <row r="1192" spans="1:46" x14ac:dyDescent="0.35">
      <c r="A1192" t="s">
        <v>52</v>
      </c>
      <c r="B1192" t="s">
        <v>53</v>
      </c>
      <c r="C1192" t="s">
        <v>54</v>
      </c>
      <c r="D1192" t="s">
        <v>55</v>
      </c>
      <c r="E1192" t="s">
        <v>56</v>
      </c>
      <c r="F1192" t="s">
        <v>3777</v>
      </c>
      <c r="G1192" t="s">
        <v>3793</v>
      </c>
      <c r="H1192" t="s">
        <v>56</v>
      </c>
      <c r="I1192" t="s">
        <v>3794</v>
      </c>
      <c r="J1192" t="s">
        <v>56</v>
      </c>
      <c r="K1192" t="s">
        <v>640</v>
      </c>
      <c r="L1192" t="s">
        <v>56</v>
      </c>
      <c r="M1192" t="s">
        <v>56</v>
      </c>
      <c r="N1192" t="s">
        <v>1727</v>
      </c>
      <c r="O1192" t="s">
        <v>902</v>
      </c>
      <c r="P1192" t="s">
        <v>903</v>
      </c>
      <c r="Q1192" t="s">
        <v>114</v>
      </c>
      <c r="R1192" t="s">
        <v>248</v>
      </c>
      <c r="S1192">
        <v>51128501</v>
      </c>
      <c r="T1192">
        <v>23205446.289999999</v>
      </c>
      <c r="U1192" t="s">
        <v>68</v>
      </c>
      <c r="V1192" t="s">
        <v>3630</v>
      </c>
      <c r="W1192" s="9">
        <v>60604088</v>
      </c>
      <c r="X1192" t="s">
        <v>3795</v>
      </c>
      <c r="Y1192" s="1">
        <v>45975</v>
      </c>
      <c r="Z1192" s="1">
        <v>46035</v>
      </c>
      <c r="AA1192" s="2">
        <v>7267.62</v>
      </c>
      <c r="AB1192" s="2">
        <v>6159</v>
      </c>
      <c r="AC1192" s="2">
        <v>1108.6199999999999</v>
      </c>
      <c r="AD1192" s="2">
        <v>7267.62</v>
      </c>
      <c r="AE1192" t="s">
        <v>3798</v>
      </c>
      <c r="AF1192" t="s">
        <v>72</v>
      </c>
      <c r="AG1192">
        <v>43</v>
      </c>
      <c r="AH1192" t="s">
        <v>236</v>
      </c>
      <c r="AI1192" t="s">
        <v>74</v>
      </c>
      <c r="AJ1192" t="s">
        <v>127</v>
      </c>
      <c r="AK1192" t="s">
        <v>334</v>
      </c>
      <c r="AL1192" t="s">
        <v>77</v>
      </c>
      <c r="AM1192" t="s">
        <v>78</v>
      </c>
      <c r="AN1192" t="s">
        <v>795</v>
      </c>
      <c r="AO1192" t="s">
        <v>80</v>
      </c>
      <c r="AP1192" t="s">
        <v>46</v>
      </c>
      <c r="AQ1192" t="s">
        <v>335</v>
      </c>
      <c r="AR1192" t="str">
        <f t="shared" si="36"/>
        <v>60604088.SPMINAM</v>
      </c>
      <c r="AS1192">
        <f t="shared" si="37"/>
        <v>2756259.4099999997</v>
      </c>
      <c r="AT1192" t="s">
        <v>82</v>
      </c>
    </row>
    <row r="1193" spans="1:46" x14ac:dyDescent="0.35">
      <c r="A1193" t="s">
        <v>52</v>
      </c>
      <c r="B1193" t="s">
        <v>53</v>
      </c>
      <c r="C1193" t="s">
        <v>54</v>
      </c>
      <c r="D1193" t="s">
        <v>55</v>
      </c>
      <c r="E1193" t="s">
        <v>56</v>
      </c>
      <c r="F1193" t="s">
        <v>3777</v>
      </c>
      <c r="G1193" t="s">
        <v>3793</v>
      </c>
      <c r="H1193" t="s">
        <v>56</v>
      </c>
      <c r="I1193" t="s">
        <v>3794</v>
      </c>
      <c r="J1193" t="s">
        <v>56</v>
      </c>
      <c r="K1193" t="s">
        <v>640</v>
      </c>
      <c r="L1193" t="s">
        <v>56</v>
      </c>
      <c r="M1193" t="s">
        <v>56</v>
      </c>
      <c r="N1193" t="s">
        <v>1384</v>
      </c>
      <c r="O1193" t="s">
        <v>902</v>
      </c>
      <c r="P1193" t="s">
        <v>903</v>
      </c>
      <c r="Q1193" t="s">
        <v>114</v>
      </c>
      <c r="R1193" t="s">
        <v>248</v>
      </c>
      <c r="S1193">
        <v>51128501</v>
      </c>
      <c r="T1193">
        <v>23205446.289999999</v>
      </c>
      <c r="U1193" t="s">
        <v>68</v>
      </c>
      <c r="V1193" t="s">
        <v>3630</v>
      </c>
      <c r="W1193" s="9">
        <v>60604088</v>
      </c>
      <c r="X1193" t="s">
        <v>3795</v>
      </c>
      <c r="Y1193" s="1">
        <v>45975</v>
      </c>
      <c r="Z1193" s="1">
        <v>46035</v>
      </c>
      <c r="AA1193" s="2">
        <v>77790.320000000007</v>
      </c>
      <c r="AB1193" s="2">
        <v>65924</v>
      </c>
      <c r="AC1193" s="2">
        <v>11866.32</v>
      </c>
      <c r="AD1193" s="2">
        <v>77790.320000000007</v>
      </c>
      <c r="AE1193" t="s">
        <v>3799</v>
      </c>
      <c r="AF1193" t="s">
        <v>72</v>
      </c>
      <c r="AG1193">
        <v>43</v>
      </c>
      <c r="AH1193" t="s">
        <v>236</v>
      </c>
      <c r="AI1193" t="s">
        <v>74</v>
      </c>
      <c r="AJ1193" t="s">
        <v>75</v>
      </c>
      <c r="AK1193" t="s">
        <v>76</v>
      </c>
      <c r="AL1193" t="s">
        <v>77</v>
      </c>
      <c r="AM1193" t="s">
        <v>78</v>
      </c>
      <c r="AN1193" t="s">
        <v>795</v>
      </c>
      <c r="AO1193" t="s">
        <v>80</v>
      </c>
      <c r="AP1193" t="s">
        <v>46</v>
      </c>
      <c r="AQ1193" t="s">
        <v>81</v>
      </c>
      <c r="AR1193" t="str">
        <f t="shared" si="36"/>
        <v>60604088.STATAM</v>
      </c>
      <c r="AS1193">
        <f t="shared" si="37"/>
        <v>17800327.649999999</v>
      </c>
      <c r="AT1193" t="s">
        <v>82</v>
      </c>
    </row>
    <row r="1194" spans="1:46" x14ac:dyDescent="0.35">
      <c r="A1194" t="s">
        <v>52</v>
      </c>
      <c r="B1194" t="s">
        <v>53</v>
      </c>
      <c r="C1194" t="s">
        <v>54</v>
      </c>
      <c r="D1194" t="s">
        <v>55</v>
      </c>
      <c r="E1194" t="s">
        <v>56</v>
      </c>
      <c r="F1194" t="s">
        <v>3777</v>
      </c>
      <c r="G1194" t="s">
        <v>3800</v>
      </c>
      <c r="H1194" t="s">
        <v>56</v>
      </c>
      <c r="I1194" t="s">
        <v>3801</v>
      </c>
      <c r="J1194" t="s">
        <v>56</v>
      </c>
      <c r="K1194" t="s">
        <v>640</v>
      </c>
      <c r="L1194" t="s">
        <v>56</v>
      </c>
      <c r="M1194" t="s">
        <v>56</v>
      </c>
      <c r="N1194" t="s">
        <v>331</v>
      </c>
      <c r="O1194" t="s">
        <v>902</v>
      </c>
      <c r="P1194" t="s">
        <v>903</v>
      </c>
      <c r="Q1194" t="s">
        <v>114</v>
      </c>
      <c r="R1194" t="s">
        <v>248</v>
      </c>
      <c r="S1194">
        <v>51128501</v>
      </c>
      <c r="T1194">
        <v>23205446.289999999</v>
      </c>
      <c r="U1194" t="s">
        <v>68</v>
      </c>
      <c r="V1194" t="s">
        <v>3630</v>
      </c>
      <c r="W1194" s="9">
        <v>60604088</v>
      </c>
      <c r="X1194" t="s">
        <v>3802</v>
      </c>
      <c r="Y1194" s="1">
        <v>45975</v>
      </c>
      <c r="Z1194" s="1">
        <v>46035</v>
      </c>
      <c r="AA1194" s="2">
        <v>11050.7</v>
      </c>
      <c r="AB1194" s="2">
        <v>9365</v>
      </c>
      <c r="AC1194" s="2">
        <v>1685.7</v>
      </c>
      <c r="AD1194" s="2">
        <v>11050.7</v>
      </c>
      <c r="AE1194" t="s">
        <v>3803</v>
      </c>
      <c r="AF1194" t="s">
        <v>72</v>
      </c>
      <c r="AG1194">
        <v>43</v>
      </c>
      <c r="AH1194" t="s">
        <v>236</v>
      </c>
      <c r="AI1194" t="s">
        <v>74</v>
      </c>
      <c r="AJ1194" t="s">
        <v>127</v>
      </c>
      <c r="AK1194" t="s">
        <v>334</v>
      </c>
      <c r="AL1194" t="s">
        <v>77</v>
      </c>
      <c r="AM1194" t="s">
        <v>78</v>
      </c>
      <c r="AN1194" t="s">
        <v>795</v>
      </c>
      <c r="AO1194" t="s">
        <v>80</v>
      </c>
      <c r="AP1194" t="s">
        <v>46</v>
      </c>
      <c r="AQ1194" t="s">
        <v>335</v>
      </c>
      <c r="AR1194" t="str">
        <f t="shared" si="36"/>
        <v>60604088.SPMINAM</v>
      </c>
      <c r="AS1194">
        <f t="shared" si="37"/>
        <v>2756259.4099999997</v>
      </c>
      <c r="AT1194" t="s">
        <v>82</v>
      </c>
    </row>
    <row r="1195" spans="1:46" x14ac:dyDescent="0.35">
      <c r="A1195" t="s">
        <v>52</v>
      </c>
      <c r="B1195" t="s">
        <v>53</v>
      </c>
      <c r="C1195" t="s">
        <v>54</v>
      </c>
      <c r="D1195" t="s">
        <v>55</v>
      </c>
      <c r="E1195" t="s">
        <v>56</v>
      </c>
      <c r="F1195" t="s">
        <v>3777</v>
      </c>
      <c r="G1195" t="s">
        <v>3800</v>
      </c>
      <c r="H1195" t="s">
        <v>56</v>
      </c>
      <c r="I1195" t="s">
        <v>3801</v>
      </c>
      <c r="J1195" t="s">
        <v>56</v>
      </c>
      <c r="K1195" t="s">
        <v>640</v>
      </c>
      <c r="L1195" t="s">
        <v>56</v>
      </c>
      <c r="M1195" t="s">
        <v>56</v>
      </c>
      <c r="N1195" t="s">
        <v>1116</v>
      </c>
      <c r="O1195" t="s">
        <v>902</v>
      </c>
      <c r="P1195" t="s">
        <v>903</v>
      </c>
      <c r="Q1195" t="s">
        <v>114</v>
      </c>
      <c r="R1195" t="s">
        <v>248</v>
      </c>
      <c r="S1195">
        <v>51128501</v>
      </c>
      <c r="T1195">
        <v>23205446.289999999</v>
      </c>
      <c r="U1195" t="s">
        <v>68</v>
      </c>
      <c r="V1195" t="s">
        <v>3630</v>
      </c>
      <c r="W1195" s="9">
        <v>60604088</v>
      </c>
      <c r="X1195" t="s">
        <v>3802</v>
      </c>
      <c r="Y1195" s="1">
        <v>45975</v>
      </c>
      <c r="Z1195" s="1">
        <v>46035</v>
      </c>
      <c r="AA1195" s="2">
        <v>199054.2</v>
      </c>
      <c r="AB1195" s="2">
        <v>168690</v>
      </c>
      <c r="AC1195" s="2">
        <v>30364.2</v>
      </c>
      <c r="AD1195" s="2">
        <v>199054.2</v>
      </c>
      <c r="AE1195" t="s">
        <v>3804</v>
      </c>
      <c r="AF1195" t="s">
        <v>72</v>
      </c>
      <c r="AG1195">
        <v>43</v>
      </c>
      <c r="AH1195" t="s">
        <v>236</v>
      </c>
      <c r="AI1195" t="s">
        <v>74</v>
      </c>
      <c r="AJ1195" t="s">
        <v>127</v>
      </c>
      <c r="AK1195" t="s">
        <v>334</v>
      </c>
      <c r="AL1195" t="s">
        <v>77</v>
      </c>
      <c r="AM1195" t="s">
        <v>78</v>
      </c>
      <c r="AN1195" t="s">
        <v>795</v>
      </c>
      <c r="AO1195" t="s">
        <v>80</v>
      </c>
      <c r="AP1195" t="s">
        <v>46</v>
      </c>
      <c r="AQ1195" t="s">
        <v>335</v>
      </c>
      <c r="AR1195" t="str">
        <f t="shared" si="36"/>
        <v>60604088.SPMINAM</v>
      </c>
      <c r="AS1195">
        <f t="shared" si="37"/>
        <v>2756259.4099999997</v>
      </c>
      <c r="AT1195" t="s">
        <v>82</v>
      </c>
    </row>
    <row r="1196" spans="1:46" x14ac:dyDescent="0.35">
      <c r="A1196" t="s">
        <v>52</v>
      </c>
      <c r="B1196" t="s">
        <v>53</v>
      </c>
      <c r="C1196" t="s">
        <v>54</v>
      </c>
      <c r="D1196" t="s">
        <v>55</v>
      </c>
      <c r="E1196" t="s">
        <v>56</v>
      </c>
      <c r="F1196" t="s">
        <v>3777</v>
      </c>
      <c r="G1196" t="s">
        <v>3800</v>
      </c>
      <c r="H1196" t="s">
        <v>56</v>
      </c>
      <c r="I1196" t="s">
        <v>3801</v>
      </c>
      <c r="J1196" t="s">
        <v>56</v>
      </c>
      <c r="K1196" t="s">
        <v>640</v>
      </c>
      <c r="L1196" t="s">
        <v>56</v>
      </c>
      <c r="M1196" t="s">
        <v>56</v>
      </c>
      <c r="N1196" t="s">
        <v>682</v>
      </c>
      <c r="O1196" t="s">
        <v>902</v>
      </c>
      <c r="P1196" t="s">
        <v>903</v>
      </c>
      <c r="Q1196" t="s">
        <v>114</v>
      </c>
      <c r="R1196" t="s">
        <v>248</v>
      </c>
      <c r="S1196">
        <v>51128501</v>
      </c>
      <c r="T1196">
        <v>23205446.289999999</v>
      </c>
      <c r="U1196" t="s">
        <v>68</v>
      </c>
      <c r="V1196" t="s">
        <v>3630</v>
      </c>
      <c r="W1196" s="9">
        <v>60604088</v>
      </c>
      <c r="X1196" t="s">
        <v>3802</v>
      </c>
      <c r="Y1196" s="1">
        <v>45975</v>
      </c>
      <c r="Z1196" s="1">
        <v>46035</v>
      </c>
      <c r="AA1196" s="2">
        <v>6677.62</v>
      </c>
      <c r="AB1196" s="2">
        <v>5659</v>
      </c>
      <c r="AC1196" s="2">
        <v>1018.62</v>
      </c>
      <c r="AD1196" s="2">
        <v>6677.62</v>
      </c>
      <c r="AE1196" t="s">
        <v>3805</v>
      </c>
      <c r="AF1196" t="s">
        <v>72</v>
      </c>
      <c r="AG1196">
        <v>43</v>
      </c>
      <c r="AH1196" t="s">
        <v>236</v>
      </c>
      <c r="AI1196" t="s">
        <v>74</v>
      </c>
      <c r="AJ1196" t="s">
        <v>127</v>
      </c>
      <c r="AK1196" t="s">
        <v>334</v>
      </c>
      <c r="AL1196" t="s">
        <v>77</v>
      </c>
      <c r="AM1196" t="s">
        <v>78</v>
      </c>
      <c r="AN1196" t="s">
        <v>795</v>
      </c>
      <c r="AO1196" t="s">
        <v>80</v>
      </c>
      <c r="AP1196" t="s">
        <v>46</v>
      </c>
      <c r="AQ1196" t="s">
        <v>335</v>
      </c>
      <c r="AR1196" t="str">
        <f t="shared" si="36"/>
        <v>60604088.SPMINAM</v>
      </c>
      <c r="AS1196">
        <f t="shared" si="37"/>
        <v>2756259.4099999997</v>
      </c>
      <c r="AT1196" t="s">
        <v>82</v>
      </c>
    </row>
    <row r="1197" spans="1:46" x14ac:dyDescent="0.35">
      <c r="A1197" t="s">
        <v>52</v>
      </c>
      <c r="B1197" t="s">
        <v>53</v>
      </c>
      <c r="C1197" t="s">
        <v>54</v>
      </c>
      <c r="D1197" t="s">
        <v>55</v>
      </c>
      <c r="E1197" t="s">
        <v>56</v>
      </c>
      <c r="F1197" t="s">
        <v>3777</v>
      </c>
      <c r="G1197" t="s">
        <v>3806</v>
      </c>
      <c r="H1197" t="s">
        <v>59</v>
      </c>
      <c r="I1197" t="s">
        <v>3807</v>
      </c>
      <c r="J1197" t="s">
        <v>56</v>
      </c>
      <c r="K1197" t="s">
        <v>640</v>
      </c>
      <c r="L1197" t="s">
        <v>56</v>
      </c>
      <c r="M1197" t="s">
        <v>56</v>
      </c>
      <c r="N1197" t="s">
        <v>63</v>
      </c>
      <c r="O1197" t="s">
        <v>902</v>
      </c>
      <c r="P1197" t="s">
        <v>903</v>
      </c>
      <c r="Q1197" t="s">
        <v>114</v>
      </c>
      <c r="R1197" t="s">
        <v>248</v>
      </c>
      <c r="S1197">
        <v>51128501</v>
      </c>
      <c r="T1197">
        <v>23205446.289999999</v>
      </c>
      <c r="U1197" t="s">
        <v>68</v>
      </c>
      <c r="V1197" t="s">
        <v>3630</v>
      </c>
      <c r="W1197" s="9">
        <v>60604088</v>
      </c>
      <c r="X1197" t="s">
        <v>3808</v>
      </c>
      <c r="Y1197" s="1">
        <v>45982</v>
      </c>
      <c r="Z1197" s="1">
        <v>46042</v>
      </c>
      <c r="AA1197" s="2">
        <v>821871.18</v>
      </c>
      <c r="AB1197" s="2">
        <v>696501</v>
      </c>
      <c r="AC1197" s="2">
        <v>125370.18</v>
      </c>
      <c r="AD1197" s="2">
        <v>821871.18</v>
      </c>
      <c r="AE1197" t="s">
        <v>3809</v>
      </c>
      <c r="AF1197" t="s">
        <v>72</v>
      </c>
      <c r="AG1197">
        <v>36</v>
      </c>
      <c r="AH1197" t="s">
        <v>236</v>
      </c>
      <c r="AI1197" t="s">
        <v>74</v>
      </c>
      <c r="AJ1197" t="s">
        <v>75</v>
      </c>
      <c r="AK1197" t="s">
        <v>76</v>
      </c>
      <c r="AL1197" t="s">
        <v>77</v>
      </c>
      <c r="AM1197" t="s">
        <v>78</v>
      </c>
      <c r="AN1197" t="s">
        <v>795</v>
      </c>
      <c r="AO1197" t="s">
        <v>80</v>
      </c>
      <c r="AP1197" t="s">
        <v>46</v>
      </c>
      <c r="AQ1197" t="s">
        <v>81</v>
      </c>
      <c r="AR1197" t="str">
        <f t="shared" si="36"/>
        <v>60604088.STATAM</v>
      </c>
      <c r="AS1197">
        <f t="shared" si="37"/>
        <v>17800327.649999999</v>
      </c>
      <c r="AT1197" t="s">
        <v>82</v>
      </c>
    </row>
    <row r="1198" spans="1:46" x14ac:dyDescent="0.35">
      <c r="A1198" t="s">
        <v>52</v>
      </c>
      <c r="B1198" t="s">
        <v>53</v>
      </c>
      <c r="C1198" t="s">
        <v>54</v>
      </c>
      <c r="D1198" t="s">
        <v>55</v>
      </c>
      <c r="E1198" t="s">
        <v>56</v>
      </c>
      <c r="F1198" t="s">
        <v>3777</v>
      </c>
      <c r="G1198" t="s">
        <v>3810</v>
      </c>
      <c r="H1198" t="s">
        <v>56</v>
      </c>
      <c r="I1198" t="s">
        <v>3811</v>
      </c>
      <c r="J1198" t="s">
        <v>56</v>
      </c>
      <c r="K1198" t="s">
        <v>640</v>
      </c>
      <c r="L1198" t="s">
        <v>56</v>
      </c>
      <c r="M1198" t="s">
        <v>56</v>
      </c>
      <c r="N1198" t="s">
        <v>261</v>
      </c>
      <c r="O1198" t="s">
        <v>902</v>
      </c>
      <c r="P1198" t="s">
        <v>903</v>
      </c>
      <c r="Q1198" t="s">
        <v>114</v>
      </c>
      <c r="R1198" t="s">
        <v>248</v>
      </c>
      <c r="S1198">
        <v>51128501</v>
      </c>
      <c r="T1198">
        <v>23205446.289999999</v>
      </c>
      <c r="U1198" t="s">
        <v>68</v>
      </c>
      <c r="V1198" t="s">
        <v>3630</v>
      </c>
      <c r="W1198" s="9">
        <v>60604088</v>
      </c>
      <c r="X1198" t="s">
        <v>3812</v>
      </c>
      <c r="Y1198" s="1">
        <v>45987</v>
      </c>
      <c r="Z1198" s="1">
        <v>46047</v>
      </c>
      <c r="AA1198" s="2">
        <v>177051.83</v>
      </c>
      <c r="AB1198" s="2">
        <v>150043.92000000001</v>
      </c>
      <c r="AC1198" s="2">
        <v>27007.91</v>
      </c>
      <c r="AD1198" s="2">
        <v>177051.83</v>
      </c>
      <c r="AE1198" t="s">
        <v>3813</v>
      </c>
      <c r="AF1198" t="s">
        <v>72</v>
      </c>
      <c r="AG1198">
        <v>31</v>
      </c>
      <c r="AH1198" t="s">
        <v>236</v>
      </c>
      <c r="AI1198" t="s">
        <v>74</v>
      </c>
      <c r="AJ1198" t="s">
        <v>75</v>
      </c>
      <c r="AK1198" t="s">
        <v>76</v>
      </c>
      <c r="AL1198" t="s">
        <v>77</v>
      </c>
      <c r="AM1198" t="s">
        <v>78</v>
      </c>
      <c r="AN1198" t="s">
        <v>795</v>
      </c>
      <c r="AO1198" t="s">
        <v>80</v>
      </c>
      <c r="AP1198" t="s">
        <v>46</v>
      </c>
      <c r="AQ1198" t="s">
        <v>81</v>
      </c>
      <c r="AR1198" t="str">
        <f t="shared" si="36"/>
        <v>60604088.STATAM</v>
      </c>
      <c r="AS1198">
        <f t="shared" si="37"/>
        <v>17800327.649999999</v>
      </c>
      <c r="AT1198" t="s">
        <v>82</v>
      </c>
    </row>
    <row r="1199" spans="1:46" x14ac:dyDescent="0.35">
      <c r="A1199" t="s">
        <v>52</v>
      </c>
      <c r="B1199" t="s">
        <v>53</v>
      </c>
      <c r="C1199" t="s">
        <v>54</v>
      </c>
      <c r="D1199" t="s">
        <v>55</v>
      </c>
      <c r="E1199" t="s">
        <v>56</v>
      </c>
      <c r="F1199" t="s">
        <v>3777</v>
      </c>
      <c r="G1199" t="s">
        <v>3810</v>
      </c>
      <c r="H1199" t="s">
        <v>56</v>
      </c>
      <c r="I1199" t="s">
        <v>3811</v>
      </c>
      <c r="J1199" t="s">
        <v>56</v>
      </c>
      <c r="K1199" t="s">
        <v>640</v>
      </c>
      <c r="L1199" t="s">
        <v>56</v>
      </c>
      <c r="M1199" t="s">
        <v>56</v>
      </c>
      <c r="N1199" t="s">
        <v>252</v>
      </c>
      <c r="O1199" t="s">
        <v>902</v>
      </c>
      <c r="P1199" t="s">
        <v>903</v>
      </c>
      <c r="Q1199" t="s">
        <v>114</v>
      </c>
      <c r="R1199" t="s">
        <v>248</v>
      </c>
      <c r="S1199">
        <v>51128501</v>
      </c>
      <c r="T1199">
        <v>23205446.289999999</v>
      </c>
      <c r="U1199" t="s">
        <v>68</v>
      </c>
      <c r="V1199" t="s">
        <v>3630</v>
      </c>
      <c r="W1199" s="9">
        <v>60604088</v>
      </c>
      <c r="X1199" t="s">
        <v>3812</v>
      </c>
      <c r="Y1199" s="1">
        <v>45987</v>
      </c>
      <c r="Z1199" s="1">
        <v>46047</v>
      </c>
      <c r="AA1199" s="2">
        <v>863.34</v>
      </c>
      <c r="AB1199" s="2">
        <v>731.64</v>
      </c>
      <c r="AC1199" s="2">
        <v>131.69999999999999</v>
      </c>
      <c r="AD1199" s="2">
        <v>863.34</v>
      </c>
      <c r="AE1199" t="s">
        <v>3814</v>
      </c>
      <c r="AF1199" t="s">
        <v>72</v>
      </c>
      <c r="AG1199">
        <v>31</v>
      </c>
      <c r="AH1199" t="s">
        <v>236</v>
      </c>
      <c r="AI1199" t="s">
        <v>74</v>
      </c>
      <c r="AJ1199" t="s">
        <v>75</v>
      </c>
      <c r="AK1199" t="s">
        <v>76</v>
      </c>
      <c r="AL1199" t="s">
        <v>77</v>
      </c>
      <c r="AM1199" t="s">
        <v>78</v>
      </c>
      <c r="AN1199" t="s">
        <v>795</v>
      </c>
      <c r="AO1199" t="s">
        <v>80</v>
      </c>
      <c r="AP1199" t="s">
        <v>46</v>
      </c>
      <c r="AQ1199" t="s">
        <v>81</v>
      </c>
      <c r="AR1199" t="str">
        <f t="shared" si="36"/>
        <v>60604088.STATAM</v>
      </c>
      <c r="AS1199">
        <f t="shared" si="37"/>
        <v>17800327.649999999</v>
      </c>
      <c r="AT1199" t="s">
        <v>82</v>
      </c>
    </row>
    <row r="1200" spans="1:46" x14ac:dyDescent="0.35">
      <c r="A1200" t="s">
        <v>52</v>
      </c>
      <c r="B1200" t="s">
        <v>53</v>
      </c>
      <c r="C1200" t="s">
        <v>54</v>
      </c>
      <c r="D1200" t="s">
        <v>55</v>
      </c>
      <c r="E1200" t="s">
        <v>56</v>
      </c>
      <c r="F1200" t="s">
        <v>3777</v>
      </c>
      <c r="G1200" t="s">
        <v>3810</v>
      </c>
      <c r="H1200" t="s">
        <v>56</v>
      </c>
      <c r="I1200" t="s">
        <v>3815</v>
      </c>
      <c r="J1200" t="s">
        <v>56</v>
      </c>
      <c r="K1200" t="s">
        <v>640</v>
      </c>
      <c r="L1200" t="s">
        <v>56</v>
      </c>
      <c r="M1200" t="s">
        <v>56</v>
      </c>
      <c r="N1200" t="s">
        <v>244</v>
      </c>
      <c r="O1200" t="s">
        <v>902</v>
      </c>
      <c r="P1200" t="s">
        <v>903</v>
      </c>
      <c r="Q1200" t="s">
        <v>114</v>
      </c>
      <c r="R1200" t="s">
        <v>248</v>
      </c>
      <c r="S1200">
        <v>51128501</v>
      </c>
      <c r="T1200">
        <v>23205446.289999999</v>
      </c>
      <c r="U1200" t="s">
        <v>68</v>
      </c>
      <c r="V1200" t="s">
        <v>3630</v>
      </c>
      <c r="W1200" s="9">
        <v>60604088</v>
      </c>
      <c r="X1200" t="s">
        <v>3816</v>
      </c>
      <c r="Y1200" s="1">
        <v>45987</v>
      </c>
      <c r="Z1200" s="1">
        <v>46047</v>
      </c>
      <c r="AA1200" s="2">
        <v>1291899.3899999999</v>
      </c>
      <c r="AB1200" s="2">
        <v>1094830</v>
      </c>
      <c r="AC1200" s="2">
        <v>197069.39</v>
      </c>
      <c r="AD1200" s="2">
        <v>1291899.3899999999</v>
      </c>
      <c r="AE1200" t="s">
        <v>3817</v>
      </c>
      <c r="AF1200" t="s">
        <v>72</v>
      </c>
      <c r="AG1200">
        <v>31</v>
      </c>
      <c r="AH1200" t="s">
        <v>236</v>
      </c>
      <c r="AI1200" t="s">
        <v>74</v>
      </c>
      <c r="AJ1200" t="s">
        <v>75</v>
      </c>
      <c r="AK1200" t="s">
        <v>76</v>
      </c>
      <c r="AL1200" t="s">
        <v>77</v>
      </c>
      <c r="AM1200" t="s">
        <v>78</v>
      </c>
      <c r="AN1200" t="s">
        <v>795</v>
      </c>
      <c r="AO1200" t="s">
        <v>80</v>
      </c>
      <c r="AP1200" t="s">
        <v>46</v>
      </c>
      <c r="AQ1200" t="s">
        <v>81</v>
      </c>
      <c r="AR1200" t="str">
        <f t="shared" si="36"/>
        <v>60604088.STATAM</v>
      </c>
      <c r="AS1200">
        <f t="shared" si="37"/>
        <v>17800327.649999999</v>
      </c>
      <c r="AT1200" t="s">
        <v>82</v>
      </c>
    </row>
    <row r="1201" spans="1:46" x14ac:dyDescent="0.35">
      <c r="A1201" t="s">
        <v>52</v>
      </c>
      <c r="B1201" t="s">
        <v>53</v>
      </c>
      <c r="C1201" t="s">
        <v>54</v>
      </c>
      <c r="D1201" t="s">
        <v>55</v>
      </c>
      <c r="E1201" t="s">
        <v>56</v>
      </c>
      <c r="F1201" t="s">
        <v>3777</v>
      </c>
      <c r="G1201" t="s">
        <v>3810</v>
      </c>
      <c r="H1201" t="s">
        <v>56</v>
      </c>
      <c r="I1201" t="s">
        <v>3815</v>
      </c>
      <c r="J1201" t="s">
        <v>56</v>
      </c>
      <c r="K1201" t="s">
        <v>640</v>
      </c>
      <c r="L1201" t="s">
        <v>56</v>
      </c>
      <c r="M1201" t="s">
        <v>56</v>
      </c>
      <c r="N1201" t="s">
        <v>252</v>
      </c>
      <c r="O1201" t="s">
        <v>902</v>
      </c>
      <c r="P1201" t="s">
        <v>903</v>
      </c>
      <c r="Q1201" t="s">
        <v>114</v>
      </c>
      <c r="R1201" t="s">
        <v>248</v>
      </c>
      <c r="S1201">
        <v>51128501</v>
      </c>
      <c r="T1201">
        <v>23205446.289999999</v>
      </c>
      <c r="U1201" t="s">
        <v>68</v>
      </c>
      <c r="V1201" t="s">
        <v>3630</v>
      </c>
      <c r="W1201" s="9">
        <v>60604088</v>
      </c>
      <c r="X1201" t="s">
        <v>3816</v>
      </c>
      <c r="Y1201" s="1">
        <v>45987</v>
      </c>
      <c r="Z1201" s="1">
        <v>46047</v>
      </c>
      <c r="AA1201" s="2">
        <v>120677.32</v>
      </c>
      <c r="AB1201" s="2">
        <v>102268.92</v>
      </c>
      <c r="AC1201" s="2">
        <v>18408.400000000001</v>
      </c>
      <c r="AD1201" s="2">
        <v>120677.32</v>
      </c>
      <c r="AE1201" t="s">
        <v>3818</v>
      </c>
      <c r="AF1201" t="s">
        <v>72</v>
      </c>
      <c r="AG1201">
        <v>31</v>
      </c>
      <c r="AH1201" t="s">
        <v>236</v>
      </c>
      <c r="AI1201" t="s">
        <v>74</v>
      </c>
      <c r="AJ1201" t="s">
        <v>75</v>
      </c>
      <c r="AK1201" t="s">
        <v>76</v>
      </c>
      <c r="AL1201" t="s">
        <v>77</v>
      </c>
      <c r="AM1201" t="s">
        <v>78</v>
      </c>
      <c r="AN1201" t="s">
        <v>795</v>
      </c>
      <c r="AO1201" t="s">
        <v>80</v>
      </c>
      <c r="AP1201" t="s">
        <v>46</v>
      </c>
      <c r="AQ1201" t="s">
        <v>81</v>
      </c>
      <c r="AR1201" t="str">
        <f t="shared" si="36"/>
        <v>60604088.STATAM</v>
      </c>
      <c r="AS1201">
        <f t="shared" si="37"/>
        <v>17800327.649999999</v>
      </c>
      <c r="AT1201" t="s">
        <v>82</v>
      </c>
    </row>
    <row r="1202" spans="1:46" x14ac:dyDescent="0.35">
      <c r="A1202" t="s">
        <v>52</v>
      </c>
      <c r="B1202" t="s">
        <v>53</v>
      </c>
      <c r="C1202" t="s">
        <v>54</v>
      </c>
      <c r="D1202" t="s">
        <v>55</v>
      </c>
      <c r="E1202" t="s">
        <v>56</v>
      </c>
      <c r="F1202" t="s">
        <v>3777</v>
      </c>
      <c r="G1202" t="s">
        <v>3810</v>
      </c>
      <c r="H1202" t="s">
        <v>56</v>
      </c>
      <c r="I1202" t="s">
        <v>3815</v>
      </c>
      <c r="J1202" t="s">
        <v>56</v>
      </c>
      <c r="K1202" t="s">
        <v>640</v>
      </c>
      <c r="L1202" t="s">
        <v>56</v>
      </c>
      <c r="M1202" t="s">
        <v>56</v>
      </c>
      <c r="N1202" t="s">
        <v>261</v>
      </c>
      <c r="O1202" t="s">
        <v>902</v>
      </c>
      <c r="P1202" t="s">
        <v>903</v>
      </c>
      <c r="Q1202" t="s">
        <v>114</v>
      </c>
      <c r="R1202" t="s">
        <v>248</v>
      </c>
      <c r="S1202">
        <v>51128501</v>
      </c>
      <c r="T1202">
        <v>23205446.289999999</v>
      </c>
      <c r="U1202" t="s">
        <v>68</v>
      </c>
      <c r="V1202" t="s">
        <v>3630</v>
      </c>
      <c r="W1202" s="9">
        <v>60604088</v>
      </c>
      <c r="X1202" t="s">
        <v>3816</v>
      </c>
      <c r="Y1202" s="1">
        <v>45987</v>
      </c>
      <c r="Z1202" s="1">
        <v>46047</v>
      </c>
      <c r="AA1202" s="2">
        <v>88525.91</v>
      </c>
      <c r="AB1202" s="2">
        <v>75021.960000000006</v>
      </c>
      <c r="AC1202" s="2">
        <v>13503.95</v>
      </c>
      <c r="AD1202" s="2">
        <v>88525.91</v>
      </c>
      <c r="AE1202" t="s">
        <v>3819</v>
      </c>
      <c r="AF1202" t="s">
        <v>72</v>
      </c>
      <c r="AG1202">
        <v>31</v>
      </c>
      <c r="AH1202" t="s">
        <v>236</v>
      </c>
      <c r="AI1202" t="s">
        <v>74</v>
      </c>
      <c r="AJ1202" t="s">
        <v>75</v>
      </c>
      <c r="AK1202" t="s">
        <v>76</v>
      </c>
      <c r="AL1202" t="s">
        <v>77</v>
      </c>
      <c r="AM1202" t="s">
        <v>78</v>
      </c>
      <c r="AN1202" t="s">
        <v>795</v>
      </c>
      <c r="AO1202" t="s">
        <v>80</v>
      </c>
      <c r="AP1202" t="s">
        <v>46</v>
      </c>
      <c r="AQ1202" t="s">
        <v>81</v>
      </c>
      <c r="AR1202" t="str">
        <f t="shared" si="36"/>
        <v>60604088.STATAM</v>
      </c>
      <c r="AS1202">
        <f t="shared" si="37"/>
        <v>17800327.649999999</v>
      </c>
      <c r="AT1202" t="s">
        <v>82</v>
      </c>
    </row>
    <row r="1203" spans="1:46" x14ac:dyDescent="0.35">
      <c r="A1203" t="s">
        <v>52</v>
      </c>
      <c r="B1203" t="s">
        <v>53</v>
      </c>
      <c r="C1203" t="s">
        <v>54</v>
      </c>
      <c r="D1203" t="s">
        <v>55</v>
      </c>
      <c r="E1203" t="s">
        <v>56</v>
      </c>
      <c r="F1203" t="s">
        <v>3777</v>
      </c>
      <c r="G1203" t="s">
        <v>3820</v>
      </c>
      <c r="H1203" t="s">
        <v>56</v>
      </c>
      <c r="I1203" t="s">
        <v>3821</v>
      </c>
      <c r="J1203" t="s">
        <v>56</v>
      </c>
      <c r="K1203" t="s">
        <v>640</v>
      </c>
      <c r="L1203" t="s">
        <v>56</v>
      </c>
      <c r="M1203" t="s">
        <v>56</v>
      </c>
      <c r="N1203" t="s">
        <v>1116</v>
      </c>
      <c r="O1203" t="s">
        <v>902</v>
      </c>
      <c r="P1203" t="s">
        <v>903</v>
      </c>
      <c r="Q1203" t="s">
        <v>114</v>
      </c>
      <c r="R1203" t="s">
        <v>248</v>
      </c>
      <c r="S1203">
        <v>51128501</v>
      </c>
      <c r="T1203">
        <v>23205446.289999999</v>
      </c>
      <c r="U1203" t="s">
        <v>68</v>
      </c>
      <c r="V1203" t="s">
        <v>3630</v>
      </c>
      <c r="W1203" s="9">
        <v>60604088</v>
      </c>
      <c r="X1203" t="s">
        <v>3822</v>
      </c>
      <c r="Y1203" s="1">
        <v>45990</v>
      </c>
      <c r="Z1203" s="1">
        <v>46050</v>
      </c>
      <c r="AA1203" s="2">
        <v>497635.5</v>
      </c>
      <c r="AB1203" s="2">
        <v>421725</v>
      </c>
      <c r="AC1203" s="2">
        <v>75910.5</v>
      </c>
      <c r="AD1203" s="2">
        <v>497635.5</v>
      </c>
      <c r="AE1203" t="s">
        <v>3823</v>
      </c>
      <c r="AF1203" t="s">
        <v>72</v>
      </c>
      <c r="AG1203">
        <v>28</v>
      </c>
      <c r="AH1203" t="s">
        <v>73</v>
      </c>
      <c r="AI1203" t="s">
        <v>74</v>
      </c>
      <c r="AJ1203" t="s">
        <v>127</v>
      </c>
      <c r="AK1203" t="s">
        <v>334</v>
      </c>
      <c r="AL1203" t="s">
        <v>77</v>
      </c>
      <c r="AM1203" t="s">
        <v>78</v>
      </c>
      <c r="AN1203" t="s">
        <v>795</v>
      </c>
      <c r="AO1203" t="s">
        <v>80</v>
      </c>
      <c r="AP1203" t="s">
        <v>46</v>
      </c>
      <c r="AQ1203" t="s">
        <v>335</v>
      </c>
      <c r="AR1203" t="str">
        <f t="shared" si="36"/>
        <v>60604088.SPMINAM</v>
      </c>
      <c r="AS1203">
        <f t="shared" si="37"/>
        <v>2756259.4099999997</v>
      </c>
      <c r="AT1203" t="s">
        <v>82</v>
      </c>
    </row>
    <row r="1204" spans="1:46" x14ac:dyDescent="0.35">
      <c r="A1204" t="s">
        <v>52</v>
      </c>
      <c r="B1204" t="s">
        <v>53</v>
      </c>
      <c r="C1204" t="s">
        <v>54</v>
      </c>
      <c r="D1204" t="s">
        <v>55</v>
      </c>
      <c r="E1204" t="s">
        <v>56</v>
      </c>
      <c r="F1204" t="s">
        <v>3777</v>
      </c>
      <c r="G1204" t="s">
        <v>3820</v>
      </c>
      <c r="H1204" t="s">
        <v>56</v>
      </c>
      <c r="I1204" t="s">
        <v>3821</v>
      </c>
      <c r="J1204" t="s">
        <v>56</v>
      </c>
      <c r="K1204" t="s">
        <v>640</v>
      </c>
      <c r="L1204" t="s">
        <v>56</v>
      </c>
      <c r="M1204" t="s">
        <v>56</v>
      </c>
      <c r="N1204" t="s">
        <v>331</v>
      </c>
      <c r="O1204" t="s">
        <v>902</v>
      </c>
      <c r="P1204" t="s">
        <v>903</v>
      </c>
      <c r="Q1204" t="s">
        <v>114</v>
      </c>
      <c r="R1204" t="s">
        <v>248</v>
      </c>
      <c r="S1204">
        <v>51128501</v>
      </c>
      <c r="T1204">
        <v>23205446.289999999</v>
      </c>
      <c r="U1204" t="s">
        <v>68</v>
      </c>
      <c r="V1204" t="s">
        <v>3630</v>
      </c>
      <c r="W1204" s="9">
        <v>60604088</v>
      </c>
      <c r="X1204" t="s">
        <v>3822</v>
      </c>
      <c r="Y1204" s="1">
        <v>45990</v>
      </c>
      <c r="Z1204" s="1">
        <v>46050</v>
      </c>
      <c r="AA1204" s="2">
        <v>22940.38</v>
      </c>
      <c r="AB1204" s="2">
        <v>19441</v>
      </c>
      <c r="AC1204" s="2">
        <v>3499.38</v>
      </c>
      <c r="AD1204" s="2">
        <v>22940.38</v>
      </c>
      <c r="AE1204" t="s">
        <v>3824</v>
      </c>
      <c r="AF1204" t="s">
        <v>72</v>
      </c>
      <c r="AG1204">
        <v>28</v>
      </c>
      <c r="AH1204" t="s">
        <v>73</v>
      </c>
      <c r="AI1204" t="s">
        <v>74</v>
      </c>
      <c r="AJ1204" t="s">
        <v>127</v>
      </c>
      <c r="AK1204" t="s">
        <v>334</v>
      </c>
      <c r="AL1204" t="s">
        <v>77</v>
      </c>
      <c r="AM1204" t="s">
        <v>78</v>
      </c>
      <c r="AN1204" t="s">
        <v>795</v>
      </c>
      <c r="AO1204" t="s">
        <v>80</v>
      </c>
      <c r="AP1204" t="s">
        <v>46</v>
      </c>
      <c r="AQ1204" t="s">
        <v>335</v>
      </c>
      <c r="AR1204" t="str">
        <f t="shared" si="36"/>
        <v>60604088.SPMINAM</v>
      </c>
      <c r="AS1204">
        <f t="shared" si="37"/>
        <v>2756259.4099999997</v>
      </c>
      <c r="AT1204" t="s">
        <v>82</v>
      </c>
    </row>
    <row r="1205" spans="1:46" x14ac:dyDescent="0.35">
      <c r="A1205" t="s">
        <v>52</v>
      </c>
      <c r="B1205" t="s">
        <v>53</v>
      </c>
      <c r="C1205" t="s">
        <v>54</v>
      </c>
      <c r="D1205" t="s">
        <v>55</v>
      </c>
      <c r="E1205" t="s">
        <v>56</v>
      </c>
      <c r="F1205" t="s">
        <v>3777</v>
      </c>
      <c r="G1205" t="s">
        <v>3825</v>
      </c>
      <c r="H1205" t="s">
        <v>56</v>
      </c>
      <c r="I1205" t="s">
        <v>3826</v>
      </c>
      <c r="J1205" t="s">
        <v>56</v>
      </c>
      <c r="K1205" t="s">
        <v>640</v>
      </c>
      <c r="L1205" t="s">
        <v>56</v>
      </c>
      <c r="M1205" t="s">
        <v>56</v>
      </c>
      <c r="N1205" t="s">
        <v>244</v>
      </c>
      <c r="O1205" t="s">
        <v>902</v>
      </c>
      <c r="P1205" t="s">
        <v>903</v>
      </c>
      <c r="Q1205" t="s">
        <v>114</v>
      </c>
      <c r="R1205" t="s">
        <v>248</v>
      </c>
      <c r="S1205">
        <v>51128501</v>
      </c>
      <c r="T1205">
        <v>23205446.289999999</v>
      </c>
      <c r="U1205" t="s">
        <v>68</v>
      </c>
      <c r="V1205" t="s">
        <v>3630</v>
      </c>
      <c r="W1205" s="9">
        <v>60604088</v>
      </c>
      <c r="X1205" t="s">
        <v>3827</v>
      </c>
      <c r="Y1205" s="1">
        <v>45990</v>
      </c>
      <c r="Z1205" s="1">
        <v>46050</v>
      </c>
      <c r="AA1205" s="2">
        <v>64422.1</v>
      </c>
      <c r="AB1205" s="2">
        <v>54595</v>
      </c>
      <c r="AC1205" s="2">
        <v>9827.1</v>
      </c>
      <c r="AD1205" s="2">
        <v>64422.1</v>
      </c>
      <c r="AE1205" t="s">
        <v>3828</v>
      </c>
      <c r="AF1205" t="s">
        <v>72</v>
      </c>
      <c r="AG1205">
        <v>28</v>
      </c>
      <c r="AH1205" t="s">
        <v>73</v>
      </c>
      <c r="AI1205" t="s">
        <v>74</v>
      </c>
      <c r="AJ1205" t="s">
        <v>75</v>
      </c>
      <c r="AK1205" t="s">
        <v>76</v>
      </c>
      <c r="AL1205" t="s">
        <v>77</v>
      </c>
      <c r="AM1205" t="s">
        <v>78</v>
      </c>
      <c r="AN1205" t="s">
        <v>795</v>
      </c>
      <c r="AO1205" t="s">
        <v>80</v>
      </c>
      <c r="AP1205" t="s">
        <v>46</v>
      </c>
      <c r="AQ1205" t="s">
        <v>81</v>
      </c>
      <c r="AR1205" t="str">
        <f t="shared" si="36"/>
        <v>60604088.STATAM</v>
      </c>
      <c r="AS1205">
        <f t="shared" si="37"/>
        <v>17800327.649999999</v>
      </c>
      <c r="AT1205" t="s">
        <v>82</v>
      </c>
    </row>
    <row r="1206" spans="1:46" x14ac:dyDescent="0.35">
      <c r="A1206" t="s">
        <v>52</v>
      </c>
      <c r="B1206" t="s">
        <v>53</v>
      </c>
      <c r="C1206" t="s">
        <v>54</v>
      </c>
      <c r="D1206" t="s">
        <v>55</v>
      </c>
      <c r="E1206" t="s">
        <v>56</v>
      </c>
      <c r="F1206" t="s">
        <v>3777</v>
      </c>
      <c r="G1206" t="s">
        <v>3825</v>
      </c>
      <c r="H1206" t="s">
        <v>56</v>
      </c>
      <c r="I1206" t="s">
        <v>3826</v>
      </c>
      <c r="J1206" t="s">
        <v>56</v>
      </c>
      <c r="K1206" t="s">
        <v>640</v>
      </c>
      <c r="L1206" t="s">
        <v>56</v>
      </c>
      <c r="M1206" t="s">
        <v>56</v>
      </c>
      <c r="N1206" t="s">
        <v>252</v>
      </c>
      <c r="O1206" t="s">
        <v>902</v>
      </c>
      <c r="P1206" t="s">
        <v>903</v>
      </c>
      <c r="Q1206" t="s">
        <v>114</v>
      </c>
      <c r="R1206" t="s">
        <v>248</v>
      </c>
      <c r="S1206">
        <v>51128501</v>
      </c>
      <c r="T1206">
        <v>23205446.289999999</v>
      </c>
      <c r="U1206" t="s">
        <v>68</v>
      </c>
      <c r="V1206" t="s">
        <v>3630</v>
      </c>
      <c r="W1206" s="9">
        <v>60604088</v>
      </c>
      <c r="X1206" t="s">
        <v>3827</v>
      </c>
      <c r="Y1206" s="1">
        <v>45990</v>
      </c>
      <c r="Z1206" s="1">
        <v>46050</v>
      </c>
      <c r="AA1206" s="2">
        <v>5107.04</v>
      </c>
      <c r="AB1206" s="2">
        <v>4328</v>
      </c>
      <c r="AC1206" s="2">
        <v>779.04</v>
      </c>
      <c r="AD1206" s="2">
        <v>5107.04</v>
      </c>
      <c r="AE1206" t="s">
        <v>3829</v>
      </c>
      <c r="AF1206" t="s">
        <v>72</v>
      </c>
      <c r="AG1206">
        <v>28</v>
      </c>
      <c r="AH1206" t="s">
        <v>73</v>
      </c>
      <c r="AI1206" t="s">
        <v>74</v>
      </c>
      <c r="AJ1206" t="s">
        <v>75</v>
      </c>
      <c r="AK1206" t="s">
        <v>76</v>
      </c>
      <c r="AL1206" t="s">
        <v>77</v>
      </c>
      <c r="AM1206" t="s">
        <v>78</v>
      </c>
      <c r="AN1206" t="s">
        <v>795</v>
      </c>
      <c r="AO1206" t="s">
        <v>80</v>
      </c>
      <c r="AP1206" t="s">
        <v>46</v>
      </c>
      <c r="AQ1206" t="s">
        <v>81</v>
      </c>
      <c r="AR1206" t="str">
        <f t="shared" si="36"/>
        <v>60604088.STATAM</v>
      </c>
      <c r="AS1206">
        <f t="shared" si="37"/>
        <v>17800327.649999999</v>
      </c>
      <c r="AT1206" t="s">
        <v>82</v>
      </c>
    </row>
    <row r="1207" spans="1:46" x14ac:dyDescent="0.35">
      <c r="A1207" t="s">
        <v>52</v>
      </c>
      <c r="B1207" t="s">
        <v>53</v>
      </c>
      <c r="C1207" t="s">
        <v>54</v>
      </c>
      <c r="D1207" t="s">
        <v>55</v>
      </c>
      <c r="E1207" t="s">
        <v>56</v>
      </c>
      <c r="F1207" t="s">
        <v>3777</v>
      </c>
      <c r="G1207" t="s">
        <v>3825</v>
      </c>
      <c r="H1207" t="s">
        <v>56</v>
      </c>
      <c r="I1207" t="s">
        <v>3826</v>
      </c>
      <c r="J1207" t="s">
        <v>56</v>
      </c>
      <c r="K1207" t="s">
        <v>640</v>
      </c>
      <c r="L1207" t="s">
        <v>56</v>
      </c>
      <c r="M1207" t="s">
        <v>56</v>
      </c>
      <c r="N1207" t="s">
        <v>331</v>
      </c>
      <c r="O1207" t="s">
        <v>902</v>
      </c>
      <c r="P1207" t="s">
        <v>903</v>
      </c>
      <c r="Q1207" t="s">
        <v>114</v>
      </c>
      <c r="R1207" t="s">
        <v>248</v>
      </c>
      <c r="S1207">
        <v>51128501</v>
      </c>
      <c r="T1207">
        <v>23205446.289999999</v>
      </c>
      <c r="U1207" t="s">
        <v>68</v>
      </c>
      <c r="V1207" t="s">
        <v>3630</v>
      </c>
      <c r="W1207" s="9">
        <v>60604088</v>
      </c>
      <c r="X1207" t="s">
        <v>3827</v>
      </c>
      <c r="Y1207" s="1">
        <v>45990</v>
      </c>
      <c r="Z1207" s="1">
        <v>46050</v>
      </c>
      <c r="AA1207" s="2">
        <v>180534.1</v>
      </c>
      <c r="AB1207" s="2">
        <v>152995</v>
      </c>
      <c r="AC1207" s="2">
        <v>27539.1</v>
      </c>
      <c r="AD1207" s="2">
        <v>180534.1</v>
      </c>
      <c r="AE1207" t="s">
        <v>3830</v>
      </c>
      <c r="AF1207" t="s">
        <v>72</v>
      </c>
      <c r="AG1207">
        <v>28</v>
      </c>
      <c r="AH1207" t="s">
        <v>73</v>
      </c>
      <c r="AI1207" t="s">
        <v>74</v>
      </c>
      <c r="AJ1207" t="s">
        <v>127</v>
      </c>
      <c r="AK1207" t="s">
        <v>334</v>
      </c>
      <c r="AL1207" t="s">
        <v>77</v>
      </c>
      <c r="AM1207" t="s">
        <v>78</v>
      </c>
      <c r="AN1207" t="s">
        <v>795</v>
      </c>
      <c r="AO1207" t="s">
        <v>80</v>
      </c>
      <c r="AP1207" t="s">
        <v>46</v>
      </c>
      <c r="AQ1207" t="s">
        <v>335</v>
      </c>
      <c r="AR1207" t="str">
        <f t="shared" si="36"/>
        <v>60604088.SPMINAM</v>
      </c>
      <c r="AS1207">
        <f t="shared" si="37"/>
        <v>2756259.4099999997</v>
      </c>
      <c r="AT1207" t="s">
        <v>82</v>
      </c>
    </row>
    <row r="1208" spans="1:46" x14ac:dyDescent="0.35">
      <c r="A1208" t="s">
        <v>52</v>
      </c>
      <c r="B1208" t="s">
        <v>53</v>
      </c>
      <c r="C1208" t="s">
        <v>54</v>
      </c>
      <c r="D1208" t="s">
        <v>55</v>
      </c>
      <c r="E1208" t="s">
        <v>56</v>
      </c>
      <c r="F1208" t="s">
        <v>3777</v>
      </c>
      <c r="G1208" t="s">
        <v>3831</v>
      </c>
      <c r="H1208" t="s">
        <v>56</v>
      </c>
      <c r="I1208" t="s">
        <v>3832</v>
      </c>
      <c r="J1208" t="s">
        <v>56</v>
      </c>
      <c r="K1208" t="s">
        <v>640</v>
      </c>
      <c r="L1208" t="s">
        <v>56</v>
      </c>
      <c r="M1208" t="s">
        <v>56</v>
      </c>
      <c r="N1208" t="s">
        <v>331</v>
      </c>
      <c r="O1208" t="s">
        <v>902</v>
      </c>
      <c r="P1208" t="s">
        <v>903</v>
      </c>
      <c r="Q1208" t="s">
        <v>114</v>
      </c>
      <c r="R1208" t="s">
        <v>248</v>
      </c>
      <c r="S1208">
        <v>51128501</v>
      </c>
      <c r="T1208">
        <v>23205446.289999999</v>
      </c>
      <c r="U1208" t="s">
        <v>68</v>
      </c>
      <c r="V1208" t="s">
        <v>3630</v>
      </c>
      <c r="W1208" s="9">
        <v>60604088</v>
      </c>
      <c r="X1208" t="s">
        <v>3833</v>
      </c>
      <c r="Y1208" s="1">
        <v>45990</v>
      </c>
      <c r="Z1208" s="1">
        <v>46050</v>
      </c>
      <c r="AA1208" s="2">
        <v>161237.56</v>
      </c>
      <c r="AB1208" s="2">
        <v>136642</v>
      </c>
      <c r="AC1208" s="2">
        <v>24595.56</v>
      </c>
      <c r="AD1208" s="2">
        <v>161237.56</v>
      </c>
      <c r="AE1208" t="s">
        <v>3834</v>
      </c>
      <c r="AF1208" t="s">
        <v>72</v>
      </c>
      <c r="AG1208">
        <v>28</v>
      </c>
      <c r="AH1208" t="s">
        <v>73</v>
      </c>
      <c r="AI1208" t="s">
        <v>74</v>
      </c>
      <c r="AJ1208" t="s">
        <v>127</v>
      </c>
      <c r="AK1208" t="s">
        <v>334</v>
      </c>
      <c r="AL1208" t="s">
        <v>77</v>
      </c>
      <c r="AM1208" t="s">
        <v>78</v>
      </c>
      <c r="AN1208" t="s">
        <v>795</v>
      </c>
      <c r="AO1208" t="s">
        <v>80</v>
      </c>
      <c r="AP1208" t="s">
        <v>46</v>
      </c>
      <c r="AQ1208" t="s">
        <v>335</v>
      </c>
      <c r="AR1208" t="str">
        <f t="shared" si="36"/>
        <v>60604088.SPMINAM</v>
      </c>
      <c r="AS1208">
        <f t="shared" si="37"/>
        <v>2756259.4099999997</v>
      </c>
      <c r="AT1208" t="s">
        <v>82</v>
      </c>
    </row>
    <row r="1209" spans="1:46" x14ac:dyDescent="0.35">
      <c r="A1209" t="s">
        <v>52</v>
      </c>
      <c r="B1209" t="s">
        <v>53</v>
      </c>
      <c r="C1209" t="s">
        <v>54</v>
      </c>
      <c r="D1209" t="s">
        <v>55</v>
      </c>
      <c r="E1209" t="s">
        <v>56</v>
      </c>
      <c r="F1209" t="s">
        <v>3777</v>
      </c>
      <c r="G1209" t="s">
        <v>3835</v>
      </c>
      <c r="H1209" t="s">
        <v>56</v>
      </c>
      <c r="I1209" t="s">
        <v>3836</v>
      </c>
      <c r="J1209" t="s">
        <v>56</v>
      </c>
      <c r="K1209" t="s">
        <v>640</v>
      </c>
      <c r="L1209" t="s">
        <v>56</v>
      </c>
      <c r="M1209" t="s">
        <v>56</v>
      </c>
      <c r="N1209" t="s">
        <v>254</v>
      </c>
      <c r="O1209" t="s">
        <v>902</v>
      </c>
      <c r="P1209" t="s">
        <v>903</v>
      </c>
      <c r="Q1209" t="s">
        <v>641</v>
      </c>
      <c r="R1209" t="s">
        <v>248</v>
      </c>
      <c r="S1209">
        <v>51128501</v>
      </c>
      <c r="T1209">
        <v>23205446.289999999</v>
      </c>
      <c r="U1209" t="s">
        <v>68</v>
      </c>
      <c r="V1209" t="s">
        <v>3630</v>
      </c>
      <c r="W1209" s="9">
        <v>60604088</v>
      </c>
      <c r="X1209" t="s">
        <v>3837</v>
      </c>
      <c r="Y1209" s="1">
        <v>45994</v>
      </c>
      <c r="Z1209" s="1">
        <v>46054</v>
      </c>
      <c r="AA1209" s="2">
        <v>756748.16</v>
      </c>
      <c r="AB1209" s="2">
        <v>641312</v>
      </c>
      <c r="AC1209" s="2">
        <v>115436.16</v>
      </c>
      <c r="AD1209" s="2">
        <v>756748.16</v>
      </c>
      <c r="AE1209" t="s">
        <v>3838</v>
      </c>
      <c r="AF1209" t="s">
        <v>72</v>
      </c>
      <c r="AG1209">
        <v>24</v>
      </c>
      <c r="AH1209" t="s">
        <v>73</v>
      </c>
      <c r="AI1209" t="s">
        <v>74</v>
      </c>
      <c r="AJ1209" t="s">
        <v>75</v>
      </c>
      <c r="AK1209" t="s">
        <v>76</v>
      </c>
      <c r="AL1209" t="s">
        <v>77</v>
      </c>
      <c r="AM1209" t="s">
        <v>78</v>
      </c>
      <c r="AN1209" t="s">
        <v>795</v>
      </c>
      <c r="AO1209" t="s">
        <v>80</v>
      </c>
      <c r="AP1209" t="s">
        <v>46</v>
      </c>
      <c r="AQ1209" t="s">
        <v>81</v>
      </c>
      <c r="AR1209" t="str">
        <f t="shared" si="36"/>
        <v>60604088.STATAM</v>
      </c>
      <c r="AS1209">
        <f t="shared" si="37"/>
        <v>17800327.649999999</v>
      </c>
      <c r="AT1209" t="s">
        <v>82</v>
      </c>
    </row>
    <row r="1210" spans="1:46" x14ac:dyDescent="0.35">
      <c r="A1210" t="s">
        <v>52</v>
      </c>
      <c r="B1210" t="s">
        <v>53</v>
      </c>
      <c r="C1210" t="s">
        <v>54</v>
      </c>
      <c r="D1210" t="s">
        <v>55</v>
      </c>
      <c r="E1210" t="s">
        <v>56</v>
      </c>
      <c r="F1210" t="s">
        <v>3777</v>
      </c>
      <c r="G1210" t="s">
        <v>3778</v>
      </c>
      <c r="H1210" t="s">
        <v>56</v>
      </c>
      <c r="I1210" t="s">
        <v>3839</v>
      </c>
      <c r="J1210" t="s">
        <v>56</v>
      </c>
      <c r="K1210" t="s">
        <v>640</v>
      </c>
      <c r="L1210" t="s">
        <v>56</v>
      </c>
      <c r="M1210" t="s">
        <v>56</v>
      </c>
      <c r="N1210" t="s">
        <v>252</v>
      </c>
      <c r="O1210" t="s">
        <v>902</v>
      </c>
      <c r="P1210" t="s">
        <v>903</v>
      </c>
      <c r="Q1210" t="s">
        <v>114</v>
      </c>
      <c r="R1210" t="s">
        <v>248</v>
      </c>
      <c r="S1210">
        <v>51128501</v>
      </c>
      <c r="T1210">
        <v>23205446.289999999</v>
      </c>
      <c r="U1210" t="s">
        <v>68</v>
      </c>
      <c r="V1210" t="s">
        <v>3630</v>
      </c>
      <c r="W1210" s="9">
        <v>60604088</v>
      </c>
      <c r="X1210" t="s">
        <v>3840</v>
      </c>
      <c r="Y1210" s="1">
        <v>45994</v>
      </c>
      <c r="Z1210" s="1">
        <v>46054</v>
      </c>
      <c r="AA1210" s="2">
        <v>121691.61</v>
      </c>
      <c r="AB1210" s="2">
        <v>103128.48</v>
      </c>
      <c r="AC1210" s="2">
        <v>18563.13</v>
      </c>
      <c r="AD1210" s="2">
        <v>121691.61</v>
      </c>
      <c r="AE1210" t="s">
        <v>3841</v>
      </c>
      <c r="AF1210" t="s">
        <v>72</v>
      </c>
      <c r="AG1210">
        <v>24</v>
      </c>
      <c r="AH1210" t="s">
        <v>73</v>
      </c>
      <c r="AI1210" t="s">
        <v>74</v>
      </c>
      <c r="AJ1210" t="s">
        <v>75</v>
      </c>
      <c r="AK1210" t="s">
        <v>76</v>
      </c>
      <c r="AL1210" t="s">
        <v>77</v>
      </c>
      <c r="AM1210" t="s">
        <v>78</v>
      </c>
      <c r="AN1210" t="s">
        <v>795</v>
      </c>
      <c r="AO1210" t="s">
        <v>80</v>
      </c>
      <c r="AP1210" t="s">
        <v>46</v>
      </c>
      <c r="AQ1210" t="s">
        <v>81</v>
      </c>
      <c r="AR1210" t="str">
        <f t="shared" si="36"/>
        <v>60604088.STATAM</v>
      </c>
      <c r="AS1210">
        <f t="shared" si="37"/>
        <v>17800327.649999999</v>
      </c>
      <c r="AT1210" t="s">
        <v>82</v>
      </c>
    </row>
    <row r="1211" spans="1:46" x14ac:dyDescent="0.35">
      <c r="A1211" t="s">
        <v>52</v>
      </c>
      <c r="B1211" t="s">
        <v>53</v>
      </c>
      <c r="C1211" t="s">
        <v>54</v>
      </c>
      <c r="D1211" t="s">
        <v>55</v>
      </c>
      <c r="E1211" t="s">
        <v>56</v>
      </c>
      <c r="F1211" t="s">
        <v>3777</v>
      </c>
      <c r="G1211" t="s">
        <v>3810</v>
      </c>
      <c r="H1211" t="s">
        <v>56</v>
      </c>
      <c r="I1211" t="s">
        <v>3842</v>
      </c>
      <c r="J1211" t="s">
        <v>56</v>
      </c>
      <c r="K1211" t="s">
        <v>640</v>
      </c>
      <c r="L1211" t="s">
        <v>56</v>
      </c>
      <c r="M1211" t="s">
        <v>56</v>
      </c>
      <c r="N1211" t="s">
        <v>682</v>
      </c>
      <c r="O1211" t="s">
        <v>902</v>
      </c>
      <c r="P1211" t="s">
        <v>903</v>
      </c>
      <c r="Q1211" t="s">
        <v>114</v>
      </c>
      <c r="R1211" t="s">
        <v>248</v>
      </c>
      <c r="S1211">
        <v>51128501</v>
      </c>
      <c r="T1211">
        <v>23205446.289999999</v>
      </c>
      <c r="U1211" t="s">
        <v>68</v>
      </c>
      <c r="V1211" t="s">
        <v>3630</v>
      </c>
      <c r="W1211" s="9">
        <v>60604088</v>
      </c>
      <c r="X1211" t="s">
        <v>3843</v>
      </c>
      <c r="Y1211" s="1">
        <v>45995</v>
      </c>
      <c r="Z1211" s="1">
        <v>46055</v>
      </c>
      <c r="AA1211" s="2">
        <v>3026.28</v>
      </c>
      <c r="AB1211" s="2">
        <v>2564.64</v>
      </c>
      <c r="AC1211" s="2">
        <v>461.64</v>
      </c>
      <c r="AD1211" s="2">
        <v>3026.28</v>
      </c>
      <c r="AE1211" t="s">
        <v>3844</v>
      </c>
      <c r="AF1211" t="s">
        <v>72</v>
      </c>
      <c r="AG1211">
        <v>23</v>
      </c>
      <c r="AH1211" t="s">
        <v>73</v>
      </c>
      <c r="AI1211" t="s">
        <v>74</v>
      </c>
      <c r="AJ1211" t="s">
        <v>127</v>
      </c>
      <c r="AK1211" t="s">
        <v>334</v>
      </c>
      <c r="AL1211" t="s">
        <v>77</v>
      </c>
      <c r="AM1211" t="s">
        <v>78</v>
      </c>
      <c r="AN1211" t="s">
        <v>795</v>
      </c>
      <c r="AO1211" t="s">
        <v>80</v>
      </c>
      <c r="AP1211" t="s">
        <v>46</v>
      </c>
      <c r="AQ1211" t="s">
        <v>335</v>
      </c>
      <c r="AR1211" t="str">
        <f t="shared" si="36"/>
        <v>60604088.SPMINAM</v>
      </c>
      <c r="AS1211">
        <f t="shared" si="37"/>
        <v>2756259.4099999997</v>
      </c>
      <c r="AT1211" t="s">
        <v>82</v>
      </c>
    </row>
    <row r="1212" spans="1:46" x14ac:dyDescent="0.35">
      <c r="A1212" t="s">
        <v>52</v>
      </c>
      <c r="B1212" t="s">
        <v>53</v>
      </c>
      <c r="C1212" t="s">
        <v>54</v>
      </c>
      <c r="D1212" t="s">
        <v>55</v>
      </c>
      <c r="E1212" t="s">
        <v>56</v>
      </c>
      <c r="F1212" t="s">
        <v>3777</v>
      </c>
      <c r="G1212" t="s">
        <v>3810</v>
      </c>
      <c r="H1212" t="s">
        <v>56</v>
      </c>
      <c r="I1212" t="s">
        <v>3842</v>
      </c>
      <c r="J1212" t="s">
        <v>56</v>
      </c>
      <c r="K1212" t="s">
        <v>640</v>
      </c>
      <c r="L1212" t="s">
        <v>56</v>
      </c>
      <c r="M1212" t="s">
        <v>56</v>
      </c>
      <c r="N1212" t="s">
        <v>244</v>
      </c>
      <c r="O1212" t="s">
        <v>902</v>
      </c>
      <c r="P1212" t="s">
        <v>903</v>
      </c>
      <c r="Q1212" t="s">
        <v>114</v>
      </c>
      <c r="R1212" t="s">
        <v>248</v>
      </c>
      <c r="S1212">
        <v>51128501</v>
      </c>
      <c r="T1212">
        <v>23205446.289999999</v>
      </c>
      <c r="U1212" t="s">
        <v>68</v>
      </c>
      <c r="V1212" t="s">
        <v>3630</v>
      </c>
      <c r="W1212" s="9">
        <v>60604088</v>
      </c>
      <c r="X1212" t="s">
        <v>3843</v>
      </c>
      <c r="Y1212" s="1">
        <v>45995</v>
      </c>
      <c r="Z1212" s="1">
        <v>46055</v>
      </c>
      <c r="AA1212" s="2">
        <v>436463.12</v>
      </c>
      <c r="AB1212" s="2">
        <v>369884</v>
      </c>
      <c r="AC1212" s="2">
        <v>66579.12</v>
      </c>
      <c r="AD1212" s="2">
        <v>436463.12</v>
      </c>
      <c r="AE1212" t="s">
        <v>3845</v>
      </c>
      <c r="AF1212" t="s">
        <v>72</v>
      </c>
      <c r="AG1212">
        <v>23</v>
      </c>
      <c r="AH1212" t="s">
        <v>73</v>
      </c>
      <c r="AI1212" t="s">
        <v>74</v>
      </c>
      <c r="AJ1212" t="s">
        <v>75</v>
      </c>
      <c r="AK1212" t="s">
        <v>76</v>
      </c>
      <c r="AL1212" t="s">
        <v>77</v>
      </c>
      <c r="AM1212" t="s">
        <v>78</v>
      </c>
      <c r="AN1212" t="s">
        <v>795</v>
      </c>
      <c r="AO1212" t="s">
        <v>80</v>
      </c>
      <c r="AP1212" t="s">
        <v>46</v>
      </c>
      <c r="AQ1212" t="s">
        <v>81</v>
      </c>
      <c r="AR1212" t="str">
        <f t="shared" si="36"/>
        <v>60604088.STATAM</v>
      </c>
      <c r="AS1212">
        <f t="shared" si="37"/>
        <v>17800327.649999999</v>
      </c>
      <c r="AT1212" t="s">
        <v>82</v>
      </c>
    </row>
    <row r="1213" spans="1:46" x14ac:dyDescent="0.35">
      <c r="A1213" t="s">
        <v>52</v>
      </c>
      <c r="B1213" t="s">
        <v>53</v>
      </c>
      <c r="C1213" t="s">
        <v>54</v>
      </c>
      <c r="D1213" t="s">
        <v>55</v>
      </c>
      <c r="E1213" t="s">
        <v>56</v>
      </c>
      <c r="F1213" t="s">
        <v>3777</v>
      </c>
      <c r="G1213" t="s">
        <v>3846</v>
      </c>
      <c r="H1213" t="s">
        <v>56</v>
      </c>
      <c r="I1213" t="s">
        <v>3847</v>
      </c>
      <c r="J1213" t="s">
        <v>56</v>
      </c>
      <c r="K1213" t="s">
        <v>640</v>
      </c>
      <c r="L1213" t="s">
        <v>56</v>
      </c>
      <c r="M1213" t="s">
        <v>56</v>
      </c>
      <c r="N1213" t="s">
        <v>331</v>
      </c>
      <c r="O1213" t="s">
        <v>902</v>
      </c>
      <c r="P1213" t="s">
        <v>903</v>
      </c>
      <c r="Q1213" t="s">
        <v>114</v>
      </c>
      <c r="R1213" t="s">
        <v>248</v>
      </c>
      <c r="S1213">
        <v>51128501</v>
      </c>
      <c r="T1213">
        <v>23205446.289999999</v>
      </c>
      <c r="U1213" t="s">
        <v>68</v>
      </c>
      <c r="V1213" t="s">
        <v>3630</v>
      </c>
      <c r="W1213" s="9">
        <v>60604088</v>
      </c>
      <c r="X1213" t="s">
        <v>3848</v>
      </c>
      <c r="Y1213" s="1">
        <v>46007</v>
      </c>
      <c r="Z1213" s="1">
        <v>46067</v>
      </c>
      <c r="AA1213" s="2">
        <v>62658</v>
      </c>
      <c r="AB1213" s="2">
        <v>53100</v>
      </c>
      <c r="AC1213" s="2">
        <v>9558</v>
      </c>
      <c r="AD1213" s="2">
        <v>62658</v>
      </c>
      <c r="AE1213" t="s">
        <v>3849</v>
      </c>
      <c r="AF1213" t="s">
        <v>72</v>
      </c>
      <c r="AG1213">
        <v>11</v>
      </c>
      <c r="AH1213" t="s">
        <v>73</v>
      </c>
      <c r="AI1213" t="s">
        <v>74</v>
      </c>
      <c r="AJ1213" t="s">
        <v>127</v>
      </c>
      <c r="AK1213" t="s">
        <v>334</v>
      </c>
      <c r="AL1213" t="s">
        <v>77</v>
      </c>
      <c r="AM1213" t="s">
        <v>78</v>
      </c>
      <c r="AN1213" t="s">
        <v>795</v>
      </c>
      <c r="AO1213" t="s">
        <v>80</v>
      </c>
      <c r="AP1213" t="s">
        <v>46</v>
      </c>
      <c r="AQ1213" t="s">
        <v>335</v>
      </c>
      <c r="AR1213" t="str">
        <f t="shared" si="36"/>
        <v>60604088.SPMINAM</v>
      </c>
      <c r="AS1213">
        <f t="shared" si="37"/>
        <v>2756259.4099999997</v>
      </c>
      <c r="AT1213" t="s">
        <v>82</v>
      </c>
    </row>
    <row r="1214" spans="1:46" x14ac:dyDescent="0.35">
      <c r="A1214" t="s">
        <v>52</v>
      </c>
      <c r="B1214" t="s">
        <v>53</v>
      </c>
      <c r="C1214" t="s">
        <v>54</v>
      </c>
      <c r="D1214" t="s">
        <v>55</v>
      </c>
      <c r="E1214" t="s">
        <v>56</v>
      </c>
      <c r="F1214" t="s">
        <v>3777</v>
      </c>
      <c r="G1214" t="s">
        <v>3850</v>
      </c>
      <c r="H1214" t="s">
        <v>56</v>
      </c>
      <c r="I1214" t="s">
        <v>3851</v>
      </c>
      <c r="J1214" t="s">
        <v>56</v>
      </c>
      <c r="K1214" t="s">
        <v>640</v>
      </c>
      <c r="L1214" t="s">
        <v>56</v>
      </c>
      <c r="M1214" t="s">
        <v>56</v>
      </c>
      <c r="N1214" t="s">
        <v>331</v>
      </c>
      <c r="O1214" t="s">
        <v>902</v>
      </c>
      <c r="P1214" t="s">
        <v>903</v>
      </c>
      <c r="Q1214" t="s">
        <v>114</v>
      </c>
      <c r="R1214" t="s">
        <v>248</v>
      </c>
      <c r="S1214">
        <v>51128501</v>
      </c>
      <c r="T1214">
        <v>23205446.289999999</v>
      </c>
      <c r="U1214" t="s">
        <v>68</v>
      </c>
      <c r="V1214" t="s">
        <v>3630</v>
      </c>
      <c r="W1214" s="9">
        <v>60604088</v>
      </c>
      <c r="X1214" t="s">
        <v>3852</v>
      </c>
      <c r="Y1214" s="1">
        <v>46007</v>
      </c>
      <c r="Z1214" s="1">
        <v>46067</v>
      </c>
      <c r="AA1214" s="2">
        <v>80905.52</v>
      </c>
      <c r="AB1214" s="2">
        <v>68564</v>
      </c>
      <c r="AC1214" s="2">
        <v>12341.52</v>
      </c>
      <c r="AD1214" s="2">
        <v>80905.52</v>
      </c>
      <c r="AE1214" t="s">
        <v>3853</v>
      </c>
      <c r="AF1214" t="s">
        <v>72</v>
      </c>
      <c r="AG1214">
        <v>11</v>
      </c>
      <c r="AH1214" t="s">
        <v>73</v>
      </c>
      <c r="AI1214" t="s">
        <v>74</v>
      </c>
      <c r="AJ1214" t="s">
        <v>127</v>
      </c>
      <c r="AK1214" t="s">
        <v>334</v>
      </c>
      <c r="AL1214" t="s">
        <v>77</v>
      </c>
      <c r="AM1214" t="s">
        <v>78</v>
      </c>
      <c r="AN1214" t="s">
        <v>795</v>
      </c>
      <c r="AO1214" t="s">
        <v>80</v>
      </c>
      <c r="AP1214" t="s">
        <v>46</v>
      </c>
      <c r="AQ1214" t="s">
        <v>335</v>
      </c>
      <c r="AR1214" t="str">
        <f t="shared" si="36"/>
        <v>60604088.SPMINAM</v>
      </c>
      <c r="AS1214">
        <f t="shared" si="37"/>
        <v>2756259.4099999997</v>
      </c>
      <c r="AT1214" t="s">
        <v>82</v>
      </c>
    </row>
    <row r="1215" spans="1:46" x14ac:dyDescent="0.35">
      <c r="A1215" t="s">
        <v>52</v>
      </c>
      <c r="B1215" t="s">
        <v>53</v>
      </c>
      <c r="C1215" t="s">
        <v>54</v>
      </c>
      <c r="D1215" t="s">
        <v>55</v>
      </c>
      <c r="E1215" t="s">
        <v>56</v>
      </c>
      <c r="F1215" t="s">
        <v>3777</v>
      </c>
      <c r="G1215" t="s">
        <v>3854</v>
      </c>
      <c r="H1215" t="s">
        <v>56</v>
      </c>
      <c r="I1215" t="s">
        <v>3855</v>
      </c>
      <c r="J1215" t="s">
        <v>56</v>
      </c>
      <c r="K1215" t="s">
        <v>640</v>
      </c>
      <c r="L1215" t="s">
        <v>56</v>
      </c>
      <c r="M1215" t="s">
        <v>56</v>
      </c>
      <c r="N1215" t="s">
        <v>331</v>
      </c>
      <c r="O1215" t="s">
        <v>902</v>
      </c>
      <c r="P1215" t="s">
        <v>903</v>
      </c>
      <c r="Q1215" t="s">
        <v>114</v>
      </c>
      <c r="R1215" t="s">
        <v>248</v>
      </c>
      <c r="S1215">
        <v>51128501</v>
      </c>
      <c r="T1215">
        <v>23205446.289999999</v>
      </c>
      <c r="U1215" t="s">
        <v>68</v>
      </c>
      <c r="V1215" t="s">
        <v>3630</v>
      </c>
      <c r="W1215" s="9">
        <v>60604088</v>
      </c>
      <c r="X1215" t="s">
        <v>3856</v>
      </c>
      <c r="Y1215" s="1">
        <v>46007</v>
      </c>
      <c r="Z1215" s="1">
        <v>46067</v>
      </c>
      <c r="AA1215" s="2">
        <v>129965.2</v>
      </c>
      <c r="AB1215" s="2">
        <v>110140</v>
      </c>
      <c r="AC1215" s="2">
        <v>19825.2</v>
      </c>
      <c r="AD1215" s="2">
        <v>129965.2</v>
      </c>
      <c r="AE1215" t="s">
        <v>3857</v>
      </c>
      <c r="AF1215" t="s">
        <v>72</v>
      </c>
      <c r="AG1215">
        <v>11</v>
      </c>
      <c r="AH1215" t="s">
        <v>73</v>
      </c>
      <c r="AI1215" t="s">
        <v>74</v>
      </c>
      <c r="AJ1215" t="s">
        <v>127</v>
      </c>
      <c r="AK1215" t="s">
        <v>334</v>
      </c>
      <c r="AL1215" t="s">
        <v>77</v>
      </c>
      <c r="AM1215" t="s">
        <v>78</v>
      </c>
      <c r="AN1215" t="s">
        <v>795</v>
      </c>
      <c r="AO1215" t="s">
        <v>80</v>
      </c>
      <c r="AP1215" t="s">
        <v>46</v>
      </c>
      <c r="AQ1215" t="s">
        <v>335</v>
      </c>
      <c r="AR1215" t="str">
        <f t="shared" si="36"/>
        <v>60604088.SPMINAM</v>
      </c>
      <c r="AS1215">
        <f t="shared" si="37"/>
        <v>2756259.4099999997</v>
      </c>
      <c r="AT1215" t="s">
        <v>82</v>
      </c>
    </row>
    <row r="1216" spans="1:46" x14ac:dyDescent="0.35">
      <c r="A1216" t="s">
        <v>52</v>
      </c>
      <c r="B1216" t="s">
        <v>53</v>
      </c>
      <c r="C1216" t="s">
        <v>54</v>
      </c>
      <c r="D1216" t="s">
        <v>55</v>
      </c>
      <c r="E1216" t="s">
        <v>56</v>
      </c>
      <c r="F1216" t="s">
        <v>3777</v>
      </c>
      <c r="G1216" t="s">
        <v>3858</v>
      </c>
      <c r="H1216" t="s">
        <v>56</v>
      </c>
      <c r="I1216" t="s">
        <v>3859</v>
      </c>
      <c r="J1216" t="s">
        <v>56</v>
      </c>
      <c r="K1216" t="s">
        <v>640</v>
      </c>
      <c r="L1216" t="s">
        <v>56</v>
      </c>
      <c r="M1216" t="s">
        <v>56</v>
      </c>
      <c r="N1216" t="s">
        <v>252</v>
      </c>
      <c r="O1216" t="s">
        <v>902</v>
      </c>
      <c r="P1216" t="s">
        <v>903</v>
      </c>
      <c r="Q1216" t="s">
        <v>114</v>
      </c>
      <c r="R1216" t="s">
        <v>248</v>
      </c>
      <c r="S1216">
        <v>51128501</v>
      </c>
      <c r="T1216">
        <v>23205446.289999999</v>
      </c>
      <c r="U1216" t="s">
        <v>68</v>
      </c>
      <c r="V1216" t="s">
        <v>3630</v>
      </c>
      <c r="W1216" s="9">
        <v>60604088</v>
      </c>
      <c r="X1216" t="s">
        <v>3860</v>
      </c>
      <c r="Y1216" s="1">
        <v>46007</v>
      </c>
      <c r="Z1216" s="1">
        <v>46067</v>
      </c>
      <c r="AA1216" s="2">
        <v>4279.8599999999997</v>
      </c>
      <c r="AB1216" s="2">
        <v>3627</v>
      </c>
      <c r="AC1216" s="2">
        <v>652.86</v>
      </c>
      <c r="AD1216" s="2">
        <v>4279.8599999999997</v>
      </c>
      <c r="AE1216" t="s">
        <v>3861</v>
      </c>
      <c r="AF1216" t="s">
        <v>72</v>
      </c>
      <c r="AG1216">
        <v>11</v>
      </c>
      <c r="AH1216" t="s">
        <v>73</v>
      </c>
      <c r="AI1216" t="s">
        <v>74</v>
      </c>
      <c r="AJ1216" t="s">
        <v>75</v>
      </c>
      <c r="AK1216" t="s">
        <v>76</v>
      </c>
      <c r="AL1216" t="s">
        <v>77</v>
      </c>
      <c r="AM1216" t="s">
        <v>78</v>
      </c>
      <c r="AN1216" t="s">
        <v>795</v>
      </c>
      <c r="AO1216" t="s">
        <v>80</v>
      </c>
      <c r="AP1216" t="s">
        <v>46</v>
      </c>
      <c r="AQ1216" t="s">
        <v>81</v>
      </c>
      <c r="AR1216" t="str">
        <f t="shared" si="36"/>
        <v>60604088.STATAM</v>
      </c>
      <c r="AS1216">
        <f t="shared" si="37"/>
        <v>17800327.649999999</v>
      </c>
      <c r="AT1216" t="s">
        <v>82</v>
      </c>
    </row>
    <row r="1217" spans="1:46" x14ac:dyDescent="0.35">
      <c r="A1217" t="s">
        <v>52</v>
      </c>
      <c r="B1217" t="s">
        <v>53</v>
      </c>
      <c r="C1217" t="s">
        <v>54</v>
      </c>
      <c r="D1217" t="s">
        <v>55</v>
      </c>
      <c r="E1217" t="s">
        <v>56</v>
      </c>
      <c r="F1217" t="s">
        <v>3777</v>
      </c>
      <c r="G1217" t="s">
        <v>3858</v>
      </c>
      <c r="H1217" t="s">
        <v>56</v>
      </c>
      <c r="I1217" t="s">
        <v>3859</v>
      </c>
      <c r="J1217" t="s">
        <v>56</v>
      </c>
      <c r="K1217" t="s">
        <v>640</v>
      </c>
      <c r="L1217" t="s">
        <v>56</v>
      </c>
      <c r="M1217" t="s">
        <v>56</v>
      </c>
      <c r="N1217" t="s">
        <v>1727</v>
      </c>
      <c r="O1217" t="s">
        <v>902</v>
      </c>
      <c r="P1217" t="s">
        <v>903</v>
      </c>
      <c r="Q1217" t="s">
        <v>114</v>
      </c>
      <c r="R1217" t="s">
        <v>248</v>
      </c>
      <c r="S1217">
        <v>51128501</v>
      </c>
      <c r="T1217">
        <v>23205446.289999999</v>
      </c>
      <c r="U1217" t="s">
        <v>68</v>
      </c>
      <c r="V1217" t="s">
        <v>3630</v>
      </c>
      <c r="W1217" s="9">
        <v>60604088</v>
      </c>
      <c r="X1217" t="s">
        <v>3860</v>
      </c>
      <c r="Y1217" s="1">
        <v>46007</v>
      </c>
      <c r="Z1217" s="1">
        <v>46067</v>
      </c>
      <c r="AA1217" s="2">
        <v>3152.96</v>
      </c>
      <c r="AB1217" s="2">
        <v>2672</v>
      </c>
      <c r="AC1217" s="2">
        <v>480.96</v>
      </c>
      <c r="AD1217" s="2">
        <v>3152.96</v>
      </c>
      <c r="AE1217" t="s">
        <v>3862</v>
      </c>
      <c r="AF1217" t="s">
        <v>72</v>
      </c>
      <c r="AG1217">
        <v>11</v>
      </c>
      <c r="AH1217" t="s">
        <v>73</v>
      </c>
      <c r="AI1217" t="s">
        <v>74</v>
      </c>
      <c r="AJ1217" t="s">
        <v>127</v>
      </c>
      <c r="AK1217" t="s">
        <v>334</v>
      </c>
      <c r="AL1217" t="s">
        <v>77</v>
      </c>
      <c r="AM1217" t="s">
        <v>78</v>
      </c>
      <c r="AN1217" t="s">
        <v>795</v>
      </c>
      <c r="AO1217" t="s">
        <v>80</v>
      </c>
      <c r="AP1217" t="s">
        <v>46</v>
      </c>
      <c r="AQ1217" t="s">
        <v>335</v>
      </c>
      <c r="AR1217" t="str">
        <f t="shared" si="36"/>
        <v>60604088.SPMINAM</v>
      </c>
      <c r="AS1217">
        <f t="shared" si="37"/>
        <v>2756259.4099999997</v>
      </c>
      <c r="AT1217" t="s">
        <v>82</v>
      </c>
    </row>
    <row r="1218" spans="1:46" x14ac:dyDescent="0.35">
      <c r="A1218" t="s">
        <v>52</v>
      </c>
      <c r="B1218" t="s">
        <v>53</v>
      </c>
      <c r="C1218" t="s">
        <v>54</v>
      </c>
      <c r="D1218" t="s">
        <v>55</v>
      </c>
      <c r="E1218" t="s">
        <v>56</v>
      </c>
      <c r="F1218" t="s">
        <v>3777</v>
      </c>
      <c r="G1218" t="s">
        <v>3858</v>
      </c>
      <c r="H1218" t="s">
        <v>56</v>
      </c>
      <c r="I1218" t="s">
        <v>3859</v>
      </c>
      <c r="J1218" t="s">
        <v>56</v>
      </c>
      <c r="K1218" t="s">
        <v>640</v>
      </c>
      <c r="L1218" t="s">
        <v>56</v>
      </c>
      <c r="M1218" t="s">
        <v>56</v>
      </c>
      <c r="N1218" t="s">
        <v>331</v>
      </c>
      <c r="O1218" t="s">
        <v>902</v>
      </c>
      <c r="P1218" t="s">
        <v>903</v>
      </c>
      <c r="Q1218" t="s">
        <v>114</v>
      </c>
      <c r="R1218" t="s">
        <v>248</v>
      </c>
      <c r="S1218">
        <v>51128501</v>
      </c>
      <c r="T1218">
        <v>23205446.289999999</v>
      </c>
      <c r="U1218" t="s">
        <v>68</v>
      </c>
      <c r="V1218" t="s">
        <v>3630</v>
      </c>
      <c r="W1218" s="9">
        <v>60604088</v>
      </c>
      <c r="X1218" t="s">
        <v>3860</v>
      </c>
      <c r="Y1218" s="1">
        <v>46007</v>
      </c>
      <c r="Z1218" s="1">
        <v>46067</v>
      </c>
      <c r="AA1218" s="2">
        <v>187584.6</v>
      </c>
      <c r="AB1218" s="2">
        <v>158970</v>
      </c>
      <c r="AC1218" s="2">
        <v>28614.6</v>
      </c>
      <c r="AD1218" s="2">
        <v>187584.6</v>
      </c>
      <c r="AE1218" t="s">
        <v>3863</v>
      </c>
      <c r="AF1218" t="s">
        <v>72</v>
      </c>
      <c r="AG1218">
        <v>11</v>
      </c>
      <c r="AH1218" t="s">
        <v>73</v>
      </c>
      <c r="AI1218" t="s">
        <v>74</v>
      </c>
      <c r="AJ1218" t="s">
        <v>127</v>
      </c>
      <c r="AK1218" t="s">
        <v>334</v>
      </c>
      <c r="AL1218" t="s">
        <v>77</v>
      </c>
      <c r="AM1218" t="s">
        <v>78</v>
      </c>
      <c r="AN1218" t="s">
        <v>795</v>
      </c>
      <c r="AO1218" t="s">
        <v>80</v>
      </c>
      <c r="AP1218" t="s">
        <v>46</v>
      </c>
      <c r="AQ1218" t="s">
        <v>335</v>
      </c>
      <c r="AR1218" t="str">
        <f t="shared" si="36"/>
        <v>60604088.SPMINAM</v>
      </c>
      <c r="AS1218">
        <f t="shared" si="37"/>
        <v>2756259.4099999997</v>
      </c>
      <c r="AT1218" t="s">
        <v>82</v>
      </c>
    </row>
    <row r="1219" spans="1:46" x14ac:dyDescent="0.35">
      <c r="A1219" t="s">
        <v>52</v>
      </c>
      <c r="B1219" t="s">
        <v>53</v>
      </c>
      <c r="C1219" t="s">
        <v>54</v>
      </c>
      <c r="D1219" t="s">
        <v>55</v>
      </c>
      <c r="E1219" t="s">
        <v>56</v>
      </c>
      <c r="F1219" t="s">
        <v>3777</v>
      </c>
      <c r="G1219" t="s">
        <v>3806</v>
      </c>
      <c r="H1219" t="s">
        <v>59</v>
      </c>
      <c r="I1219" t="s">
        <v>3807</v>
      </c>
      <c r="J1219" t="s">
        <v>56</v>
      </c>
      <c r="K1219" t="s">
        <v>640</v>
      </c>
      <c r="L1219" t="s">
        <v>56</v>
      </c>
      <c r="M1219" t="s">
        <v>56</v>
      </c>
      <c r="N1219" t="s">
        <v>63</v>
      </c>
      <c r="O1219" t="s">
        <v>902</v>
      </c>
      <c r="P1219" t="s">
        <v>903</v>
      </c>
      <c r="Q1219" t="s">
        <v>114</v>
      </c>
      <c r="R1219" t="s">
        <v>248</v>
      </c>
      <c r="S1219">
        <v>51128501</v>
      </c>
      <c r="T1219">
        <v>23205446.289999999</v>
      </c>
      <c r="U1219" t="s">
        <v>68</v>
      </c>
      <c r="V1219" t="s">
        <v>3630</v>
      </c>
      <c r="W1219" s="9">
        <v>60604088</v>
      </c>
      <c r="X1219" t="s">
        <v>3864</v>
      </c>
      <c r="Y1219" s="1">
        <v>46013</v>
      </c>
      <c r="Z1219" s="1">
        <v>46073</v>
      </c>
      <c r="AA1219" s="2">
        <v>821871.18</v>
      </c>
      <c r="AB1219" s="2">
        <v>696501</v>
      </c>
      <c r="AC1219" s="2">
        <v>125370.18</v>
      </c>
      <c r="AD1219" s="2">
        <v>821871.18</v>
      </c>
      <c r="AE1219" t="s">
        <v>3865</v>
      </c>
      <c r="AF1219" t="s">
        <v>72</v>
      </c>
      <c r="AG1219">
        <v>5</v>
      </c>
      <c r="AH1219" t="s">
        <v>73</v>
      </c>
      <c r="AI1219" t="s">
        <v>74</v>
      </c>
      <c r="AJ1219" t="s">
        <v>75</v>
      </c>
      <c r="AK1219" t="s">
        <v>76</v>
      </c>
      <c r="AL1219" t="s">
        <v>77</v>
      </c>
      <c r="AM1219" t="s">
        <v>78</v>
      </c>
      <c r="AN1219" t="s">
        <v>795</v>
      </c>
      <c r="AO1219" t="s">
        <v>80</v>
      </c>
      <c r="AP1219" t="s">
        <v>46</v>
      </c>
      <c r="AQ1219" t="s">
        <v>81</v>
      </c>
      <c r="AR1219" t="str">
        <f t="shared" si="36"/>
        <v>60604088.STATAM</v>
      </c>
      <c r="AS1219">
        <f t="shared" si="37"/>
        <v>17800327.649999999</v>
      </c>
      <c r="AT1219" t="s">
        <v>82</v>
      </c>
    </row>
    <row r="1220" spans="1:46" x14ac:dyDescent="0.35">
      <c r="A1220" t="s">
        <v>52</v>
      </c>
      <c r="B1220" t="s">
        <v>53</v>
      </c>
      <c r="C1220" t="s">
        <v>54</v>
      </c>
      <c r="D1220" t="s">
        <v>55</v>
      </c>
      <c r="E1220" t="s">
        <v>56</v>
      </c>
      <c r="F1220" t="s">
        <v>3777</v>
      </c>
      <c r="G1220" t="s">
        <v>3866</v>
      </c>
      <c r="H1220" t="s">
        <v>56</v>
      </c>
      <c r="I1220" t="s">
        <v>3867</v>
      </c>
      <c r="J1220" t="s">
        <v>56</v>
      </c>
      <c r="K1220" t="s">
        <v>640</v>
      </c>
      <c r="L1220" t="s">
        <v>56</v>
      </c>
      <c r="M1220" t="s">
        <v>56</v>
      </c>
      <c r="N1220" t="s">
        <v>331</v>
      </c>
      <c r="O1220" t="s">
        <v>902</v>
      </c>
      <c r="P1220" t="s">
        <v>903</v>
      </c>
      <c r="Q1220" t="s">
        <v>114</v>
      </c>
      <c r="R1220" t="s">
        <v>248</v>
      </c>
      <c r="S1220">
        <v>51128501</v>
      </c>
      <c r="T1220">
        <v>23205446.289999999</v>
      </c>
      <c r="U1220" t="s">
        <v>68</v>
      </c>
      <c r="V1220" t="s">
        <v>3630</v>
      </c>
      <c r="W1220" s="9">
        <v>60604088</v>
      </c>
      <c r="X1220" t="s">
        <v>3868</v>
      </c>
      <c r="Y1220" s="1">
        <v>46019</v>
      </c>
      <c r="Z1220" s="1">
        <v>46079</v>
      </c>
      <c r="AA1220" s="2">
        <v>11946.32</v>
      </c>
      <c r="AB1220" s="2">
        <v>10124</v>
      </c>
      <c r="AC1220" s="2">
        <v>1822.32</v>
      </c>
      <c r="AD1220" s="2">
        <v>11946.32</v>
      </c>
      <c r="AE1220" t="s">
        <v>3869</v>
      </c>
      <c r="AF1220" t="s">
        <v>72</v>
      </c>
      <c r="AG1220">
        <v>-1</v>
      </c>
      <c r="AH1220" t="s">
        <v>117</v>
      </c>
      <c r="AI1220" t="s">
        <v>74</v>
      </c>
      <c r="AJ1220" t="s">
        <v>127</v>
      </c>
      <c r="AK1220" t="s">
        <v>334</v>
      </c>
      <c r="AL1220" t="s">
        <v>77</v>
      </c>
      <c r="AM1220" t="s">
        <v>78</v>
      </c>
      <c r="AN1220" t="s">
        <v>795</v>
      </c>
      <c r="AO1220" t="s">
        <v>119</v>
      </c>
      <c r="AP1220" t="s">
        <v>46</v>
      </c>
      <c r="AQ1220" t="s">
        <v>335</v>
      </c>
      <c r="AR1220" t="str">
        <f t="shared" si="36"/>
        <v>60604088.SPMINAM</v>
      </c>
      <c r="AS1220">
        <f t="shared" si="37"/>
        <v>2756259.4099999997</v>
      </c>
      <c r="AT1220" t="s">
        <v>82</v>
      </c>
    </row>
    <row r="1221" spans="1:46" x14ac:dyDescent="0.35">
      <c r="A1221" t="s">
        <v>52</v>
      </c>
      <c r="B1221" t="s">
        <v>53</v>
      </c>
      <c r="C1221" t="s">
        <v>54</v>
      </c>
      <c r="D1221" t="s">
        <v>55</v>
      </c>
      <c r="E1221" t="s">
        <v>56</v>
      </c>
      <c r="F1221" t="s">
        <v>3777</v>
      </c>
      <c r="G1221" t="s">
        <v>3866</v>
      </c>
      <c r="H1221" t="s">
        <v>56</v>
      </c>
      <c r="I1221" t="s">
        <v>3867</v>
      </c>
      <c r="J1221" t="s">
        <v>56</v>
      </c>
      <c r="K1221" t="s">
        <v>640</v>
      </c>
      <c r="L1221" t="s">
        <v>56</v>
      </c>
      <c r="M1221" t="s">
        <v>56</v>
      </c>
      <c r="N1221" t="s">
        <v>252</v>
      </c>
      <c r="O1221" t="s">
        <v>902</v>
      </c>
      <c r="P1221" t="s">
        <v>903</v>
      </c>
      <c r="Q1221" t="s">
        <v>114</v>
      </c>
      <c r="R1221" t="s">
        <v>248</v>
      </c>
      <c r="S1221">
        <v>51128501</v>
      </c>
      <c r="T1221">
        <v>23205446.289999999</v>
      </c>
      <c r="U1221" t="s">
        <v>68</v>
      </c>
      <c r="V1221" t="s">
        <v>3630</v>
      </c>
      <c r="W1221" s="9">
        <v>60604088</v>
      </c>
      <c r="X1221" t="s">
        <v>3868</v>
      </c>
      <c r="Y1221" s="1">
        <v>46019</v>
      </c>
      <c r="Z1221" s="1">
        <v>46079</v>
      </c>
      <c r="AA1221" s="2">
        <v>11634.8</v>
      </c>
      <c r="AB1221" s="2">
        <v>9860</v>
      </c>
      <c r="AC1221" s="2">
        <v>1774.8</v>
      </c>
      <c r="AD1221" s="2">
        <v>11634.8</v>
      </c>
      <c r="AE1221" t="s">
        <v>3870</v>
      </c>
      <c r="AF1221" t="s">
        <v>72</v>
      </c>
      <c r="AG1221">
        <v>-1</v>
      </c>
      <c r="AH1221" t="s">
        <v>117</v>
      </c>
      <c r="AI1221" t="s">
        <v>74</v>
      </c>
      <c r="AJ1221" t="s">
        <v>75</v>
      </c>
      <c r="AK1221" t="s">
        <v>76</v>
      </c>
      <c r="AL1221" t="s">
        <v>77</v>
      </c>
      <c r="AM1221" t="s">
        <v>78</v>
      </c>
      <c r="AN1221" t="s">
        <v>795</v>
      </c>
      <c r="AO1221" t="s">
        <v>119</v>
      </c>
      <c r="AP1221" t="s">
        <v>46</v>
      </c>
      <c r="AQ1221" t="s">
        <v>81</v>
      </c>
      <c r="AR1221" t="str">
        <f t="shared" si="36"/>
        <v>60604088.STATAM</v>
      </c>
      <c r="AS1221">
        <f t="shared" si="37"/>
        <v>17800327.649999999</v>
      </c>
      <c r="AT1221" t="s">
        <v>82</v>
      </c>
    </row>
    <row r="1222" spans="1:46" x14ac:dyDescent="0.35">
      <c r="A1222" t="s">
        <v>52</v>
      </c>
      <c r="B1222" t="s">
        <v>53</v>
      </c>
      <c r="C1222" t="s">
        <v>54</v>
      </c>
      <c r="D1222" t="s">
        <v>55</v>
      </c>
      <c r="E1222" t="s">
        <v>56</v>
      </c>
      <c r="F1222" t="s">
        <v>3777</v>
      </c>
      <c r="G1222" t="s">
        <v>3866</v>
      </c>
      <c r="H1222" t="s">
        <v>56</v>
      </c>
      <c r="I1222" t="s">
        <v>3867</v>
      </c>
      <c r="J1222" t="s">
        <v>56</v>
      </c>
      <c r="K1222" t="s">
        <v>640</v>
      </c>
      <c r="L1222" t="s">
        <v>56</v>
      </c>
      <c r="M1222" t="s">
        <v>56</v>
      </c>
      <c r="N1222" t="s">
        <v>682</v>
      </c>
      <c r="O1222" t="s">
        <v>902</v>
      </c>
      <c r="P1222" t="s">
        <v>903</v>
      </c>
      <c r="Q1222" t="s">
        <v>114</v>
      </c>
      <c r="R1222" t="s">
        <v>248</v>
      </c>
      <c r="S1222">
        <v>51128501</v>
      </c>
      <c r="T1222">
        <v>23205446.289999999</v>
      </c>
      <c r="U1222" t="s">
        <v>68</v>
      </c>
      <c r="V1222" t="s">
        <v>3630</v>
      </c>
      <c r="W1222" s="9">
        <v>60604088</v>
      </c>
      <c r="X1222" t="s">
        <v>3868</v>
      </c>
      <c r="Y1222" s="1">
        <v>46019</v>
      </c>
      <c r="Z1222" s="1">
        <v>46079</v>
      </c>
      <c r="AA1222" s="2">
        <v>10504.36</v>
      </c>
      <c r="AB1222" s="2">
        <v>8902</v>
      </c>
      <c r="AC1222" s="2">
        <v>1602.36</v>
      </c>
      <c r="AD1222" s="2">
        <v>10504.36</v>
      </c>
      <c r="AE1222" t="s">
        <v>3871</v>
      </c>
      <c r="AF1222" t="s">
        <v>72</v>
      </c>
      <c r="AG1222">
        <v>-1</v>
      </c>
      <c r="AH1222" t="s">
        <v>117</v>
      </c>
      <c r="AI1222" t="s">
        <v>74</v>
      </c>
      <c r="AJ1222" t="s">
        <v>127</v>
      </c>
      <c r="AK1222" t="s">
        <v>334</v>
      </c>
      <c r="AL1222" t="s">
        <v>77</v>
      </c>
      <c r="AM1222" t="s">
        <v>78</v>
      </c>
      <c r="AN1222" t="s">
        <v>795</v>
      </c>
      <c r="AO1222" t="s">
        <v>119</v>
      </c>
      <c r="AP1222" t="s">
        <v>46</v>
      </c>
      <c r="AQ1222" t="s">
        <v>335</v>
      </c>
      <c r="AR1222" t="str">
        <f t="shared" si="36"/>
        <v>60604088.SPMINAM</v>
      </c>
      <c r="AS1222">
        <f t="shared" si="37"/>
        <v>2756259.4099999997</v>
      </c>
      <c r="AT1222" t="s">
        <v>82</v>
      </c>
    </row>
    <row r="1223" spans="1:46" x14ac:dyDescent="0.35">
      <c r="A1223" t="s">
        <v>52</v>
      </c>
      <c r="B1223" t="s">
        <v>53</v>
      </c>
      <c r="C1223" t="s">
        <v>54</v>
      </c>
      <c r="D1223" t="s">
        <v>55</v>
      </c>
      <c r="E1223" t="s">
        <v>56</v>
      </c>
      <c r="F1223" t="s">
        <v>3777</v>
      </c>
      <c r="G1223" t="s">
        <v>3872</v>
      </c>
      <c r="H1223" t="s">
        <v>56</v>
      </c>
      <c r="I1223" t="s">
        <v>3873</v>
      </c>
      <c r="J1223" t="s">
        <v>56</v>
      </c>
      <c r="K1223" t="s">
        <v>640</v>
      </c>
      <c r="L1223" t="s">
        <v>56</v>
      </c>
      <c r="M1223" t="s">
        <v>56</v>
      </c>
      <c r="N1223" t="s">
        <v>337</v>
      </c>
      <c r="O1223" t="s">
        <v>902</v>
      </c>
      <c r="P1223" t="s">
        <v>903</v>
      </c>
      <c r="Q1223" t="s">
        <v>114</v>
      </c>
      <c r="R1223" t="s">
        <v>248</v>
      </c>
      <c r="S1223">
        <v>51128501</v>
      </c>
      <c r="T1223">
        <v>23205446.289999999</v>
      </c>
      <c r="U1223" t="s">
        <v>68</v>
      </c>
      <c r="V1223" t="s">
        <v>3630</v>
      </c>
      <c r="W1223" s="9">
        <v>60604088</v>
      </c>
      <c r="X1223" t="s">
        <v>3874</v>
      </c>
      <c r="Y1223" s="1">
        <v>46024</v>
      </c>
      <c r="Z1223" s="1">
        <v>46084</v>
      </c>
      <c r="AA1223" s="2">
        <v>567929.28</v>
      </c>
      <c r="AB1223" s="2">
        <v>481296</v>
      </c>
      <c r="AC1223" s="2">
        <v>86633.279999999999</v>
      </c>
      <c r="AD1223" s="2">
        <v>567929.28</v>
      </c>
      <c r="AE1223" t="s">
        <v>3875</v>
      </c>
      <c r="AF1223" t="s">
        <v>72</v>
      </c>
      <c r="AG1223">
        <v>-6</v>
      </c>
      <c r="AH1223" t="s">
        <v>117</v>
      </c>
      <c r="AI1223" t="s">
        <v>74</v>
      </c>
      <c r="AJ1223" t="s">
        <v>127</v>
      </c>
      <c r="AK1223" t="s">
        <v>334</v>
      </c>
      <c r="AL1223" t="s">
        <v>118</v>
      </c>
      <c r="AM1223" t="s">
        <v>78</v>
      </c>
      <c r="AN1223" t="s">
        <v>795</v>
      </c>
      <c r="AO1223" t="s">
        <v>119</v>
      </c>
      <c r="AP1223" t="s">
        <v>46</v>
      </c>
      <c r="AQ1223" t="s">
        <v>335</v>
      </c>
      <c r="AR1223" t="str">
        <f t="shared" si="36"/>
        <v>60604088.SPMINAM</v>
      </c>
      <c r="AS1223">
        <f t="shared" si="37"/>
        <v>2756259.4099999997</v>
      </c>
      <c r="AT1223" t="s">
        <v>82</v>
      </c>
    </row>
    <row r="1224" spans="1:46" x14ac:dyDescent="0.35">
      <c r="A1224" t="s">
        <v>52</v>
      </c>
      <c r="B1224" t="s">
        <v>53</v>
      </c>
      <c r="C1224" t="s">
        <v>54</v>
      </c>
      <c r="D1224" t="s">
        <v>55</v>
      </c>
      <c r="E1224" t="s">
        <v>56</v>
      </c>
      <c r="F1224" t="s">
        <v>3777</v>
      </c>
      <c r="G1224" t="s">
        <v>3876</v>
      </c>
      <c r="H1224" t="s">
        <v>56</v>
      </c>
      <c r="I1224" t="s">
        <v>3877</v>
      </c>
      <c r="J1224" t="s">
        <v>56</v>
      </c>
      <c r="K1224" t="s">
        <v>640</v>
      </c>
      <c r="L1224" t="s">
        <v>56</v>
      </c>
      <c r="M1224" t="s">
        <v>56</v>
      </c>
      <c r="N1224" t="s">
        <v>337</v>
      </c>
      <c r="O1224" t="s">
        <v>902</v>
      </c>
      <c r="P1224" t="s">
        <v>903</v>
      </c>
      <c r="Q1224" t="s">
        <v>114</v>
      </c>
      <c r="R1224" t="s">
        <v>248</v>
      </c>
      <c r="S1224">
        <v>51128501</v>
      </c>
      <c r="T1224">
        <v>23205446.289999999</v>
      </c>
      <c r="U1224" t="s">
        <v>68</v>
      </c>
      <c r="V1224" t="s">
        <v>3630</v>
      </c>
      <c r="W1224" s="9">
        <v>60604088</v>
      </c>
      <c r="X1224" t="s">
        <v>3878</v>
      </c>
      <c r="Y1224" s="1">
        <v>46024</v>
      </c>
      <c r="Z1224" s="1">
        <v>46084</v>
      </c>
      <c r="AA1224" s="2">
        <v>47327.44</v>
      </c>
      <c r="AB1224" s="2">
        <v>40108</v>
      </c>
      <c r="AC1224" s="2">
        <v>7219.44</v>
      </c>
      <c r="AD1224" s="2">
        <v>47327.44</v>
      </c>
      <c r="AE1224" t="s">
        <v>3879</v>
      </c>
      <c r="AF1224" t="s">
        <v>72</v>
      </c>
      <c r="AG1224">
        <v>-6</v>
      </c>
      <c r="AH1224" t="s">
        <v>117</v>
      </c>
      <c r="AI1224" t="s">
        <v>74</v>
      </c>
      <c r="AJ1224" t="s">
        <v>127</v>
      </c>
      <c r="AK1224" t="s">
        <v>334</v>
      </c>
      <c r="AL1224" t="s">
        <v>118</v>
      </c>
      <c r="AM1224" t="s">
        <v>78</v>
      </c>
      <c r="AN1224" t="s">
        <v>795</v>
      </c>
      <c r="AO1224" t="s">
        <v>119</v>
      </c>
      <c r="AP1224" t="s">
        <v>46</v>
      </c>
      <c r="AQ1224" t="s">
        <v>335</v>
      </c>
      <c r="AR1224" t="str">
        <f t="shared" ref="AR1224:AR1287" si="38">W1224&amp;"."&amp;AQ1224</f>
        <v>60604088.SPMINAM</v>
      </c>
      <c r="AS1224">
        <f t="shared" ref="AS1224:AS1287" si="39">SUMIFS(AD:AD,AQ:AQ,AQ1224,W:W,W1224)</f>
        <v>2756259.4099999997</v>
      </c>
      <c r="AT1224" t="s">
        <v>82</v>
      </c>
    </row>
    <row r="1225" spans="1:46" x14ac:dyDescent="0.35">
      <c r="A1225" t="s">
        <v>52</v>
      </c>
      <c r="B1225" t="s">
        <v>53</v>
      </c>
      <c r="C1225" t="s">
        <v>54</v>
      </c>
      <c r="D1225" t="s">
        <v>55</v>
      </c>
      <c r="E1225" t="s">
        <v>56</v>
      </c>
      <c r="F1225" t="s">
        <v>3777</v>
      </c>
      <c r="G1225" t="s">
        <v>3806</v>
      </c>
      <c r="H1225" t="s">
        <v>59</v>
      </c>
      <c r="I1225" t="s">
        <v>3807</v>
      </c>
      <c r="J1225" t="s">
        <v>56</v>
      </c>
      <c r="K1225" t="s">
        <v>640</v>
      </c>
      <c r="L1225" t="s">
        <v>56</v>
      </c>
      <c r="M1225" t="s">
        <v>56</v>
      </c>
      <c r="N1225" t="s">
        <v>63</v>
      </c>
      <c r="O1225" t="s">
        <v>902</v>
      </c>
      <c r="P1225" t="s">
        <v>903</v>
      </c>
      <c r="Q1225" t="s">
        <v>114</v>
      </c>
      <c r="R1225" t="s">
        <v>248</v>
      </c>
      <c r="S1225">
        <v>51128501</v>
      </c>
      <c r="T1225">
        <v>23205446.289999999</v>
      </c>
      <c r="U1225" t="s">
        <v>68</v>
      </c>
      <c r="V1225" t="s">
        <v>3630</v>
      </c>
      <c r="W1225" s="9">
        <v>60604088</v>
      </c>
      <c r="X1225" t="s">
        <v>3880</v>
      </c>
      <c r="Y1225" s="1">
        <v>46057</v>
      </c>
      <c r="Z1225" s="1">
        <v>46117</v>
      </c>
      <c r="AA1225" s="2">
        <v>821871.18</v>
      </c>
      <c r="AB1225" s="2">
        <v>696501</v>
      </c>
      <c r="AC1225" s="2">
        <v>125370.18</v>
      </c>
      <c r="AD1225" s="2">
        <v>821871.18</v>
      </c>
      <c r="AE1225" t="s">
        <v>3881</v>
      </c>
      <c r="AF1225" t="s">
        <v>72</v>
      </c>
      <c r="AG1225">
        <v>-39</v>
      </c>
      <c r="AH1225" t="s">
        <v>117</v>
      </c>
      <c r="AI1225" t="s">
        <v>74</v>
      </c>
      <c r="AJ1225" t="s">
        <v>75</v>
      </c>
      <c r="AK1225" t="s">
        <v>76</v>
      </c>
      <c r="AL1225" t="s">
        <v>118</v>
      </c>
      <c r="AM1225" t="s">
        <v>78</v>
      </c>
      <c r="AN1225" t="s">
        <v>795</v>
      </c>
      <c r="AO1225" t="s">
        <v>119</v>
      </c>
      <c r="AP1225" t="s">
        <v>46</v>
      </c>
      <c r="AQ1225" t="s">
        <v>81</v>
      </c>
      <c r="AR1225" t="str">
        <f t="shared" si="38"/>
        <v>60604088.STATAM</v>
      </c>
      <c r="AS1225">
        <f t="shared" si="39"/>
        <v>17800327.649999999</v>
      </c>
      <c r="AT1225" t="s">
        <v>82</v>
      </c>
    </row>
    <row r="1226" spans="1:46" x14ac:dyDescent="0.35">
      <c r="A1226" t="s">
        <v>52</v>
      </c>
      <c r="B1226" t="s">
        <v>53</v>
      </c>
      <c r="C1226" t="s">
        <v>54</v>
      </c>
      <c r="D1226" t="s">
        <v>55</v>
      </c>
      <c r="E1226" t="s">
        <v>56</v>
      </c>
      <c r="F1226" t="s">
        <v>3777</v>
      </c>
      <c r="G1226" t="s">
        <v>3882</v>
      </c>
      <c r="H1226" t="s">
        <v>59</v>
      </c>
      <c r="I1226" t="s">
        <v>3883</v>
      </c>
      <c r="J1226" t="s">
        <v>56</v>
      </c>
      <c r="K1226" t="s">
        <v>640</v>
      </c>
      <c r="L1226" t="s">
        <v>56</v>
      </c>
      <c r="M1226" t="s">
        <v>56</v>
      </c>
      <c r="N1226" t="s">
        <v>63</v>
      </c>
      <c r="O1226" t="s">
        <v>3749</v>
      </c>
      <c r="P1226" t="s">
        <v>3750</v>
      </c>
      <c r="Q1226" t="s">
        <v>3884</v>
      </c>
      <c r="R1226" t="s">
        <v>248</v>
      </c>
      <c r="S1226">
        <v>51128501</v>
      </c>
      <c r="T1226">
        <v>23205446.289999999</v>
      </c>
      <c r="U1226" t="s">
        <v>68</v>
      </c>
      <c r="V1226" t="s">
        <v>3630</v>
      </c>
      <c r="W1226" s="9">
        <v>60604088</v>
      </c>
      <c r="X1226" t="s">
        <v>3885</v>
      </c>
      <c r="Y1226" s="1">
        <v>46066</v>
      </c>
      <c r="Z1226" s="1">
        <v>46126</v>
      </c>
      <c r="AA1226" s="2">
        <v>5986721.5800000001</v>
      </c>
      <c r="AB1226" s="2">
        <v>5073492.8600000003</v>
      </c>
      <c r="AC1226" s="2">
        <v>913228.72</v>
      </c>
      <c r="AD1226" s="2">
        <v>5986721.5800000001</v>
      </c>
      <c r="AE1226" t="s">
        <v>3886</v>
      </c>
      <c r="AF1226" t="s">
        <v>72</v>
      </c>
      <c r="AG1226">
        <v>-48</v>
      </c>
      <c r="AH1226" t="s">
        <v>117</v>
      </c>
      <c r="AI1226" t="s">
        <v>74</v>
      </c>
      <c r="AJ1226" t="s">
        <v>75</v>
      </c>
      <c r="AK1226" t="s">
        <v>76</v>
      </c>
      <c r="AL1226" t="s">
        <v>118</v>
      </c>
      <c r="AM1226" t="s">
        <v>78</v>
      </c>
      <c r="AN1226" t="s">
        <v>795</v>
      </c>
      <c r="AO1226" t="s">
        <v>119</v>
      </c>
      <c r="AP1226" t="s">
        <v>46</v>
      </c>
      <c r="AQ1226" t="s">
        <v>81</v>
      </c>
      <c r="AR1226" t="str">
        <f t="shared" si="38"/>
        <v>60604088.STATAM</v>
      </c>
      <c r="AS1226">
        <f t="shared" si="39"/>
        <v>17800327.649999999</v>
      </c>
      <c r="AT1226" t="s">
        <v>82</v>
      </c>
    </row>
    <row r="1227" spans="1:46" x14ac:dyDescent="0.35">
      <c r="A1227" t="s">
        <v>52</v>
      </c>
      <c r="B1227" t="s">
        <v>53</v>
      </c>
      <c r="C1227" t="s">
        <v>54</v>
      </c>
      <c r="D1227" t="s">
        <v>55</v>
      </c>
      <c r="E1227" t="s">
        <v>56</v>
      </c>
      <c r="F1227" t="s">
        <v>3777</v>
      </c>
      <c r="G1227" t="s">
        <v>3887</v>
      </c>
      <c r="H1227" t="s">
        <v>59</v>
      </c>
      <c r="I1227" t="s">
        <v>3888</v>
      </c>
      <c r="J1227" t="s">
        <v>61</v>
      </c>
      <c r="K1227" t="s">
        <v>640</v>
      </c>
      <c r="L1227" t="s">
        <v>56</v>
      </c>
      <c r="M1227" t="s">
        <v>56</v>
      </c>
      <c r="N1227" t="s">
        <v>63</v>
      </c>
      <c r="O1227" t="s">
        <v>3749</v>
      </c>
      <c r="P1227" t="s">
        <v>3750</v>
      </c>
      <c r="Q1227" t="s">
        <v>3889</v>
      </c>
      <c r="R1227" t="s">
        <v>248</v>
      </c>
      <c r="S1227">
        <v>51128501</v>
      </c>
      <c r="T1227">
        <v>23205446.289999999</v>
      </c>
      <c r="U1227" t="s">
        <v>68</v>
      </c>
      <c r="V1227" t="s">
        <v>3630</v>
      </c>
      <c r="W1227" s="9">
        <v>60604088</v>
      </c>
      <c r="X1227" t="s">
        <v>3890</v>
      </c>
      <c r="Y1227" s="1">
        <v>46066</v>
      </c>
      <c r="Z1227" s="1">
        <v>46126</v>
      </c>
      <c r="AA1227" s="2">
        <v>5608831.1600000001</v>
      </c>
      <c r="AB1227" s="2">
        <v>4753246.74</v>
      </c>
      <c r="AC1227" s="2">
        <v>855584.42</v>
      </c>
      <c r="AD1227" s="2">
        <v>5608831.1600000001</v>
      </c>
      <c r="AE1227" t="s">
        <v>3891</v>
      </c>
      <c r="AF1227" t="s">
        <v>72</v>
      </c>
      <c r="AG1227">
        <v>-48</v>
      </c>
      <c r="AH1227" t="s">
        <v>117</v>
      </c>
      <c r="AI1227" t="s">
        <v>74</v>
      </c>
      <c r="AJ1227" t="s">
        <v>75</v>
      </c>
      <c r="AK1227" t="s">
        <v>76</v>
      </c>
      <c r="AL1227" t="s">
        <v>118</v>
      </c>
      <c r="AM1227" t="s">
        <v>78</v>
      </c>
      <c r="AN1227" t="s">
        <v>795</v>
      </c>
      <c r="AO1227" t="s">
        <v>119</v>
      </c>
      <c r="AP1227" t="s">
        <v>46</v>
      </c>
      <c r="AQ1227" t="s">
        <v>81</v>
      </c>
      <c r="AR1227" t="str">
        <f t="shared" si="38"/>
        <v>60604088.STATAM</v>
      </c>
      <c r="AS1227">
        <f t="shared" si="39"/>
        <v>17800327.649999999</v>
      </c>
      <c r="AT1227" t="s">
        <v>82</v>
      </c>
    </row>
    <row r="1228" spans="1:46" x14ac:dyDescent="0.35">
      <c r="A1228" t="s">
        <v>52</v>
      </c>
      <c r="B1228" t="s">
        <v>53</v>
      </c>
      <c r="C1228" t="s">
        <v>1223</v>
      </c>
      <c r="D1228" t="s">
        <v>55</v>
      </c>
      <c r="E1228" t="s">
        <v>56</v>
      </c>
      <c r="F1228" t="s">
        <v>3892</v>
      </c>
      <c r="G1228" t="s">
        <v>3893</v>
      </c>
      <c r="H1228" t="s">
        <v>403</v>
      </c>
      <c r="I1228" t="s">
        <v>3894</v>
      </c>
      <c r="J1228" t="s">
        <v>61</v>
      </c>
      <c r="K1228" t="s">
        <v>62</v>
      </c>
      <c r="L1228" t="s">
        <v>56</v>
      </c>
      <c r="M1228" t="s">
        <v>56</v>
      </c>
      <c r="N1228" t="s">
        <v>405</v>
      </c>
      <c r="O1228" t="s">
        <v>974</v>
      </c>
      <c r="P1228" t="s">
        <v>975</v>
      </c>
      <c r="Q1228" t="s">
        <v>114</v>
      </c>
      <c r="R1228" t="s">
        <v>88</v>
      </c>
      <c r="T1228">
        <v>-1353460</v>
      </c>
      <c r="U1228" t="s">
        <v>68</v>
      </c>
      <c r="V1228" t="s">
        <v>3895</v>
      </c>
      <c r="W1228" s="9">
        <v>60600240</v>
      </c>
      <c r="X1228" t="s">
        <v>3896</v>
      </c>
      <c r="Y1228" s="1">
        <v>45832</v>
      </c>
      <c r="Z1228" s="1">
        <v>45832</v>
      </c>
      <c r="AA1228" s="2">
        <v>1200650</v>
      </c>
      <c r="AB1228" s="2">
        <v>1017500</v>
      </c>
      <c r="AC1228" s="2">
        <v>183150</v>
      </c>
      <c r="AD1228" s="2">
        <v>1200650</v>
      </c>
      <c r="AE1228" t="s">
        <v>3897</v>
      </c>
      <c r="AF1228" t="s">
        <v>72</v>
      </c>
      <c r="AG1228">
        <v>246</v>
      </c>
      <c r="AH1228" t="s">
        <v>101</v>
      </c>
      <c r="AI1228" t="s">
        <v>74</v>
      </c>
      <c r="AJ1228" t="s">
        <v>75</v>
      </c>
      <c r="AK1228" t="s">
        <v>76</v>
      </c>
      <c r="AL1228" t="s">
        <v>77</v>
      </c>
      <c r="AM1228" t="s">
        <v>78</v>
      </c>
      <c r="AN1228" t="s">
        <v>979</v>
      </c>
      <c r="AO1228" t="s">
        <v>80</v>
      </c>
      <c r="AP1228" t="e">
        <v>#N/A</v>
      </c>
      <c r="AQ1228" t="s">
        <v>81</v>
      </c>
      <c r="AR1228" t="str">
        <f t="shared" si="38"/>
        <v>60600240.STATAM</v>
      </c>
      <c r="AS1228">
        <f t="shared" si="39"/>
        <v>1353460</v>
      </c>
      <c r="AT1228" t="s">
        <v>82</v>
      </c>
    </row>
    <row r="1229" spans="1:46" x14ac:dyDescent="0.35">
      <c r="A1229" t="s">
        <v>52</v>
      </c>
      <c r="B1229" t="s">
        <v>53</v>
      </c>
      <c r="C1229" t="s">
        <v>1223</v>
      </c>
      <c r="D1229" t="s">
        <v>55</v>
      </c>
      <c r="E1229" t="s">
        <v>56</v>
      </c>
      <c r="F1229" t="s">
        <v>3892</v>
      </c>
      <c r="G1229" t="s">
        <v>3893</v>
      </c>
      <c r="H1229" t="s">
        <v>403</v>
      </c>
      <c r="I1229" t="s">
        <v>3894</v>
      </c>
      <c r="J1229" t="s">
        <v>61</v>
      </c>
      <c r="K1229" t="s">
        <v>62</v>
      </c>
      <c r="L1229" t="s">
        <v>56</v>
      </c>
      <c r="M1229" t="s">
        <v>56</v>
      </c>
      <c r="N1229" t="s">
        <v>405</v>
      </c>
      <c r="O1229" t="s">
        <v>974</v>
      </c>
      <c r="P1229" t="s">
        <v>975</v>
      </c>
      <c r="Q1229" t="s">
        <v>114</v>
      </c>
      <c r="R1229" t="s">
        <v>88</v>
      </c>
      <c r="T1229">
        <v>-1353460</v>
      </c>
      <c r="U1229" t="s">
        <v>68</v>
      </c>
      <c r="V1229" t="s">
        <v>3895</v>
      </c>
      <c r="W1229" s="9">
        <v>60600240</v>
      </c>
      <c r="X1229" t="s">
        <v>3898</v>
      </c>
      <c r="Y1229" s="1">
        <v>45894</v>
      </c>
      <c r="Z1229" s="1">
        <v>45894</v>
      </c>
      <c r="AA1229" s="2">
        <v>152810</v>
      </c>
      <c r="AB1229" s="2">
        <v>129500</v>
      </c>
      <c r="AC1229" s="2">
        <v>23310</v>
      </c>
      <c r="AD1229" s="2">
        <v>152810</v>
      </c>
      <c r="AE1229" t="s">
        <v>3899</v>
      </c>
      <c r="AF1229" t="s">
        <v>72</v>
      </c>
      <c r="AG1229">
        <v>184</v>
      </c>
      <c r="AH1229" t="s">
        <v>101</v>
      </c>
      <c r="AI1229" t="s">
        <v>74</v>
      </c>
      <c r="AJ1229" t="s">
        <v>75</v>
      </c>
      <c r="AK1229" t="s">
        <v>76</v>
      </c>
      <c r="AL1229" t="s">
        <v>77</v>
      </c>
      <c r="AM1229" t="s">
        <v>78</v>
      </c>
      <c r="AN1229" t="s">
        <v>979</v>
      </c>
      <c r="AO1229" t="s">
        <v>80</v>
      </c>
      <c r="AP1229" t="e">
        <v>#N/A</v>
      </c>
      <c r="AQ1229" t="s">
        <v>81</v>
      </c>
      <c r="AR1229" t="str">
        <f t="shared" si="38"/>
        <v>60600240.STATAM</v>
      </c>
      <c r="AS1229">
        <f t="shared" si="39"/>
        <v>1353460</v>
      </c>
      <c r="AT1229" t="s">
        <v>82</v>
      </c>
    </row>
    <row r="1230" spans="1:46" x14ac:dyDescent="0.35">
      <c r="A1230" t="s">
        <v>52</v>
      </c>
      <c r="B1230" t="s">
        <v>53</v>
      </c>
      <c r="C1230" t="s">
        <v>54</v>
      </c>
      <c r="D1230" t="s">
        <v>55</v>
      </c>
      <c r="E1230" t="s">
        <v>56</v>
      </c>
      <c r="F1230" t="s">
        <v>3900</v>
      </c>
      <c r="G1230" t="s">
        <v>3901</v>
      </c>
      <c r="H1230" t="s">
        <v>111</v>
      </c>
      <c r="I1230" t="s">
        <v>3902</v>
      </c>
      <c r="J1230" t="s">
        <v>56</v>
      </c>
      <c r="K1230" t="s">
        <v>62</v>
      </c>
      <c r="L1230" t="s">
        <v>56</v>
      </c>
      <c r="M1230" t="s">
        <v>56</v>
      </c>
      <c r="N1230" t="s">
        <v>3903</v>
      </c>
      <c r="O1230" t="s">
        <v>3904</v>
      </c>
      <c r="P1230" t="s">
        <v>3905</v>
      </c>
      <c r="Q1230" t="s">
        <v>114</v>
      </c>
      <c r="R1230" t="s">
        <v>67</v>
      </c>
      <c r="S1230">
        <v>250000000</v>
      </c>
      <c r="T1230">
        <v>159417758.06</v>
      </c>
      <c r="U1230" t="s">
        <v>68</v>
      </c>
      <c r="V1230" t="s">
        <v>3895</v>
      </c>
      <c r="W1230" s="9">
        <v>60604034</v>
      </c>
      <c r="X1230" t="s">
        <v>3906</v>
      </c>
      <c r="Y1230" s="1">
        <v>45103</v>
      </c>
      <c r="Z1230" s="1">
        <v>45133</v>
      </c>
      <c r="AA1230" s="2">
        <v>3893644.82</v>
      </c>
      <c r="AB1230" s="2">
        <v>3299699</v>
      </c>
      <c r="AC1230" s="2">
        <v>593945.81999999995</v>
      </c>
      <c r="AD1230" s="2">
        <v>332609.65999999997</v>
      </c>
      <c r="AE1230" t="s">
        <v>3907</v>
      </c>
      <c r="AF1230" t="s">
        <v>72</v>
      </c>
      <c r="AG1230">
        <v>945</v>
      </c>
      <c r="AH1230" t="s">
        <v>473</v>
      </c>
      <c r="AI1230" t="s">
        <v>74</v>
      </c>
      <c r="AJ1230" t="s">
        <v>75</v>
      </c>
      <c r="AK1230" t="s">
        <v>102</v>
      </c>
      <c r="AL1230" t="s">
        <v>77</v>
      </c>
      <c r="AM1230" t="s">
        <v>103</v>
      </c>
      <c r="AN1230" t="s">
        <v>738</v>
      </c>
      <c r="AO1230" t="s">
        <v>80</v>
      </c>
      <c r="AP1230" t="e">
        <v>#N/A</v>
      </c>
      <c r="AQ1230" t="s">
        <v>105</v>
      </c>
      <c r="AR1230" t="str">
        <f t="shared" si="38"/>
        <v>60604034.STATEQ</v>
      </c>
      <c r="AS1230">
        <f t="shared" si="39"/>
        <v>11913495.539999997</v>
      </c>
      <c r="AT1230" t="s">
        <v>82</v>
      </c>
    </row>
    <row r="1231" spans="1:46" x14ac:dyDescent="0.35">
      <c r="A1231" t="s">
        <v>52</v>
      </c>
      <c r="B1231" t="s">
        <v>53</v>
      </c>
      <c r="C1231" t="s">
        <v>54</v>
      </c>
      <c r="D1231" t="s">
        <v>55</v>
      </c>
      <c r="E1231" t="s">
        <v>56</v>
      </c>
      <c r="F1231" t="s">
        <v>3900</v>
      </c>
      <c r="G1231" t="s">
        <v>3901</v>
      </c>
      <c r="H1231" t="s">
        <v>111</v>
      </c>
      <c r="I1231" t="s">
        <v>3908</v>
      </c>
      <c r="J1231" t="s">
        <v>56</v>
      </c>
      <c r="K1231" t="s">
        <v>62</v>
      </c>
      <c r="L1231" t="s">
        <v>56</v>
      </c>
      <c r="M1231" t="s">
        <v>56</v>
      </c>
      <c r="N1231" t="s">
        <v>3903</v>
      </c>
      <c r="O1231" t="s">
        <v>3904</v>
      </c>
      <c r="P1231" t="s">
        <v>3905</v>
      </c>
      <c r="Q1231" t="s">
        <v>114</v>
      </c>
      <c r="R1231" t="s">
        <v>67</v>
      </c>
      <c r="S1231">
        <v>250000000</v>
      </c>
      <c r="T1231">
        <v>159417758.06</v>
      </c>
      <c r="U1231" t="s">
        <v>68</v>
      </c>
      <c r="V1231" t="s">
        <v>3895</v>
      </c>
      <c r="W1231" s="9">
        <v>60604034</v>
      </c>
      <c r="X1231" t="s">
        <v>3909</v>
      </c>
      <c r="Y1231" s="1">
        <v>45103</v>
      </c>
      <c r="Z1231" s="1">
        <v>45133</v>
      </c>
      <c r="AA1231" s="2">
        <v>3893644.82</v>
      </c>
      <c r="AB1231" s="2">
        <v>3299699</v>
      </c>
      <c r="AC1231" s="2">
        <v>593945.81999999995</v>
      </c>
      <c r="AD1231" s="2">
        <v>2639.66</v>
      </c>
      <c r="AE1231" t="s">
        <v>3910</v>
      </c>
      <c r="AF1231" t="s">
        <v>72</v>
      </c>
      <c r="AG1231">
        <v>945</v>
      </c>
      <c r="AH1231" t="s">
        <v>473</v>
      </c>
      <c r="AI1231" t="s">
        <v>74</v>
      </c>
      <c r="AJ1231" t="s">
        <v>75</v>
      </c>
      <c r="AK1231" t="s">
        <v>102</v>
      </c>
      <c r="AL1231" t="s">
        <v>77</v>
      </c>
      <c r="AM1231" t="s">
        <v>103</v>
      </c>
      <c r="AN1231" t="s">
        <v>738</v>
      </c>
      <c r="AO1231" t="s">
        <v>80</v>
      </c>
      <c r="AP1231" t="e">
        <v>#N/A</v>
      </c>
      <c r="AQ1231" t="s">
        <v>105</v>
      </c>
      <c r="AR1231" t="str">
        <f t="shared" si="38"/>
        <v>60604034.STATEQ</v>
      </c>
      <c r="AS1231">
        <f t="shared" si="39"/>
        <v>11913495.539999997</v>
      </c>
      <c r="AT1231" t="s">
        <v>82</v>
      </c>
    </row>
    <row r="1232" spans="1:46" x14ac:dyDescent="0.35">
      <c r="A1232" t="s">
        <v>52</v>
      </c>
      <c r="B1232" t="s">
        <v>53</v>
      </c>
      <c r="C1232" t="s">
        <v>54</v>
      </c>
      <c r="D1232" t="s">
        <v>55</v>
      </c>
      <c r="E1232" t="s">
        <v>56</v>
      </c>
      <c r="F1232" t="s">
        <v>3900</v>
      </c>
      <c r="G1232" t="s">
        <v>3901</v>
      </c>
      <c r="H1232" t="s">
        <v>111</v>
      </c>
      <c r="I1232" t="s">
        <v>3911</v>
      </c>
      <c r="J1232" t="s">
        <v>56</v>
      </c>
      <c r="K1232" t="s">
        <v>62</v>
      </c>
      <c r="L1232" t="s">
        <v>56</v>
      </c>
      <c r="M1232" t="s">
        <v>56</v>
      </c>
      <c r="N1232" t="s">
        <v>3912</v>
      </c>
      <c r="O1232" t="s">
        <v>3904</v>
      </c>
      <c r="P1232" t="s">
        <v>3905</v>
      </c>
      <c r="Q1232" t="s">
        <v>114</v>
      </c>
      <c r="R1232" t="s">
        <v>67</v>
      </c>
      <c r="S1232">
        <v>250000000</v>
      </c>
      <c r="T1232">
        <v>159417758.06</v>
      </c>
      <c r="U1232" t="s">
        <v>68</v>
      </c>
      <c r="V1232" t="s">
        <v>3895</v>
      </c>
      <c r="W1232" s="9">
        <v>60604034</v>
      </c>
      <c r="X1232" t="s">
        <v>3913</v>
      </c>
      <c r="Y1232" s="1">
        <v>45103</v>
      </c>
      <c r="Z1232" s="1">
        <v>45133</v>
      </c>
      <c r="AA1232" s="2">
        <v>5762043.8399999999</v>
      </c>
      <c r="AB1232" s="2">
        <v>4883088</v>
      </c>
      <c r="AC1232" s="2">
        <v>878955.84</v>
      </c>
      <c r="AD1232" s="2">
        <v>3906.27</v>
      </c>
      <c r="AE1232" t="s">
        <v>3914</v>
      </c>
      <c r="AF1232" t="s">
        <v>72</v>
      </c>
      <c r="AG1232">
        <v>945</v>
      </c>
      <c r="AH1232" t="s">
        <v>473</v>
      </c>
      <c r="AI1232" t="s">
        <v>74</v>
      </c>
      <c r="AJ1232" t="s">
        <v>75</v>
      </c>
      <c r="AK1232" t="s">
        <v>102</v>
      </c>
      <c r="AL1232" t="s">
        <v>77</v>
      </c>
      <c r="AM1232" t="s">
        <v>103</v>
      </c>
      <c r="AN1232" t="s">
        <v>738</v>
      </c>
      <c r="AO1232" t="s">
        <v>80</v>
      </c>
      <c r="AP1232" t="e">
        <v>#N/A</v>
      </c>
      <c r="AQ1232" t="s">
        <v>105</v>
      </c>
      <c r="AR1232" t="str">
        <f t="shared" si="38"/>
        <v>60604034.STATEQ</v>
      </c>
      <c r="AS1232">
        <f t="shared" si="39"/>
        <v>11913495.539999997</v>
      </c>
      <c r="AT1232" t="s">
        <v>82</v>
      </c>
    </row>
    <row r="1233" spans="1:46" x14ac:dyDescent="0.35">
      <c r="A1233" t="s">
        <v>52</v>
      </c>
      <c r="B1233" t="s">
        <v>53</v>
      </c>
      <c r="C1233" t="s">
        <v>54</v>
      </c>
      <c r="D1233" t="s">
        <v>55</v>
      </c>
      <c r="E1233" t="s">
        <v>56</v>
      </c>
      <c r="F1233" t="s">
        <v>3900</v>
      </c>
      <c r="G1233" t="s">
        <v>3901</v>
      </c>
      <c r="H1233" t="s">
        <v>111</v>
      </c>
      <c r="I1233" t="s">
        <v>3915</v>
      </c>
      <c r="J1233" t="s">
        <v>56</v>
      </c>
      <c r="K1233" t="s">
        <v>62</v>
      </c>
      <c r="L1233" t="s">
        <v>56</v>
      </c>
      <c r="M1233" t="s">
        <v>56</v>
      </c>
      <c r="N1233" t="s">
        <v>3912</v>
      </c>
      <c r="O1233" t="s">
        <v>3904</v>
      </c>
      <c r="P1233" t="s">
        <v>3905</v>
      </c>
      <c r="Q1233" t="s">
        <v>114</v>
      </c>
      <c r="R1233" t="s">
        <v>67</v>
      </c>
      <c r="S1233">
        <v>250000000</v>
      </c>
      <c r="T1233">
        <v>159417758.06</v>
      </c>
      <c r="U1233" t="s">
        <v>68</v>
      </c>
      <c r="V1233" t="s">
        <v>3895</v>
      </c>
      <c r="W1233" s="9">
        <v>60604034</v>
      </c>
      <c r="X1233" t="s">
        <v>3916</v>
      </c>
      <c r="Y1233" s="1">
        <v>45103</v>
      </c>
      <c r="Z1233" s="1">
        <v>45133</v>
      </c>
      <c r="AA1233" s="2">
        <v>5067511.18</v>
      </c>
      <c r="AB1233" s="2">
        <v>4294501</v>
      </c>
      <c r="AC1233" s="2">
        <v>773010.18</v>
      </c>
      <c r="AD1233" s="2">
        <v>432885.7</v>
      </c>
      <c r="AE1233" t="s">
        <v>3917</v>
      </c>
      <c r="AF1233" t="s">
        <v>72</v>
      </c>
      <c r="AG1233">
        <v>945</v>
      </c>
      <c r="AH1233" t="s">
        <v>473</v>
      </c>
      <c r="AI1233" t="s">
        <v>74</v>
      </c>
      <c r="AJ1233" t="s">
        <v>75</v>
      </c>
      <c r="AK1233" t="s">
        <v>102</v>
      </c>
      <c r="AL1233" t="s">
        <v>77</v>
      </c>
      <c r="AM1233" t="s">
        <v>103</v>
      </c>
      <c r="AN1233" t="s">
        <v>738</v>
      </c>
      <c r="AO1233" t="s">
        <v>80</v>
      </c>
      <c r="AP1233" t="e">
        <v>#N/A</v>
      </c>
      <c r="AQ1233" t="s">
        <v>105</v>
      </c>
      <c r="AR1233" t="str">
        <f t="shared" si="38"/>
        <v>60604034.STATEQ</v>
      </c>
      <c r="AS1233">
        <f t="shared" si="39"/>
        <v>11913495.539999997</v>
      </c>
      <c r="AT1233" t="s">
        <v>82</v>
      </c>
    </row>
    <row r="1234" spans="1:46" x14ac:dyDescent="0.35">
      <c r="A1234" t="s">
        <v>52</v>
      </c>
      <c r="B1234" t="s">
        <v>53</v>
      </c>
      <c r="C1234" t="s">
        <v>54</v>
      </c>
      <c r="D1234" t="s">
        <v>55</v>
      </c>
      <c r="E1234" t="s">
        <v>56</v>
      </c>
      <c r="F1234" t="s">
        <v>3900</v>
      </c>
      <c r="G1234" t="s">
        <v>3901</v>
      </c>
      <c r="H1234" t="s">
        <v>111</v>
      </c>
      <c r="I1234" t="s">
        <v>3918</v>
      </c>
      <c r="J1234" t="s">
        <v>56</v>
      </c>
      <c r="K1234" t="s">
        <v>62</v>
      </c>
      <c r="L1234" t="s">
        <v>56</v>
      </c>
      <c r="M1234" t="s">
        <v>56</v>
      </c>
      <c r="N1234" t="s">
        <v>3912</v>
      </c>
      <c r="O1234" t="s">
        <v>3904</v>
      </c>
      <c r="P1234" t="s">
        <v>3905</v>
      </c>
      <c r="Q1234" t="s">
        <v>114</v>
      </c>
      <c r="R1234" t="s">
        <v>67</v>
      </c>
      <c r="S1234">
        <v>250000000</v>
      </c>
      <c r="T1234">
        <v>159417758.06</v>
      </c>
      <c r="U1234" t="s">
        <v>68</v>
      </c>
      <c r="V1234" t="s">
        <v>3895</v>
      </c>
      <c r="W1234" s="9">
        <v>60604034</v>
      </c>
      <c r="X1234" t="s">
        <v>3919</v>
      </c>
      <c r="Y1234" s="1">
        <v>45103</v>
      </c>
      <c r="Z1234" s="1">
        <v>45133</v>
      </c>
      <c r="AA1234" s="2">
        <v>6574892.7400000002</v>
      </c>
      <c r="AB1234" s="2">
        <v>5571943</v>
      </c>
      <c r="AC1234" s="2">
        <v>1002949.74</v>
      </c>
      <c r="AD1234" s="2">
        <v>561651.86</v>
      </c>
      <c r="AE1234" t="s">
        <v>3920</v>
      </c>
      <c r="AF1234" t="s">
        <v>72</v>
      </c>
      <c r="AG1234">
        <v>945</v>
      </c>
      <c r="AH1234" t="s">
        <v>473</v>
      </c>
      <c r="AI1234" t="s">
        <v>74</v>
      </c>
      <c r="AJ1234" t="s">
        <v>75</v>
      </c>
      <c r="AK1234" t="s">
        <v>102</v>
      </c>
      <c r="AL1234" t="s">
        <v>77</v>
      </c>
      <c r="AM1234" t="s">
        <v>103</v>
      </c>
      <c r="AN1234" t="s">
        <v>738</v>
      </c>
      <c r="AO1234" t="s">
        <v>80</v>
      </c>
      <c r="AP1234" t="e">
        <v>#N/A</v>
      </c>
      <c r="AQ1234" t="s">
        <v>105</v>
      </c>
      <c r="AR1234" t="str">
        <f t="shared" si="38"/>
        <v>60604034.STATEQ</v>
      </c>
      <c r="AS1234">
        <f t="shared" si="39"/>
        <v>11913495.539999997</v>
      </c>
      <c r="AT1234" t="s">
        <v>82</v>
      </c>
    </row>
    <row r="1235" spans="1:46" x14ac:dyDescent="0.35">
      <c r="A1235" t="s">
        <v>52</v>
      </c>
      <c r="B1235" t="s">
        <v>53</v>
      </c>
      <c r="C1235" t="s">
        <v>54</v>
      </c>
      <c r="D1235" t="s">
        <v>55</v>
      </c>
      <c r="E1235" t="s">
        <v>56</v>
      </c>
      <c r="F1235" t="s">
        <v>3900</v>
      </c>
      <c r="G1235" t="s">
        <v>3901</v>
      </c>
      <c r="H1235" t="s">
        <v>111</v>
      </c>
      <c r="I1235" t="s">
        <v>3921</v>
      </c>
      <c r="J1235" t="s">
        <v>56</v>
      </c>
      <c r="K1235" t="s">
        <v>62</v>
      </c>
      <c r="L1235" t="s">
        <v>56</v>
      </c>
      <c r="M1235" t="s">
        <v>56</v>
      </c>
      <c r="N1235" t="s">
        <v>3903</v>
      </c>
      <c r="O1235" t="s">
        <v>2341</v>
      </c>
      <c r="P1235" t="s">
        <v>2342</v>
      </c>
      <c r="Q1235" t="s">
        <v>114</v>
      </c>
      <c r="R1235" t="s">
        <v>67</v>
      </c>
      <c r="S1235">
        <v>250000000</v>
      </c>
      <c r="T1235">
        <v>159417758.06</v>
      </c>
      <c r="U1235" t="s">
        <v>68</v>
      </c>
      <c r="V1235" t="s">
        <v>3895</v>
      </c>
      <c r="W1235" s="9">
        <v>60604034</v>
      </c>
      <c r="X1235" t="s">
        <v>3922</v>
      </c>
      <c r="Y1235" s="1">
        <v>45104</v>
      </c>
      <c r="Z1235" s="1">
        <v>45134</v>
      </c>
      <c r="AA1235" s="2">
        <v>1644020.84</v>
      </c>
      <c r="AB1235" s="2">
        <v>1393238</v>
      </c>
      <c r="AC1235" s="2">
        <v>250782.84</v>
      </c>
      <c r="AD1235" s="2">
        <v>1114.3900000000001</v>
      </c>
      <c r="AE1235" t="s">
        <v>3923</v>
      </c>
      <c r="AF1235" t="s">
        <v>72</v>
      </c>
      <c r="AG1235">
        <v>944</v>
      </c>
      <c r="AH1235" t="s">
        <v>473</v>
      </c>
      <c r="AI1235" t="s">
        <v>74</v>
      </c>
      <c r="AJ1235" t="s">
        <v>75</v>
      </c>
      <c r="AK1235" t="s">
        <v>102</v>
      </c>
      <c r="AL1235" t="s">
        <v>77</v>
      </c>
      <c r="AM1235" t="s">
        <v>103</v>
      </c>
      <c r="AN1235" t="s">
        <v>738</v>
      </c>
      <c r="AO1235" t="s">
        <v>80</v>
      </c>
      <c r="AP1235" t="e">
        <v>#N/A</v>
      </c>
      <c r="AQ1235" t="s">
        <v>105</v>
      </c>
      <c r="AR1235" t="str">
        <f t="shared" si="38"/>
        <v>60604034.STATEQ</v>
      </c>
      <c r="AS1235">
        <f t="shared" si="39"/>
        <v>11913495.539999997</v>
      </c>
      <c r="AT1235" t="s">
        <v>82</v>
      </c>
    </row>
    <row r="1236" spans="1:46" x14ac:dyDescent="0.35">
      <c r="A1236" t="s">
        <v>52</v>
      </c>
      <c r="B1236" t="s">
        <v>53</v>
      </c>
      <c r="C1236" t="s">
        <v>54</v>
      </c>
      <c r="D1236" t="s">
        <v>55</v>
      </c>
      <c r="E1236" t="s">
        <v>56</v>
      </c>
      <c r="F1236" t="s">
        <v>3900</v>
      </c>
      <c r="G1236" t="s">
        <v>3901</v>
      </c>
      <c r="H1236" t="s">
        <v>111</v>
      </c>
      <c r="I1236" t="s">
        <v>3921</v>
      </c>
      <c r="J1236" t="s">
        <v>56</v>
      </c>
      <c r="K1236" t="s">
        <v>62</v>
      </c>
      <c r="L1236" t="s">
        <v>56</v>
      </c>
      <c r="M1236" t="s">
        <v>56</v>
      </c>
      <c r="N1236" t="s">
        <v>3924</v>
      </c>
      <c r="O1236" t="s">
        <v>2341</v>
      </c>
      <c r="P1236" t="s">
        <v>2342</v>
      </c>
      <c r="Q1236" t="s">
        <v>114</v>
      </c>
      <c r="R1236" t="s">
        <v>67</v>
      </c>
      <c r="S1236">
        <v>250000000</v>
      </c>
      <c r="T1236">
        <v>159417758.06</v>
      </c>
      <c r="U1236" t="s">
        <v>68</v>
      </c>
      <c r="V1236" t="s">
        <v>3895</v>
      </c>
      <c r="W1236" s="9">
        <v>60604034</v>
      </c>
      <c r="X1236" t="s">
        <v>3922</v>
      </c>
      <c r="Y1236" s="1">
        <v>45104</v>
      </c>
      <c r="Z1236" s="1">
        <v>45134</v>
      </c>
      <c r="AA1236" s="2">
        <v>822010.42</v>
      </c>
      <c r="AB1236" s="2">
        <v>696619</v>
      </c>
      <c r="AC1236" s="2">
        <v>125391.42</v>
      </c>
      <c r="AD1236" s="2">
        <v>557.19000000000005</v>
      </c>
      <c r="AE1236" t="s">
        <v>3925</v>
      </c>
      <c r="AF1236" t="s">
        <v>72</v>
      </c>
      <c r="AG1236">
        <v>944</v>
      </c>
      <c r="AH1236" t="s">
        <v>473</v>
      </c>
      <c r="AI1236" t="s">
        <v>74</v>
      </c>
      <c r="AJ1236" t="s">
        <v>75</v>
      </c>
      <c r="AK1236" t="s">
        <v>102</v>
      </c>
      <c r="AL1236" t="s">
        <v>77</v>
      </c>
      <c r="AM1236" t="s">
        <v>103</v>
      </c>
      <c r="AN1236" t="s">
        <v>738</v>
      </c>
      <c r="AO1236" t="s">
        <v>80</v>
      </c>
      <c r="AP1236" t="e">
        <v>#N/A</v>
      </c>
      <c r="AQ1236" t="s">
        <v>105</v>
      </c>
      <c r="AR1236" t="str">
        <f t="shared" si="38"/>
        <v>60604034.STATEQ</v>
      </c>
      <c r="AS1236">
        <f t="shared" si="39"/>
        <v>11913495.539999997</v>
      </c>
      <c r="AT1236" t="s">
        <v>82</v>
      </c>
    </row>
    <row r="1237" spans="1:46" x14ac:dyDescent="0.35">
      <c r="A1237" t="s">
        <v>52</v>
      </c>
      <c r="B1237" t="s">
        <v>53</v>
      </c>
      <c r="C1237" t="s">
        <v>54</v>
      </c>
      <c r="D1237" t="s">
        <v>55</v>
      </c>
      <c r="E1237" t="s">
        <v>56</v>
      </c>
      <c r="F1237" t="s">
        <v>3900</v>
      </c>
      <c r="G1237" t="s">
        <v>3901</v>
      </c>
      <c r="H1237" t="s">
        <v>111</v>
      </c>
      <c r="I1237" t="s">
        <v>3926</v>
      </c>
      <c r="J1237" t="s">
        <v>56</v>
      </c>
      <c r="K1237" t="s">
        <v>62</v>
      </c>
      <c r="L1237" t="s">
        <v>56</v>
      </c>
      <c r="M1237" t="s">
        <v>56</v>
      </c>
      <c r="N1237" t="s">
        <v>3903</v>
      </c>
      <c r="O1237" t="s">
        <v>2341</v>
      </c>
      <c r="P1237" t="s">
        <v>2342</v>
      </c>
      <c r="Q1237" t="s">
        <v>114</v>
      </c>
      <c r="R1237" t="s">
        <v>67</v>
      </c>
      <c r="S1237">
        <v>250000000</v>
      </c>
      <c r="T1237">
        <v>159417758.06</v>
      </c>
      <c r="U1237" t="s">
        <v>68</v>
      </c>
      <c r="V1237" t="s">
        <v>3895</v>
      </c>
      <c r="W1237" s="9">
        <v>60604034</v>
      </c>
      <c r="X1237" t="s">
        <v>3927</v>
      </c>
      <c r="Y1237" s="1">
        <v>45104</v>
      </c>
      <c r="Z1237" s="1">
        <v>45134</v>
      </c>
      <c r="AA1237" s="2">
        <v>1644020.84</v>
      </c>
      <c r="AB1237" s="2">
        <v>1393238</v>
      </c>
      <c r="AC1237" s="2">
        <v>250782.84</v>
      </c>
      <c r="AD1237" s="2">
        <v>1114.3900000000001</v>
      </c>
      <c r="AE1237" t="s">
        <v>3928</v>
      </c>
      <c r="AF1237" t="s">
        <v>72</v>
      </c>
      <c r="AG1237">
        <v>944</v>
      </c>
      <c r="AH1237" t="s">
        <v>473</v>
      </c>
      <c r="AI1237" t="s">
        <v>74</v>
      </c>
      <c r="AJ1237" t="s">
        <v>75</v>
      </c>
      <c r="AK1237" t="s">
        <v>102</v>
      </c>
      <c r="AL1237" t="s">
        <v>77</v>
      </c>
      <c r="AM1237" t="s">
        <v>103</v>
      </c>
      <c r="AN1237" t="s">
        <v>738</v>
      </c>
      <c r="AO1237" t="s">
        <v>80</v>
      </c>
      <c r="AP1237" t="e">
        <v>#N/A</v>
      </c>
      <c r="AQ1237" t="s">
        <v>105</v>
      </c>
      <c r="AR1237" t="str">
        <f t="shared" si="38"/>
        <v>60604034.STATEQ</v>
      </c>
      <c r="AS1237">
        <f t="shared" si="39"/>
        <v>11913495.539999997</v>
      </c>
      <c r="AT1237" t="s">
        <v>82</v>
      </c>
    </row>
    <row r="1238" spans="1:46" x14ac:dyDescent="0.35">
      <c r="A1238" t="s">
        <v>52</v>
      </c>
      <c r="B1238" t="s">
        <v>53</v>
      </c>
      <c r="C1238" t="s">
        <v>54</v>
      </c>
      <c r="D1238" t="s">
        <v>55</v>
      </c>
      <c r="E1238" t="s">
        <v>56</v>
      </c>
      <c r="F1238" t="s">
        <v>3900</v>
      </c>
      <c r="G1238" t="s">
        <v>3901</v>
      </c>
      <c r="H1238" t="s">
        <v>111</v>
      </c>
      <c r="I1238" t="s">
        <v>3926</v>
      </c>
      <c r="J1238" t="s">
        <v>56</v>
      </c>
      <c r="K1238" t="s">
        <v>62</v>
      </c>
      <c r="L1238" t="s">
        <v>56</v>
      </c>
      <c r="M1238" t="s">
        <v>56</v>
      </c>
      <c r="N1238" t="s">
        <v>3924</v>
      </c>
      <c r="O1238" t="s">
        <v>2341</v>
      </c>
      <c r="P1238" t="s">
        <v>2342</v>
      </c>
      <c r="Q1238" t="s">
        <v>114</v>
      </c>
      <c r="R1238" t="s">
        <v>67</v>
      </c>
      <c r="S1238">
        <v>250000000</v>
      </c>
      <c r="T1238">
        <v>159417758.06</v>
      </c>
      <c r="U1238" t="s">
        <v>68</v>
      </c>
      <c r="V1238" t="s">
        <v>3895</v>
      </c>
      <c r="W1238" s="9">
        <v>60604034</v>
      </c>
      <c r="X1238" t="s">
        <v>3927</v>
      </c>
      <c r="Y1238" s="1">
        <v>45104</v>
      </c>
      <c r="Z1238" s="1">
        <v>45134</v>
      </c>
      <c r="AA1238" s="2">
        <v>822010.42</v>
      </c>
      <c r="AB1238" s="2">
        <v>696619</v>
      </c>
      <c r="AC1238" s="2">
        <v>125391.42</v>
      </c>
      <c r="AD1238" s="2">
        <v>557.19000000000005</v>
      </c>
      <c r="AE1238" t="s">
        <v>3929</v>
      </c>
      <c r="AF1238" t="s">
        <v>72</v>
      </c>
      <c r="AG1238">
        <v>944</v>
      </c>
      <c r="AH1238" t="s">
        <v>473</v>
      </c>
      <c r="AI1238" t="s">
        <v>74</v>
      </c>
      <c r="AJ1238" t="s">
        <v>75</v>
      </c>
      <c r="AK1238" t="s">
        <v>102</v>
      </c>
      <c r="AL1238" t="s">
        <v>77</v>
      </c>
      <c r="AM1238" t="s">
        <v>103</v>
      </c>
      <c r="AN1238" t="s">
        <v>738</v>
      </c>
      <c r="AO1238" t="s">
        <v>80</v>
      </c>
      <c r="AP1238" t="e">
        <v>#N/A</v>
      </c>
      <c r="AQ1238" t="s">
        <v>105</v>
      </c>
      <c r="AR1238" t="str">
        <f t="shared" si="38"/>
        <v>60604034.STATEQ</v>
      </c>
      <c r="AS1238">
        <f t="shared" si="39"/>
        <v>11913495.539999997</v>
      </c>
      <c r="AT1238" t="s">
        <v>82</v>
      </c>
    </row>
    <row r="1239" spans="1:46" x14ac:dyDescent="0.35">
      <c r="A1239" t="s">
        <v>52</v>
      </c>
      <c r="B1239" t="s">
        <v>53</v>
      </c>
      <c r="C1239" t="s">
        <v>54</v>
      </c>
      <c r="D1239" t="s">
        <v>55</v>
      </c>
      <c r="E1239" t="s">
        <v>56</v>
      </c>
      <c r="F1239" t="s">
        <v>3900</v>
      </c>
      <c r="G1239" t="s">
        <v>3901</v>
      </c>
      <c r="H1239" t="s">
        <v>111</v>
      </c>
      <c r="I1239" t="s">
        <v>3930</v>
      </c>
      <c r="J1239" t="s">
        <v>56</v>
      </c>
      <c r="K1239" t="s">
        <v>62</v>
      </c>
      <c r="L1239" t="s">
        <v>56</v>
      </c>
      <c r="M1239" t="s">
        <v>56</v>
      </c>
      <c r="N1239" t="s">
        <v>3924</v>
      </c>
      <c r="O1239" t="s">
        <v>2341</v>
      </c>
      <c r="P1239" t="s">
        <v>2342</v>
      </c>
      <c r="Q1239" t="s">
        <v>114</v>
      </c>
      <c r="R1239" t="s">
        <v>67</v>
      </c>
      <c r="S1239">
        <v>250000000</v>
      </c>
      <c r="T1239">
        <v>159417758.06</v>
      </c>
      <c r="U1239" t="s">
        <v>68</v>
      </c>
      <c r="V1239" t="s">
        <v>3895</v>
      </c>
      <c r="W1239" s="9">
        <v>60604034</v>
      </c>
      <c r="X1239" t="s">
        <v>3931</v>
      </c>
      <c r="Y1239" s="1">
        <v>45104</v>
      </c>
      <c r="Z1239" s="1">
        <v>45134</v>
      </c>
      <c r="AA1239" s="2">
        <v>818095.82</v>
      </c>
      <c r="AB1239" s="2">
        <v>693301.54</v>
      </c>
      <c r="AC1239" s="2">
        <v>124794.28</v>
      </c>
      <c r="AD1239" s="2">
        <v>554.54</v>
      </c>
      <c r="AE1239" t="s">
        <v>3932</v>
      </c>
      <c r="AF1239" t="s">
        <v>72</v>
      </c>
      <c r="AG1239">
        <v>944</v>
      </c>
      <c r="AH1239" t="s">
        <v>473</v>
      </c>
      <c r="AI1239" t="s">
        <v>74</v>
      </c>
      <c r="AJ1239" t="s">
        <v>75</v>
      </c>
      <c r="AK1239" t="s">
        <v>102</v>
      </c>
      <c r="AL1239" t="s">
        <v>77</v>
      </c>
      <c r="AM1239" t="s">
        <v>103</v>
      </c>
      <c r="AN1239" t="s">
        <v>738</v>
      </c>
      <c r="AO1239" t="s">
        <v>80</v>
      </c>
      <c r="AP1239" t="e">
        <v>#N/A</v>
      </c>
      <c r="AQ1239" t="s">
        <v>105</v>
      </c>
      <c r="AR1239" t="str">
        <f t="shared" si="38"/>
        <v>60604034.STATEQ</v>
      </c>
      <c r="AS1239">
        <f t="shared" si="39"/>
        <v>11913495.539999997</v>
      </c>
      <c r="AT1239" t="s">
        <v>82</v>
      </c>
    </row>
    <row r="1240" spans="1:46" x14ac:dyDescent="0.35">
      <c r="A1240" t="s">
        <v>52</v>
      </c>
      <c r="B1240" t="s">
        <v>53</v>
      </c>
      <c r="C1240" t="s">
        <v>54</v>
      </c>
      <c r="D1240" t="s">
        <v>55</v>
      </c>
      <c r="E1240" t="s">
        <v>56</v>
      </c>
      <c r="F1240" t="s">
        <v>3900</v>
      </c>
      <c r="G1240" t="s">
        <v>3901</v>
      </c>
      <c r="H1240" t="s">
        <v>111</v>
      </c>
      <c r="I1240" t="s">
        <v>3930</v>
      </c>
      <c r="J1240" t="s">
        <v>56</v>
      </c>
      <c r="K1240" t="s">
        <v>62</v>
      </c>
      <c r="L1240" t="s">
        <v>56</v>
      </c>
      <c r="M1240" t="s">
        <v>56</v>
      </c>
      <c r="N1240" t="s">
        <v>56</v>
      </c>
      <c r="O1240" t="s">
        <v>2341</v>
      </c>
      <c r="P1240" t="s">
        <v>2342</v>
      </c>
      <c r="Q1240" t="s">
        <v>114</v>
      </c>
      <c r="R1240" t="s">
        <v>67</v>
      </c>
      <c r="S1240">
        <v>250000000</v>
      </c>
      <c r="T1240">
        <v>159417758.06</v>
      </c>
      <c r="U1240" t="s">
        <v>68</v>
      </c>
      <c r="V1240" t="s">
        <v>3895</v>
      </c>
      <c r="W1240" s="9">
        <v>60604034</v>
      </c>
      <c r="X1240" t="s">
        <v>3931</v>
      </c>
      <c r="Y1240" s="1">
        <v>45104</v>
      </c>
      <c r="Z1240" s="1">
        <v>45134</v>
      </c>
      <c r="AA1240" s="2">
        <v>11743.81</v>
      </c>
      <c r="AB1240" s="2">
        <v>9952.3799999999992</v>
      </c>
      <c r="AC1240" s="2">
        <v>1791.43</v>
      </c>
      <c r="AD1240" s="2">
        <v>7.96</v>
      </c>
      <c r="AE1240" t="s">
        <v>3931</v>
      </c>
      <c r="AF1240" t="s">
        <v>72</v>
      </c>
      <c r="AG1240">
        <v>944</v>
      </c>
      <c r="AH1240" t="s">
        <v>473</v>
      </c>
      <c r="AI1240" t="s">
        <v>74</v>
      </c>
      <c r="AJ1240" t="s">
        <v>75</v>
      </c>
      <c r="AK1240" t="s">
        <v>102</v>
      </c>
      <c r="AL1240" t="s">
        <v>77</v>
      </c>
      <c r="AM1240" t="s">
        <v>103</v>
      </c>
      <c r="AN1240" t="s">
        <v>738</v>
      </c>
      <c r="AO1240" t="s">
        <v>80</v>
      </c>
      <c r="AP1240" t="e">
        <v>#N/A</v>
      </c>
      <c r="AQ1240" t="s">
        <v>105</v>
      </c>
      <c r="AR1240" t="str">
        <f t="shared" si="38"/>
        <v>60604034.STATEQ</v>
      </c>
      <c r="AS1240">
        <f t="shared" si="39"/>
        <v>11913495.539999997</v>
      </c>
      <c r="AT1240" t="s">
        <v>82</v>
      </c>
    </row>
    <row r="1241" spans="1:46" x14ac:dyDescent="0.35">
      <c r="A1241" t="s">
        <v>52</v>
      </c>
      <c r="B1241" t="s">
        <v>53</v>
      </c>
      <c r="C1241" t="s">
        <v>54</v>
      </c>
      <c r="D1241" t="s">
        <v>55</v>
      </c>
      <c r="E1241" t="s">
        <v>56</v>
      </c>
      <c r="F1241" t="s">
        <v>3900</v>
      </c>
      <c r="G1241" t="s">
        <v>3901</v>
      </c>
      <c r="H1241" t="s">
        <v>111</v>
      </c>
      <c r="I1241" t="s">
        <v>3930</v>
      </c>
      <c r="J1241" t="s">
        <v>56</v>
      </c>
      <c r="K1241" t="s">
        <v>62</v>
      </c>
      <c r="L1241" t="s">
        <v>56</v>
      </c>
      <c r="M1241" t="s">
        <v>56</v>
      </c>
      <c r="N1241" t="s">
        <v>3903</v>
      </c>
      <c r="O1241" t="s">
        <v>2341</v>
      </c>
      <c r="P1241" t="s">
        <v>2342</v>
      </c>
      <c r="Q1241" t="s">
        <v>114</v>
      </c>
      <c r="R1241" t="s">
        <v>67</v>
      </c>
      <c r="S1241">
        <v>250000000</v>
      </c>
      <c r="T1241">
        <v>159417758.06</v>
      </c>
      <c r="U1241" t="s">
        <v>68</v>
      </c>
      <c r="V1241" t="s">
        <v>3895</v>
      </c>
      <c r="W1241" s="9">
        <v>60604034</v>
      </c>
      <c r="X1241" t="s">
        <v>3931</v>
      </c>
      <c r="Y1241" s="1">
        <v>45104</v>
      </c>
      <c r="Z1241" s="1">
        <v>45134</v>
      </c>
      <c r="AA1241" s="2">
        <v>1636191.64</v>
      </c>
      <c r="AB1241" s="2">
        <v>1386603.08</v>
      </c>
      <c r="AC1241" s="2">
        <v>249588.55</v>
      </c>
      <c r="AD1241" s="2">
        <v>1109.08</v>
      </c>
      <c r="AE1241" t="s">
        <v>3933</v>
      </c>
      <c r="AF1241" t="s">
        <v>72</v>
      </c>
      <c r="AG1241">
        <v>944</v>
      </c>
      <c r="AH1241" t="s">
        <v>473</v>
      </c>
      <c r="AI1241" t="s">
        <v>74</v>
      </c>
      <c r="AJ1241" t="s">
        <v>75</v>
      </c>
      <c r="AK1241" t="s">
        <v>102</v>
      </c>
      <c r="AL1241" t="s">
        <v>77</v>
      </c>
      <c r="AM1241" t="s">
        <v>103</v>
      </c>
      <c r="AN1241" t="s">
        <v>738</v>
      </c>
      <c r="AO1241" t="s">
        <v>80</v>
      </c>
      <c r="AP1241" t="e">
        <v>#N/A</v>
      </c>
      <c r="AQ1241" t="s">
        <v>105</v>
      </c>
      <c r="AR1241" t="str">
        <f t="shared" si="38"/>
        <v>60604034.STATEQ</v>
      </c>
      <c r="AS1241">
        <f t="shared" si="39"/>
        <v>11913495.539999997</v>
      </c>
      <c r="AT1241" t="s">
        <v>82</v>
      </c>
    </row>
    <row r="1242" spans="1:46" x14ac:dyDescent="0.35">
      <c r="A1242" t="s">
        <v>52</v>
      </c>
      <c r="B1242" t="s">
        <v>53</v>
      </c>
      <c r="C1242" t="s">
        <v>54</v>
      </c>
      <c r="D1242" t="s">
        <v>55</v>
      </c>
      <c r="E1242" t="s">
        <v>56</v>
      </c>
      <c r="F1242" t="s">
        <v>3900</v>
      </c>
      <c r="G1242" t="s">
        <v>3901</v>
      </c>
      <c r="H1242" t="s">
        <v>111</v>
      </c>
      <c r="I1242" t="s">
        <v>3934</v>
      </c>
      <c r="J1242" t="s">
        <v>56</v>
      </c>
      <c r="K1242" t="s">
        <v>62</v>
      </c>
      <c r="L1242" t="s">
        <v>56</v>
      </c>
      <c r="M1242" t="s">
        <v>56</v>
      </c>
      <c r="N1242" t="s">
        <v>3912</v>
      </c>
      <c r="O1242" t="s">
        <v>2341</v>
      </c>
      <c r="P1242" t="s">
        <v>2342</v>
      </c>
      <c r="Q1242" t="s">
        <v>114</v>
      </c>
      <c r="R1242" t="s">
        <v>67</v>
      </c>
      <c r="S1242">
        <v>250000000</v>
      </c>
      <c r="T1242">
        <v>159417758.06</v>
      </c>
      <c r="U1242" t="s">
        <v>68</v>
      </c>
      <c r="V1242" t="s">
        <v>3895</v>
      </c>
      <c r="W1242" s="9">
        <v>60604034</v>
      </c>
      <c r="X1242" t="s">
        <v>3935</v>
      </c>
      <c r="Y1242" s="1">
        <v>45104</v>
      </c>
      <c r="Z1242" s="1">
        <v>45134</v>
      </c>
      <c r="AA1242" s="2">
        <v>4259889.68</v>
      </c>
      <c r="AB1242" s="2">
        <v>3610076</v>
      </c>
      <c r="AC1242" s="2">
        <v>649813.68000000005</v>
      </c>
      <c r="AD1242" s="2">
        <v>2889.66</v>
      </c>
      <c r="AE1242" t="s">
        <v>3936</v>
      </c>
      <c r="AF1242" t="s">
        <v>72</v>
      </c>
      <c r="AG1242">
        <v>944</v>
      </c>
      <c r="AH1242" t="s">
        <v>473</v>
      </c>
      <c r="AI1242" t="s">
        <v>74</v>
      </c>
      <c r="AJ1242" t="s">
        <v>75</v>
      </c>
      <c r="AK1242" t="s">
        <v>102</v>
      </c>
      <c r="AL1242" t="s">
        <v>77</v>
      </c>
      <c r="AM1242" t="s">
        <v>103</v>
      </c>
      <c r="AN1242" t="s">
        <v>738</v>
      </c>
      <c r="AO1242" t="s">
        <v>80</v>
      </c>
      <c r="AP1242" t="e">
        <v>#N/A</v>
      </c>
      <c r="AQ1242" t="s">
        <v>105</v>
      </c>
      <c r="AR1242" t="str">
        <f t="shared" si="38"/>
        <v>60604034.STATEQ</v>
      </c>
      <c r="AS1242">
        <f t="shared" si="39"/>
        <v>11913495.539999997</v>
      </c>
      <c r="AT1242" t="s">
        <v>82</v>
      </c>
    </row>
    <row r="1243" spans="1:46" x14ac:dyDescent="0.35">
      <c r="A1243" t="s">
        <v>52</v>
      </c>
      <c r="B1243" t="s">
        <v>53</v>
      </c>
      <c r="C1243" t="s">
        <v>54</v>
      </c>
      <c r="D1243" t="s">
        <v>55</v>
      </c>
      <c r="E1243" t="s">
        <v>56</v>
      </c>
      <c r="F1243" t="s">
        <v>3900</v>
      </c>
      <c r="G1243" t="s">
        <v>3901</v>
      </c>
      <c r="H1243" t="s">
        <v>111</v>
      </c>
      <c r="I1243" t="s">
        <v>3937</v>
      </c>
      <c r="J1243" t="s">
        <v>56</v>
      </c>
      <c r="K1243" t="s">
        <v>62</v>
      </c>
      <c r="L1243" t="s">
        <v>56</v>
      </c>
      <c r="M1243" t="s">
        <v>56</v>
      </c>
      <c r="N1243" t="s">
        <v>3912</v>
      </c>
      <c r="O1243" t="s">
        <v>2341</v>
      </c>
      <c r="P1243" t="s">
        <v>2342</v>
      </c>
      <c r="Q1243" t="s">
        <v>114</v>
      </c>
      <c r="R1243" t="s">
        <v>67</v>
      </c>
      <c r="S1243">
        <v>250000000</v>
      </c>
      <c r="T1243">
        <v>159417758.06</v>
      </c>
      <c r="U1243" t="s">
        <v>68</v>
      </c>
      <c r="V1243" t="s">
        <v>3895</v>
      </c>
      <c r="W1243" s="9">
        <v>60604034</v>
      </c>
      <c r="X1243" t="s">
        <v>3938</v>
      </c>
      <c r="Y1243" s="1">
        <v>45104</v>
      </c>
      <c r="Z1243" s="1">
        <v>45134</v>
      </c>
      <c r="AA1243" s="2">
        <v>4248122.28</v>
      </c>
      <c r="AB1243" s="2">
        <v>3600103.62</v>
      </c>
      <c r="AC1243" s="2">
        <v>648018.65</v>
      </c>
      <c r="AD1243" s="2">
        <v>2879.68</v>
      </c>
      <c r="AE1243" t="s">
        <v>3939</v>
      </c>
      <c r="AF1243" t="s">
        <v>72</v>
      </c>
      <c r="AG1243">
        <v>944</v>
      </c>
      <c r="AH1243" t="s">
        <v>473</v>
      </c>
      <c r="AI1243" t="s">
        <v>74</v>
      </c>
      <c r="AJ1243" t="s">
        <v>75</v>
      </c>
      <c r="AK1243" t="s">
        <v>102</v>
      </c>
      <c r="AL1243" t="s">
        <v>77</v>
      </c>
      <c r="AM1243" t="s">
        <v>103</v>
      </c>
      <c r="AN1243" t="s">
        <v>738</v>
      </c>
      <c r="AO1243" t="s">
        <v>80</v>
      </c>
      <c r="AP1243" t="e">
        <v>#N/A</v>
      </c>
      <c r="AQ1243" t="s">
        <v>105</v>
      </c>
      <c r="AR1243" t="str">
        <f t="shared" si="38"/>
        <v>60604034.STATEQ</v>
      </c>
      <c r="AS1243">
        <f t="shared" si="39"/>
        <v>11913495.539999997</v>
      </c>
      <c r="AT1243" t="s">
        <v>82</v>
      </c>
    </row>
    <row r="1244" spans="1:46" x14ac:dyDescent="0.35">
      <c r="A1244" t="s">
        <v>52</v>
      </c>
      <c r="B1244" t="s">
        <v>53</v>
      </c>
      <c r="C1244" t="s">
        <v>54</v>
      </c>
      <c r="D1244" t="s">
        <v>55</v>
      </c>
      <c r="E1244" t="s">
        <v>56</v>
      </c>
      <c r="F1244" t="s">
        <v>3900</v>
      </c>
      <c r="G1244" t="s">
        <v>3901</v>
      </c>
      <c r="H1244" t="s">
        <v>111</v>
      </c>
      <c r="I1244" t="s">
        <v>3937</v>
      </c>
      <c r="J1244" t="s">
        <v>56</v>
      </c>
      <c r="K1244" t="s">
        <v>62</v>
      </c>
      <c r="L1244" t="s">
        <v>56</v>
      </c>
      <c r="M1244" t="s">
        <v>56</v>
      </c>
      <c r="N1244" t="s">
        <v>56</v>
      </c>
      <c r="O1244" t="s">
        <v>2341</v>
      </c>
      <c r="P1244" t="s">
        <v>2342</v>
      </c>
      <c r="Q1244" t="s">
        <v>114</v>
      </c>
      <c r="R1244" t="s">
        <v>67</v>
      </c>
      <c r="S1244">
        <v>250000000</v>
      </c>
      <c r="T1244">
        <v>159417758.06</v>
      </c>
      <c r="U1244" t="s">
        <v>68</v>
      </c>
      <c r="V1244" t="s">
        <v>3895</v>
      </c>
      <c r="W1244" s="9">
        <v>60604034</v>
      </c>
      <c r="X1244" t="s">
        <v>3938</v>
      </c>
      <c r="Y1244" s="1">
        <v>45104</v>
      </c>
      <c r="Z1244" s="1">
        <v>45134</v>
      </c>
      <c r="AA1244" s="2">
        <v>11767.4</v>
      </c>
      <c r="AB1244" s="2">
        <v>9972.3799999999992</v>
      </c>
      <c r="AC1244" s="2">
        <v>1795.03</v>
      </c>
      <c r="AD1244" s="2">
        <v>7.98</v>
      </c>
      <c r="AE1244" t="s">
        <v>3938</v>
      </c>
      <c r="AF1244" t="s">
        <v>72</v>
      </c>
      <c r="AG1244">
        <v>944</v>
      </c>
      <c r="AH1244" t="s">
        <v>473</v>
      </c>
      <c r="AI1244" t="s">
        <v>74</v>
      </c>
      <c r="AJ1244" t="s">
        <v>75</v>
      </c>
      <c r="AK1244" t="s">
        <v>102</v>
      </c>
      <c r="AL1244" t="s">
        <v>77</v>
      </c>
      <c r="AM1244" t="s">
        <v>103</v>
      </c>
      <c r="AN1244" t="s">
        <v>738</v>
      </c>
      <c r="AO1244" t="s">
        <v>80</v>
      </c>
      <c r="AP1244" t="e">
        <v>#N/A</v>
      </c>
      <c r="AQ1244" t="s">
        <v>105</v>
      </c>
      <c r="AR1244" t="str">
        <f t="shared" si="38"/>
        <v>60604034.STATEQ</v>
      </c>
      <c r="AS1244">
        <f t="shared" si="39"/>
        <v>11913495.539999997</v>
      </c>
      <c r="AT1244" t="s">
        <v>82</v>
      </c>
    </row>
    <row r="1245" spans="1:46" x14ac:dyDescent="0.35">
      <c r="A1245" t="s">
        <v>52</v>
      </c>
      <c r="B1245" t="s">
        <v>53</v>
      </c>
      <c r="C1245" t="s">
        <v>54</v>
      </c>
      <c r="D1245" t="s">
        <v>55</v>
      </c>
      <c r="E1245" t="s">
        <v>56</v>
      </c>
      <c r="F1245" t="s">
        <v>3900</v>
      </c>
      <c r="G1245" t="s">
        <v>3901</v>
      </c>
      <c r="H1245" t="s">
        <v>111</v>
      </c>
      <c r="I1245" t="s">
        <v>3940</v>
      </c>
      <c r="J1245" t="s">
        <v>56</v>
      </c>
      <c r="K1245" t="s">
        <v>62</v>
      </c>
      <c r="L1245" t="s">
        <v>56</v>
      </c>
      <c r="M1245" t="s">
        <v>56</v>
      </c>
      <c r="N1245" t="s">
        <v>3903</v>
      </c>
      <c r="O1245" t="s">
        <v>2341</v>
      </c>
      <c r="P1245" t="s">
        <v>2342</v>
      </c>
      <c r="Q1245" t="s">
        <v>114</v>
      </c>
      <c r="R1245" t="s">
        <v>67</v>
      </c>
      <c r="S1245">
        <v>250000000</v>
      </c>
      <c r="T1245">
        <v>159417758.06</v>
      </c>
      <c r="U1245" t="s">
        <v>68</v>
      </c>
      <c r="V1245" t="s">
        <v>3895</v>
      </c>
      <c r="W1245" s="9">
        <v>60604034</v>
      </c>
      <c r="X1245" t="s">
        <v>3941</v>
      </c>
      <c r="Y1245" s="1">
        <v>45104</v>
      </c>
      <c r="Z1245" s="1">
        <v>45134</v>
      </c>
      <c r="AA1245" s="2">
        <v>1644020.84</v>
      </c>
      <c r="AB1245" s="2">
        <v>1393238</v>
      </c>
      <c r="AC1245" s="2">
        <v>250782.84</v>
      </c>
      <c r="AD1245" s="2">
        <v>1114.3900000000001</v>
      </c>
      <c r="AE1245" t="s">
        <v>3942</v>
      </c>
      <c r="AF1245" t="s">
        <v>72</v>
      </c>
      <c r="AG1245">
        <v>944</v>
      </c>
      <c r="AH1245" t="s">
        <v>473</v>
      </c>
      <c r="AI1245" t="s">
        <v>74</v>
      </c>
      <c r="AJ1245" t="s">
        <v>75</v>
      </c>
      <c r="AK1245" t="s">
        <v>102</v>
      </c>
      <c r="AL1245" t="s">
        <v>77</v>
      </c>
      <c r="AM1245" t="s">
        <v>103</v>
      </c>
      <c r="AN1245" t="s">
        <v>738</v>
      </c>
      <c r="AO1245" t="s">
        <v>80</v>
      </c>
      <c r="AP1245" t="e">
        <v>#N/A</v>
      </c>
      <c r="AQ1245" t="s">
        <v>105</v>
      </c>
      <c r="AR1245" t="str">
        <f t="shared" si="38"/>
        <v>60604034.STATEQ</v>
      </c>
      <c r="AS1245">
        <f t="shared" si="39"/>
        <v>11913495.539999997</v>
      </c>
      <c r="AT1245" t="s">
        <v>82</v>
      </c>
    </row>
    <row r="1246" spans="1:46" x14ac:dyDescent="0.35">
      <c r="A1246" t="s">
        <v>52</v>
      </c>
      <c r="B1246" t="s">
        <v>53</v>
      </c>
      <c r="C1246" t="s">
        <v>54</v>
      </c>
      <c r="D1246" t="s">
        <v>55</v>
      </c>
      <c r="E1246" t="s">
        <v>56</v>
      </c>
      <c r="F1246" t="s">
        <v>3900</v>
      </c>
      <c r="G1246" t="s">
        <v>3901</v>
      </c>
      <c r="H1246" t="s">
        <v>111</v>
      </c>
      <c r="I1246" t="s">
        <v>3940</v>
      </c>
      <c r="J1246" t="s">
        <v>56</v>
      </c>
      <c r="K1246" t="s">
        <v>62</v>
      </c>
      <c r="L1246" t="s">
        <v>56</v>
      </c>
      <c r="M1246" t="s">
        <v>56</v>
      </c>
      <c r="N1246" t="s">
        <v>3924</v>
      </c>
      <c r="O1246" t="s">
        <v>2341</v>
      </c>
      <c r="P1246" t="s">
        <v>2342</v>
      </c>
      <c r="Q1246" t="s">
        <v>114</v>
      </c>
      <c r="R1246" t="s">
        <v>67</v>
      </c>
      <c r="S1246">
        <v>250000000</v>
      </c>
      <c r="T1246">
        <v>159417758.06</v>
      </c>
      <c r="U1246" t="s">
        <v>68</v>
      </c>
      <c r="V1246" t="s">
        <v>3895</v>
      </c>
      <c r="W1246" s="9">
        <v>60604034</v>
      </c>
      <c r="X1246" t="s">
        <v>3941</v>
      </c>
      <c r="Y1246" s="1">
        <v>45104</v>
      </c>
      <c r="Z1246" s="1">
        <v>45134</v>
      </c>
      <c r="AA1246" s="2">
        <v>822010.42</v>
      </c>
      <c r="AB1246" s="2">
        <v>696619</v>
      </c>
      <c r="AC1246" s="2">
        <v>125391.42</v>
      </c>
      <c r="AD1246" s="2">
        <v>557.19000000000005</v>
      </c>
      <c r="AE1246" t="s">
        <v>3943</v>
      </c>
      <c r="AF1246" t="s">
        <v>72</v>
      </c>
      <c r="AG1246">
        <v>944</v>
      </c>
      <c r="AH1246" t="s">
        <v>473</v>
      </c>
      <c r="AI1246" t="s">
        <v>74</v>
      </c>
      <c r="AJ1246" t="s">
        <v>75</v>
      </c>
      <c r="AK1246" t="s">
        <v>102</v>
      </c>
      <c r="AL1246" t="s">
        <v>77</v>
      </c>
      <c r="AM1246" t="s">
        <v>103</v>
      </c>
      <c r="AN1246" t="s">
        <v>738</v>
      </c>
      <c r="AO1246" t="s">
        <v>80</v>
      </c>
      <c r="AP1246" t="e">
        <v>#N/A</v>
      </c>
      <c r="AQ1246" t="s">
        <v>105</v>
      </c>
      <c r="AR1246" t="str">
        <f t="shared" si="38"/>
        <v>60604034.STATEQ</v>
      </c>
      <c r="AS1246">
        <f t="shared" si="39"/>
        <v>11913495.539999997</v>
      </c>
      <c r="AT1246" t="s">
        <v>82</v>
      </c>
    </row>
    <row r="1247" spans="1:46" x14ac:dyDescent="0.35">
      <c r="A1247" t="s">
        <v>52</v>
      </c>
      <c r="B1247" t="s">
        <v>53</v>
      </c>
      <c r="C1247" t="s">
        <v>54</v>
      </c>
      <c r="D1247" t="s">
        <v>55</v>
      </c>
      <c r="E1247" t="s">
        <v>56</v>
      </c>
      <c r="F1247" t="s">
        <v>3900</v>
      </c>
      <c r="G1247" t="s">
        <v>3901</v>
      </c>
      <c r="H1247" t="s">
        <v>111</v>
      </c>
      <c r="I1247" t="s">
        <v>3944</v>
      </c>
      <c r="J1247" t="s">
        <v>56</v>
      </c>
      <c r="K1247" t="s">
        <v>62</v>
      </c>
      <c r="L1247" t="s">
        <v>56</v>
      </c>
      <c r="M1247" t="s">
        <v>56</v>
      </c>
      <c r="N1247" t="s">
        <v>3903</v>
      </c>
      <c r="O1247" t="s">
        <v>2341</v>
      </c>
      <c r="P1247" t="s">
        <v>2342</v>
      </c>
      <c r="Q1247" t="s">
        <v>114</v>
      </c>
      <c r="R1247" t="s">
        <v>67</v>
      </c>
      <c r="S1247">
        <v>250000000</v>
      </c>
      <c r="T1247">
        <v>159417758.06</v>
      </c>
      <c r="U1247" t="s">
        <v>68</v>
      </c>
      <c r="V1247" t="s">
        <v>3895</v>
      </c>
      <c r="W1247" s="9">
        <v>60604034</v>
      </c>
      <c r="X1247" t="s">
        <v>3945</v>
      </c>
      <c r="Y1247" s="1">
        <v>45104</v>
      </c>
      <c r="Z1247" s="1">
        <v>45134</v>
      </c>
      <c r="AA1247" s="2">
        <v>3078376.97</v>
      </c>
      <c r="AB1247" s="2">
        <v>2608794.04</v>
      </c>
      <c r="AC1247" s="2">
        <v>469582.93</v>
      </c>
      <c r="AD1247" s="2">
        <v>2086.63</v>
      </c>
      <c r="AE1247" t="s">
        <v>3946</v>
      </c>
      <c r="AF1247" t="s">
        <v>72</v>
      </c>
      <c r="AG1247">
        <v>944</v>
      </c>
      <c r="AH1247" t="s">
        <v>473</v>
      </c>
      <c r="AI1247" t="s">
        <v>74</v>
      </c>
      <c r="AJ1247" t="s">
        <v>75</v>
      </c>
      <c r="AK1247" t="s">
        <v>102</v>
      </c>
      <c r="AL1247" t="s">
        <v>77</v>
      </c>
      <c r="AM1247" t="s">
        <v>103</v>
      </c>
      <c r="AN1247" t="s">
        <v>738</v>
      </c>
      <c r="AO1247" t="s">
        <v>80</v>
      </c>
      <c r="AP1247" t="e">
        <v>#N/A</v>
      </c>
      <c r="AQ1247" t="s">
        <v>105</v>
      </c>
      <c r="AR1247" t="str">
        <f t="shared" si="38"/>
        <v>60604034.STATEQ</v>
      </c>
      <c r="AS1247">
        <f t="shared" si="39"/>
        <v>11913495.539999997</v>
      </c>
      <c r="AT1247" t="s">
        <v>82</v>
      </c>
    </row>
    <row r="1248" spans="1:46" x14ac:dyDescent="0.35">
      <c r="A1248" t="s">
        <v>52</v>
      </c>
      <c r="B1248" t="s">
        <v>53</v>
      </c>
      <c r="C1248" t="s">
        <v>54</v>
      </c>
      <c r="D1248" t="s">
        <v>55</v>
      </c>
      <c r="E1248" t="s">
        <v>56</v>
      </c>
      <c r="F1248" t="s">
        <v>3900</v>
      </c>
      <c r="G1248" t="s">
        <v>3901</v>
      </c>
      <c r="H1248" t="s">
        <v>111</v>
      </c>
      <c r="I1248" t="s">
        <v>3944</v>
      </c>
      <c r="J1248" t="s">
        <v>56</v>
      </c>
      <c r="K1248" t="s">
        <v>62</v>
      </c>
      <c r="L1248" t="s">
        <v>56</v>
      </c>
      <c r="M1248" t="s">
        <v>56</v>
      </c>
      <c r="N1248" t="s">
        <v>56</v>
      </c>
      <c r="O1248" t="s">
        <v>2341</v>
      </c>
      <c r="P1248" t="s">
        <v>2342</v>
      </c>
      <c r="Q1248" t="s">
        <v>114</v>
      </c>
      <c r="R1248" t="s">
        <v>67</v>
      </c>
      <c r="S1248">
        <v>250000000</v>
      </c>
      <c r="T1248">
        <v>159417758.06</v>
      </c>
      <c r="U1248" t="s">
        <v>68</v>
      </c>
      <c r="V1248" t="s">
        <v>3895</v>
      </c>
      <c r="W1248" s="9">
        <v>60604034</v>
      </c>
      <c r="X1248" t="s">
        <v>3945</v>
      </c>
      <c r="Y1248" s="1">
        <v>45104</v>
      </c>
      <c r="Z1248" s="1">
        <v>45134</v>
      </c>
      <c r="AA1248" s="2">
        <v>11755.11</v>
      </c>
      <c r="AB1248" s="2">
        <v>9961.9599999999991</v>
      </c>
      <c r="AC1248" s="2">
        <v>1793.15</v>
      </c>
      <c r="AD1248" s="2">
        <v>7.97</v>
      </c>
      <c r="AE1248" t="s">
        <v>3945</v>
      </c>
      <c r="AF1248" t="s">
        <v>72</v>
      </c>
      <c r="AG1248">
        <v>944</v>
      </c>
      <c r="AH1248" t="s">
        <v>473</v>
      </c>
      <c r="AI1248" t="s">
        <v>74</v>
      </c>
      <c r="AJ1248" t="s">
        <v>75</v>
      </c>
      <c r="AK1248" t="s">
        <v>102</v>
      </c>
      <c r="AL1248" t="s">
        <v>77</v>
      </c>
      <c r="AM1248" t="s">
        <v>103</v>
      </c>
      <c r="AN1248" t="s">
        <v>738</v>
      </c>
      <c r="AO1248" t="s">
        <v>80</v>
      </c>
      <c r="AP1248" t="e">
        <v>#N/A</v>
      </c>
      <c r="AQ1248" t="s">
        <v>105</v>
      </c>
      <c r="AR1248" t="str">
        <f t="shared" si="38"/>
        <v>60604034.STATEQ</v>
      </c>
      <c r="AS1248">
        <f t="shared" si="39"/>
        <v>11913495.539999997</v>
      </c>
      <c r="AT1248" t="s">
        <v>82</v>
      </c>
    </row>
    <row r="1249" spans="1:46" x14ac:dyDescent="0.35">
      <c r="A1249" t="s">
        <v>52</v>
      </c>
      <c r="B1249" t="s">
        <v>53</v>
      </c>
      <c r="C1249" t="s">
        <v>54</v>
      </c>
      <c r="D1249" t="s">
        <v>55</v>
      </c>
      <c r="E1249" t="s">
        <v>56</v>
      </c>
      <c r="F1249" t="s">
        <v>3900</v>
      </c>
      <c r="G1249" t="s">
        <v>3901</v>
      </c>
      <c r="H1249" t="s">
        <v>111</v>
      </c>
      <c r="I1249" t="s">
        <v>3947</v>
      </c>
      <c r="J1249" t="s">
        <v>56</v>
      </c>
      <c r="K1249" t="s">
        <v>62</v>
      </c>
      <c r="L1249" t="s">
        <v>56</v>
      </c>
      <c r="M1249" t="s">
        <v>56</v>
      </c>
      <c r="N1249" t="s">
        <v>56</v>
      </c>
      <c r="O1249" t="s">
        <v>2341</v>
      </c>
      <c r="P1249" t="s">
        <v>2342</v>
      </c>
      <c r="Q1249" t="s">
        <v>114</v>
      </c>
      <c r="R1249" t="s">
        <v>67</v>
      </c>
      <c r="S1249">
        <v>250000000</v>
      </c>
      <c r="T1249">
        <v>159417758.06</v>
      </c>
      <c r="U1249" t="s">
        <v>68</v>
      </c>
      <c r="V1249" t="s">
        <v>3895</v>
      </c>
      <c r="W1249" s="9">
        <v>60604034</v>
      </c>
      <c r="X1249" t="s">
        <v>3948</v>
      </c>
      <c r="Y1249" s="1">
        <v>45104</v>
      </c>
      <c r="Z1249" s="1">
        <v>45134</v>
      </c>
      <c r="AA1249" s="2">
        <v>23473.26</v>
      </c>
      <c r="AB1249" s="2">
        <v>19892.599999999999</v>
      </c>
      <c r="AC1249" s="2">
        <v>3580.67</v>
      </c>
      <c r="AD1249" s="2">
        <v>15.91</v>
      </c>
      <c r="AE1249" t="s">
        <v>3948</v>
      </c>
      <c r="AF1249" t="s">
        <v>72</v>
      </c>
      <c r="AG1249">
        <v>944</v>
      </c>
      <c r="AH1249" t="s">
        <v>473</v>
      </c>
      <c r="AI1249" t="s">
        <v>74</v>
      </c>
      <c r="AJ1249" t="s">
        <v>75</v>
      </c>
      <c r="AK1249" t="s">
        <v>102</v>
      </c>
      <c r="AL1249" t="s">
        <v>77</v>
      </c>
      <c r="AM1249" t="s">
        <v>103</v>
      </c>
      <c r="AN1249" t="s">
        <v>738</v>
      </c>
      <c r="AO1249" t="s">
        <v>80</v>
      </c>
      <c r="AP1249" t="e">
        <v>#N/A</v>
      </c>
      <c r="AQ1249" t="s">
        <v>105</v>
      </c>
      <c r="AR1249" t="str">
        <f t="shared" si="38"/>
        <v>60604034.STATEQ</v>
      </c>
      <c r="AS1249">
        <f t="shared" si="39"/>
        <v>11913495.539999997</v>
      </c>
      <c r="AT1249" t="s">
        <v>82</v>
      </c>
    </row>
    <row r="1250" spans="1:46" x14ac:dyDescent="0.35">
      <c r="A1250" t="s">
        <v>52</v>
      </c>
      <c r="B1250" t="s">
        <v>53</v>
      </c>
      <c r="C1250" t="s">
        <v>54</v>
      </c>
      <c r="D1250" t="s">
        <v>55</v>
      </c>
      <c r="E1250" t="s">
        <v>56</v>
      </c>
      <c r="F1250" t="s">
        <v>3900</v>
      </c>
      <c r="G1250" t="s">
        <v>3901</v>
      </c>
      <c r="H1250" t="s">
        <v>111</v>
      </c>
      <c r="I1250" t="s">
        <v>3947</v>
      </c>
      <c r="J1250" t="s">
        <v>56</v>
      </c>
      <c r="K1250" t="s">
        <v>62</v>
      </c>
      <c r="L1250" t="s">
        <v>56</v>
      </c>
      <c r="M1250" t="s">
        <v>56</v>
      </c>
      <c r="N1250" t="s">
        <v>3903</v>
      </c>
      <c r="O1250" t="s">
        <v>2341</v>
      </c>
      <c r="P1250" t="s">
        <v>2342</v>
      </c>
      <c r="Q1250" t="s">
        <v>114</v>
      </c>
      <c r="R1250" t="s">
        <v>67</v>
      </c>
      <c r="S1250">
        <v>250000000</v>
      </c>
      <c r="T1250">
        <v>159417758.06</v>
      </c>
      <c r="U1250" t="s">
        <v>68</v>
      </c>
      <c r="V1250" t="s">
        <v>3895</v>
      </c>
      <c r="W1250" s="9">
        <v>60604034</v>
      </c>
      <c r="X1250" t="s">
        <v>3948</v>
      </c>
      <c r="Y1250" s="1">
        <v>45104</v>
      </c>
      <c r="Z1250" s="1">
        <v>45134</v>
      </c>
      <c r="AA1250" s="2">
        <v>4347548.82</v>
      </c>
      <c r="AB1250" s="2">
        <v>3684363.4</v>
      </c>
      <c r="AC1250" s="2">
        <v>663185.41</v>
      </c>
      <c r="AD1250" s="2">
        <v>2947.09</v>
      </c>
      <c r="AE1250" t="s">
        <v>3949</v>
      </c>
      <c r="AF1250" t="s">
        <v>72</v>
      </c>
      <c r="AG1250">
        <v>944</v>
      </c>
      <c r="AH1250" t="s">
        <v>473</v>
      </c>
      <c r="AI1250" t="s">
        <v>74</v>
      </c>
      <c r="AJ1250" t="s">
        <v>75</v>
      </c>
      <c r="AK1250" t="s">
        <v>102</v>
      </c>
      <c r="AL1250" t="s">
        <v>77</v>
      </c>
      <c r="AM1250" t="s">
        <v>103</v>
      </c>
      <c r="AN1250" t="s">
        <v>738</v>
      </c>
      <c r="AO1250" t="s">
        <v>80</v>
      </c>
      <c r="AP1250" t="e">
        <v>#N/A</v>
      </c>
      <c r="AQ1250" t="s">
        <v>105</v>
      </c>
      <c r="AR1250" t="str">
        <f t="shared" si="38"/>
        <v>60604034.STATEQ</v>
      </c>
      <c r="AS1250">
        <f t="shared" si="39"/>
        <v>11913495.539999997</v>
      </c>
      <c r="AT1250" t="s">
        <v>82</v>
      </c>
    </row>
    <row r="1251" spans="1:46" x14ac:dyDescent="0.35">
      <c r="A1251" t="s">
        <v>52</v>
      </c>
      <c r="B1251" t="s">
        <v>53</v>
      </c>
      <c r="C1251" t="s">
        <v>54</v>
      </c>
      <c r="D1251" t="s">
        <v>55</v>
      </c>
      <c r="E1251" t="s">
        <v>56</v>
      </c>
      <c r="F1251" t="s">
        <v>3900</v>
      </c>
      <c r="G1251" t="s">
        <v>3901</v>
      </c>
      <c r="H1251" t="s">
        <v>111</v>
      </c>
      <c r="I1251" t="s">
        <v>3950</v>
      </c>
      <c r="J1251" t="s">
        <v>56</v>
      </c>
      <c r="K1251" t="s">
        <v>62</v>
      </c>
      <c r="L1251" t="s">
        <v>56</v>
      </c>
      <c r="M1251" t="s">
        <v>56</v>
      </c>
      <c r="N1251" t="s">
        <v>3903</v>
      </c>
      <c r="O1251" t="s">
        <v>2341</v>
      </c>
      <c r="P1251" t="s">
        <v>2342</v>
      </c>
      <c r="Q1251" t="s">
        <v>114</v>
      </c>
      <c r="R1251" t="s">
        <v>67</v>
      </c>
      <c r="S1251">
        <v>250000000</v>
      </c>
      <c r="T1251">
        <v>159417758.06</v>
      </c>
      <c r="U1251" t="s">
        <v>68</v>
      </c>
      <c r="V1251" t="s">
        <v>3895</v>
      </c>
      <c r="W1251" s="9">
        <v>60604034</v>
      </c>
      <c r="X1251" t="s">
        <v>3951</v>
      </c>
      <c r="Y1251" s="1">
        <v>45104</v>
      </c>
      <c r="Z1251" s="1">
        <v>45134</v>
      </c>
      <c r="AA1251" s="2">
        <v>3090132.08</v>
      </c>
      <c r="AB1251" s="2">
        <v>2618756</v>
      </c>
      <c r="AC1251" s="2">
        <v>471376.08</v>
      </c>
      <c r="AD1251" s="2">
        <v>2094.6</v>
      </c>
      <c r="AE1251" t="s">
        <v>3952</v>
      </c>
      <c r="AF1251" t="s">
        <v>72</v>
      </c>
      <c r="AG1251">
        <v>944</v>
      </c>
      <c r="AH1251" t="s">
        <v>473</v>
      </c>
      <c r="AI1251" t="s">
        <v>74</v>
      </c>
      <c r="AJ1251" t="s">
        <v>75</v>
      </c>
      <c r="AK1251" t="s">
        <v>102</v>
      </c>
      <c r="AL1251" t="s">
        <v>77</v>
      </c>
      <c r="AM1251" t="s">
        <v>103</v>
      </c>
      <c r="AN1251" t="s">
        <v>738</v>
      </c>
      <c r="AO1251" t="s">
        <v>80</v>
      </c>
      <c r="AP1251" t="e">
        <v>#N/A</v>
      </c>
      <c r="AQ1251" t="s">
        <v>105</v>
      </c>
      <c r="AR1251" t="str">
        <f t="shared" si="38"/>
        <v>60604034.STATEQ</v>
      </c>
      <c r="AS1251">
        <f t="shared" si="39"/>
        <v>11913495.539999997</v>
      </c>
      <c r="AT1251" t="s">
        <v>82</v>
      </c>
    </row>
    <row r="1252" spans="1:46" x14ac:dyDescent="0.35">
      <c r="A1252" t="s">
        <v>52</v>
      </c>
      <c r="B1252" t="s">
        <v>53</v>
      </c>
      <c r="C1252" t="s">
        <v>54</v>
      </c>
      <c r="D1252" t="s">
        <v>55</v>
      </c>
      <c r="E1252" t="s">
        <v>56</v>
      </c>
      <c r="F1252" t="s">
        <v>3900</v>
      </c>
      <c r="G1252" t="s">
        <v>3901</v>
      </c>
      <c r="H1252" t="s">
        <v>111</v>
      </c>
      <c r="I1252" t="s">
        <v>3953</v>
      </c>
      <c r="J1252" t="s">
        <v>56</v>
      </c>
      <c r="K1252" t="s">
        <v>62</v>
      </c>
      <c r="L1252" t="s">
        <v>56</v>
      </c>
      <c r="M1252" t="s">
        <v>56</v>
      </c>
      <c r="N1252" t="s">
        <v>3903</v>
      </c>
      <c r="O1252" t="s">
        <v>2341</v>
      </c>
      <c r="P1252" t="s">
        <v>2342</v>
      </c>
      <c r="Q1252" t="s">
        <v>114</v>
      </c>
      <c r="R1252" t="s">
        <v>67</v>
      </c>
      <c r="S1252">
        <v>250000000</v>
      </c>
      <c r="T1252">
        <v>159417758.06</v>
      </c>
      <c r="U1252" t="s">
        <v>68</v>
      </c>
      <c r="V1252" t="s">
        <v>3895</v>
      </c>
      <c r="W1252" s="9">
        <v>60604034</v>
      </c>
      <c r="X1252" t="s">
        <v>3954</v>
      </c>
      <c r="Y1252" s="1">
        <v>45104</v>
      </c>
      <c r="Z1252" s="1">
        <v>45134</v>
      </c>
      <c r="AA1252" s="2">
        <v>4371022.08</v>
      </c>
      <c r="AB1252" s="2">
        <v>3704256</v>
      </c>
      <c r="AC1252" s="2">
        <v>666766.07999999996</v>
      </c>
      <c r="AD1252" s="2">
        <v>2963</v>
      </c>
      <c r="AE1252" t="s">
        <v>3955</v>
      </c>
      <c r="AF1252" t="s">
        <v>72</v>
      </c>
      <c r="AG1252">
        <v>944</v>
      </c>
      <c r="AH1252" t="s">
        <v>473</v>
      </c>
      <c r="AI1252" t="s">
        <v>74</v>
      </c>
      <c r="AJ1252" t="s">
        <v>75</v>
      </c>
      <c r="AK1252" t="s">
        <v>102</v>
      </c>
      <c r="AL1252" t="s">
        <v>77</v>
      </c>
      <c r="AM1252" t="s">
        <v>103</v>
      </c>
      <c r="AN1252" t="s">
        <v>738</v>
      </c>
      <c r="AO1252" t="s">
        <v>80</v>
      </c>
      <c r="AP1252" t="e">
        <v>#N/A</v>
      </c>
      <c r="AQ1252" t="s">
        <v>105</v>
      </c>
      <c r="AR1252" t="str">
        <f t="shared" si="38"/>
        <v>60604034.STATEQ</v>
      </c>
      <c r="AS1252">
        <f t="shared" si="39"/>
        <v>11913495.539999997</v>
      </c>
      <c r="AT1252" t="s">
        <v>82</v>
      </c>
    </row>
    <row r="1253" spans="1:46" x14ac:dyDescent="0.35">
      <c r="A1253" t="s">
        <v>52</v>
      </c>
      <c r="B1253" t="s">
        <v>53</v>
      </c>
      <c r="C1253" t="s">
        <v>54</v>
      </c>
      <c r="D1253" t="s">
        <v>55</v>
      </c>
      <c r="E1253" t="s">
        <v>56</v>
      </c>
      <c r="F1253" t="s">
        <v>3900</v>
      </c>
      <c r="G1253" t="s">
        <v>3901</v>
      </c>
      <c r="H1253" t="s">
        <v>111</v>
      </c>
      <c r="I1253" t="s">
        <v>3956</v>
      </c>
      <c r="J1253" t="s">
        <v>56</v>
      </c>
      <c r="K1253" t="s">
        <v>62</v>
      </c>
      <c r="L1253" t="s">
        <v>56</v>
      </c>
      <c r="M1253" t="s">
        <v>56</v>
      </c>
      <c r="N1253" t="s">
        <v>56</v>
      </c>
      <c r="O1253" t="s">
        <v>2341</v>
      </c>
      <c r="P1253" t="s">
        <v>2342</v>
      </c>
      <c r="Q1253" t="s">
        <v>114</v>
      </c>
      <c r="R1253" t="s">
        <v>67</v>
      </c>
      <c r="S1253">
        <v>250000000</v>
      </c>
      <c r="T1253">
        <v>159417758.06</v>
      </c>
      <c r="U1253" t="s">
        <v>68</v>
      </c>
      <c r="V1253" t="s">
        <v>3895</v>
      </c>
      <c r="W1253" s="9">
        <v>60604034</v>
      </c>
      <c r="X1253" t="s">
        <v>3957</v>
      </c>
      <c r="Y1253" s="1">
        <v>45104</v>
      </c>
      <c r="Z1253" s="1">
        <v>45134</v>
      </c>
      <c r="AA1253" s="2">
        <v>11732.84</v>
      </c>
      <c r="AB1253" s="2">
        <v>9943.08</v>
      </c>
      <c r="AC1253" s="2">
        <v>1789.76</v>
      </c>
      <c r="AD1253" s="2">
        <v>7.95</v>
      </c>
      <c r="AE1253" t="s">
        <v>3957</v>
      </c>
      <c r="AF1253" t="s">
        <v>72</v>
      </c>
      <c r="AG1253">
        <v>944</v>
      </c>
      <c r="AH1253" t="s">
        <v>473</v>
      </c>
      <c r="AI1253" t="s">
        <v>74</v>
      </c>
      <c r="AJ1253" t="s">
        <v>75</v>
      </c>
      <c r="AK1253" t="s">
        <v>102</v>
      </c>
      <c r="AL1253" t="s">
        <v>77</v>
      </c>
      <c r="AM1253" t="s">
        <v>103</v>
      </c>
      <c r="AN1253" t="s">
        <v>738</v>
      </c>
      <c r="AO1253" t="s">
        <v>80</v>
      </c>
      <c r="AP1253" t="e">
        <v>#N/A</v>
      </c>
      <c r="AQ1253" t="s">
        <v>105</v>
      </c>
      <c r="AR1253" t="str">
        <f t="shared" si="38"/>
        <v>60604034.STATEQ</v>
      </c>
      <c r="AS1253">
        <f t="shared" si="39"/>
        <v>11913495.539999997</v>
      </c>
      <c r="AT1253" t="s">
        <v>82</v>
      </c>
    </row>
    <row r="1254" spans="1:46" x14ac:dyDescent="0.35">
      <c r="A1254" t="s">
        <v>52</v>
      </c>
      <c r="B1254" t="s">
        <v>53</v>
      </c>
      <c r="C1254" t="s">
        <v>54</v>
      </c>
      <c r="D1254" t="s">
        <v>55</v>
      </c>
      <c r="E1254" t="s">
        <v>56</v>
      </c>
      <c r="F1254" t="s">
        <v>3900</v>
      </c>
      <c r="G1254" t="s">
        <v>3901</v>
      </c>
      <c r="H1254" t="s">
        <v>111</v>
      </c>
      <c r="I1254" t="s">
        <v>3956</v>
      </c>
      <c r="J1254" t="s">
        <v>56</v>
      </c>
      <c r="K1254" t="s">
        <v>62</v>
      </c>
      <c r="L1254" t="s">
        <v>56</v>
      </c>
      <c r="M1254" t="s">
        <v>56</v>
      </c>
      <c r="N1254" t="s">
        <v>3924</v>
      </c>
      <c r="O1254" t="s">
        <v>2341</v>
      </c>
      <c r="P1254" t="s">
        <v>2342</v>
      </c>
      <c r="Q1254" t="s">
        <v>114</v>
      </c>
      <c r="R1254" t="s">
        <v>67</v>
      </c>
      <c r="S1254">
        <v>250000000</v>
      </c>
      <c r="T1254">
        <v>159417758.06</v>
      </c>
      <c r="U1254" t="s">
        <v>68</v>
      </c>
      <c r="V1254" t="s">
        <v>3895</v>
      </c>
      <c r="W1254" s="9">
        <v>60604034</v>
      </c>
      <c r="X1254" t="s">
        <v>3957</v>
      </c>
      <c r="Y1254" s="1">
        <v>45104</v>
      </c>
      <c r="Z1254" s="1">
        <v>45134</v>
      </c>
      <c r="AA1254" s="2">
        <v>683226.26</v>
      </c>
      <c r="AB1254" s="2">
        <v>579005.31000000006</v>
      </c>
      <c r="AC1254" s="2">
        <v>104220.95</v>
      </c>
      <c r="AD1254" s="2">
        <v>463.17</v>
      </c>
      <c r="AE1254" t="s">
        <v>3958</v>
      </c>
      <c r="AF1254" t="s">
        <v>72</v>
      </c>
      <c r="AG1254">
        <v>944</v>
      </c>
      <c r="AH1254" t="s">
        <v>473</v>
      </c>
      <c r="AI1254" t="s">
        <v>74</v>
      </c>
      <c r="AJ1254" t="s">
        <v>75</v>
      </c>
      <c r="AK1254" t="s">
        <v>102</v>
      </c>
      <c r="AL1254" t="s">
        <v>77</v>
      </c>
      <c r="AM1254" t="s">
        <v>103</v>
      </c>
      <c r="AN1254" t="s">
        <v>738</v>
      </c>
      <c r="AO1254" t="s">
        <v>80</v>
      </c>
      <c r="AP1254" t="e">
        <v>#N/A</v>
      </c>
      <c r="AQ1254" t="s">
        <v>105</v>
      </c>
      <c r="AR1254" t="str">
        <f t="shared" si="38"/>
        <v>60604034.STATEQ</v>
      </c>
      <c r="AS1254">
        <f t="shared" si="39"/>
        <v>11913495.539999997</v>
      </c>
      <c r="AT1254" t="s">
        <v>82</v>
      </c>
    </row>
    <row r="1255" spans="1:46" x14ac:dyDescent="0.35">
      <c r="A1255" t="s">
        <v>52</v>
      </c>
      <c r="B1255" t="s">
        <v>53</v>
      </c>
      <c r="C1255" t="s">
        <v>54</v>
      </c>
      <c r="D1255" t="s">
        <v>55</v>
      </c>
      <c r="E1255" t="s">
        <v>56</v>
      </c>
      <c r="F1255" t="s">
        <v>3900</v>
      </c>
      <c r="G1255" t="s">
        <v>3901</v>
      </c>
      <c r="H1255" t="s">
        <v>111</v>
      </c>
      <c r="I1255" t="s">
        <v>3956</v>
      </c>
      <c r="J1255" t="s">
        <v>56</v>
      </c>
      <c r="K1255" t="s">
        <v>62</v>
      </c>
      <c r="L1255" t="s">
        <v>56</v>
      </c>
      <c r="M1255" t="s">
        <v>56</v>
      </c>
      <c r="N1255" t="s">
        <v>155</v>
      </c>
      <c r="O1255" t="s">
        <v>2341</v>
      </c>
      <c r="P1255" t="s">
        <v>2342</v>
      </c>
      <c r="Q1255" t="s">
        <v>114</v>
      </c>
      <c r="R1255" t="s">
        <v>67</v>
      </c>
      <c r="S1255">
        <v>250000000</v>
      </c>
      <c r="T1255">
        <v>159417758.06</v>
      </c>
      <c r="U1255" t="s">
        <v>68</v>
      </c>
      <c r="V1255" t="s">
        <v>3895</v>
      </c>
      <c r="W1255" s="9">
        <v>60604034</v>
      </c>
      <c r="X1255" t="s">
        <v>3957</v>
      </c>
      <c r="Y1255" s="1">
        <v>45104</v>
      </c>
      <c r="Z1255" s="1">
        <v>45134</v>
      </c>
      <c r="AA1255" s="2">
        <v>1366452.52</v>
      </c>
      <c r="AB1255" s="2">
        <v>1158010.6100000001</v>
      </c>
      <c r="AC1255" s="2">
        <v>208441.91</v>
      </c>
      <c r="AD1255" s="2">
        <v>926.34</v>
      </c>
      <c r="AE1255" t="s">
        <v>3959</v>
      </c>
      <c r="AF1255" t="s">
        <v>72</v>
      </c>
      <c r="AG1255">
        <v>944</v>
      </c>
      <c r="AH1255" t="s">
        <v>473</v>
      </c>
      <c r="AI1255" t="s">
        <v>74</v>
      </c>
      <c r="AJ1255" t="s">
        <v>75</v>
      </c>
      <c r="AK1255" t="s">
        <v>102</v>
      </c>
      <c r="AL1255" t="s">
        <v>77</v>
      </c>
      <c r="AM1255" t="s">
        <v>103</v>
      </c>
      <c r="AN1255" t="s">
        <v>738</v>
      </c>
      <c r="AO1255" t="s">
        <v>80</v>
      </c>
      <c r="AP1255" t="e">
        <v>#N/A</v>
      </c>
      <c r="AQ1255" t="s">
        <v>105</v>
      </c>
      <c r="AR1255" t="str">
        <f t="shared" si="38"/>
        <v>60604034.STATEQ</v>
      </c>
      <c r="AS1255">
        <f t="shared" si="39"/>
        <v>11913495.539999997</v>
      </c>
      <c r="AT1255" t="s">
        <v>82</v>
      </c>
    </row>
    <row r="1256" spans="1:46" x14ac:dyDescent="0.35">
      <c r="A1256" t="s">
        <v>52</v>
      </c>
      <c r="B1256" t="s">
        <v>53</v>
      </c>
      <c r="C1256" t="s">
        <v>54</v>
      </c>
      <c r="D1256" t="s">
        <v>55</v>
      </c>
      <c r="E1256" t="s">
        <v>56</v>
      </c>
      <c r="F1256" t="s">
        <v>3900</v>
      </c>
      <c r="G1256" t="s">
        <v>3901</v>
      </c>
      <c r="H1256" t="s">
        <v>111</v>
      </c>
      <c r="I1256" t="s">
        <v>3960</v>
      </c>
      <c r="J1256" t="s">
        <v>56</v>
      </c>
      <c r="K1256" t="s">
        <v>62</v>
      </c>
      <c r="L1256" t="s">
        <v>56</v>
      </c>
      <c r="M1256" t="s">
        <v>56</v>
      </c>
      <c r="N1256" t="s">
        <v>3924</v>
      </c>
      <c r="O1256" t="s">
        <v>2341</v>
      </c>
      <c r="P1256" t="s">
        <v>2342</v>
      </c>
      <c r="Q1256" t="s">
        <v>114</v>
      </c>
      <c r="R1256" t="s">
        <v>67</v>
      </c>
      <c r="S1256">
        <v>250000000</v>
      </c>
      <c r="T1256">
        <v>159417758.06</v>
      </c>
      <c r="U1256" t="s">
        <v>68</v>
      </c>
      <c r="V1256" t="s">
        <v>3895</v>
      </c>
      <c r="W1256" s="9">
        <v>60604034</v>
      </c>
      <c r="X1256" t="s">
        <v>3961</v>
      </c>
      <c r="Y1256" s="1">
        <v>45104</v>
      </c>
      <c r="Z1256" s="1">
        <v>45134</v>
      </c>
      <c r="AA1256" s="2">
        <v>687137.21</v>
      </c>
      <c r="AB1256" s="2">
        <v>582319.67000000004</v>
      </c>
      <c r="AC1256" s="2">
        <v>104817.54</v>
      </c>
      <c r="AD1256" s="2">
        <v>465.82</v>
      </c>
      <c r="AE1256" t="s">
        <v>3962</v>
      </c>
      <c r="AF1256" t="s">
        <v>72</v>
      </c>
      <c r="AG1256">
        <v>944</v>
      </c>
      <c r="AH1256" t="s">
        <v>473</v>
      </c>
      <c r="AI1256" t="s">
        <v>74</v>
      </c>
      <c r="AJ1256" t="s">
        <v>75</v>
      </c>
      <c r="AK1256" t="s">
        <v>102</v>
      </c>
      <c r="AL1256" t="s">
        <v>77</v>
      </c>
      <c r="AM1256" t="s">
        <v>103</v>
      </c>
      <c r="AN1256" t="s">
        <v>738</v>
      </c>
      <c r="AO1256" t="s">
        <v>80</v>
      </c>
      <c r="AP1256" t="e">
        <v>#N/A</v>
      </c>
      <c r="AQ1256" t="s">
        <v>105</v>
      </c>
      <c r="AR1256" t="str">
        <f t="shared" si="38"/>
        <v>60604034.STATEQ</v>
      </c>
      <c r="AS1256">
        <f t="shared" si="39"/>
        <v>11913495.539999997</v>
      </c>
      <c r="AT1256" t="s">
        <v>82</v>
      </c>
    </row>
    <row r="1257" spans="1:46" x14ac:dyDescent="0.35">
      <c r="A1257" t="s">
        <v>52</v>
      </c>
      <c r="B1257" t="s">
        <v>53</v>
      </c>
      <c r="C1257" t="s">
        <v>54</v>
      </c>
      <c r="D1257" t="s">
        <v>55</v>
      </c>
      <c r="E1257" t="s">
        <v>56</v>
      </c>
      <c r="F1257" t="s">
        <v>3900</v>
      </c>
      <c r="G1257" t="s">
        <v>3901</v>
      </c>
      <c r="H1257" t="s">
        <v>111</v>
      </c>
      <c r="I1257" t="s">
        <v>3960</v>
      </c>
      <c r="J1257" t="s">
        <v>56</v>
      </c>
      <c r="K1257" t="s">
        <v>62</v>
      </c>
      <c r="L1257" t="s">
        <v>56</v>
      </c>
      <c r="M1257" t="s">
        <v>56</v>
      </c>
      <c r="N1257" t="s">
        <v>155</v>
      </c>
      <c r="O1257" t="s">
        <v>2341</v>
      </c>
      <c r="P1257" t="s">
        <v>2342</v>
      </c>
      <c r="Q1257" t="s">
        <v>114</v>
      </c>
      <c r="R1257" t="s">
        <v>67</v>
      </c>
      <c r="S1257">
        <v>250000000</v>
      </c>
      <c r="T1257">
        <v>159417758.06</v>
      </c>
      <c r="U1257" t="s">
        <v>68</v>
      </c>
      <c r="V1257" t="s">
        <v>3895</v>
      </c>
      <c r="W1257" s="9">
        <v>60604034</v>
      </c>
      <c r="X1257" t="s">
        <v>3961</v>
      </c>
      <c r="Y1257" s="1">
        <v>45104</v>
      </c>
      <c r="Z1257" s="1">
        <v>45134</v>
      </c>
      <c r="AA1257" s="2">
        <v>1374274.41</v>
      </c>
      <c r="AB1257" s="2">
        <v>1164639.33</v>
      </c>
      <c r="AC1257" s="2">
        <v>209635.08</v>
      </c>
      <c r="AD1257" s="2">
        <v>931.64</v>
      </c>
      <c r="AE1257" t="s">
        <v>3963</v>
      </c>
      <c r="AF1257" t="s">
        <v>72</v>
      </c>
      <c r="AG1257">
        <v>944</v>
      </c>
      <c r="AH1257" t="s">
        <v>473</v>
      </c>
      <c r="AI1257" t="s">
        <v>74</v>
      </c>
      <c r="AJ1257" t="s">
        <v>75</v>
      </c>
      <c r="AK1257" t="s">
        <v>102</v>
      </c>
      <c r="AL1257" t="s">
        <v>77</v>
      </c>
      <c r="AM1257" t="s">
        <v>103</v>
      </c>
      <c r="AN1257" t="s">
        <v>738</v>
      </c>
      <c r="AO1257" t="s">
        <v>80</v>
      </c>
      <c r="AP1257" t="e">
        <v>#N/A</v>
      </c>
      <c r="AQ1257" t="s">
        <v>105</v>
      </c>
      <c r="AR1257" t="str">
        <f t="shared" si="38"/>
        <v>60604034.STATEQ</v>
      </c>
      <c r="AS1257">
        <f t="shared" si="39"/>
        <v>11913495.539999997</v>
      </c>
      <c r="AT1257" t="s">
        <v>82</v>
      </c>
    </row>
    <row r="1258" spans="1:46" x14ac:dyDescent="0.35">
      <c r="A1258" t="s">
        <v>52</v>
      </c>
      <c r="B1258" t="s">
        <v>53</v>
      </c>
      <c r="C1258" t="s">
        <v>54</v>
      </c>
      <c r="D1258" t="s">
        <v>55</v>
      </c>
      <c r="E1258" t="s">
        <v>56</v>
      </c>
      <c r="F1258" t="s">
        <v>3900</v>
      </c>
      <c r="G1258" t="s">
        <v>3901</v>
      </c>
      <c r="H1258" t="s">
        <v>153</v>
      </c>
      <c r="I1258" t="s">
        <v>3964</v>
      </c>
      <c r="J1258" t="s">
        <v>56</v>
      </c>
      <c r="K1258" t="s">
        <v>62</v>
      </c>
      <c r="L1258" t="s">
        <v>56</v>
      </c>
      <c r="M1258" t="s">
        <v>56</v>
      </c>
      <c r="N1258" t="s">
        <v>155</v>
      </c>
      <c r="O1258" t="s">
        <v>2341</v>
      </c>
      <c r="P1258" t="s">
        <v>2342</v>
      </c>
      <c r="Q1258" t="s">
        <v>114</v>
      </c>
      <c r="R1258" t="s">
        <v>67</v>
      </c>
      <c r="S1258">
        <v>250000000</v>
      </c>
      <c r="T1258">
        <v>159417758.06</v>
      </c>
      <c r="U1258" t="s">
        <v>68</v>
      </c>
      <c r="V1258" t="s">
        <v>3895</v>
      </c>
      <c r="W1258" s="9">
        <v>60604034</v>
      </c>
      <c r="X1258" t="s">
        <v>3965</v>
      </c>
      <c r="Y1258" s="1">
        <v>45265</v>
      </c>
      <c r="Z1258" s="1">
        <v>45295</v>
      </c>
      <c r="AA1258" s="2">
        <v>446552.12</v>
      </c>
      <c r="AB1258" s="2">
        <v>378434</v>
      </c>
      <c r="AC1258" s="2">
        <v>68118.12</v>
      </c>
      <c r="AD1258" s="2">
        <v>37843.4</v>
      </c>
      <c r="AE1258" t="s">
        <v>3966</v>
      </c>
      <c r="AF1258" t="s">
        <v>72</v>
      </c>
      <c r="AG1258">
        <v>783</v>
      </c>
      <c r="AH1258" t="s">
        <v>473</v>
      </c>
      <c r="AI1258" t="s">
        <v>74</v>
      </c>
      <c r="AJ1258" t="s">
        <v>75</v>
      </c>
      <c r="AK1258" t="s">
        <v>102</v>
      </c>
      <c r="AL1258" t="s">
        <v>77</v>
      </c>
      <c r="AM1258" t="s">
        <v>103</v>
      </c>
      <c r="AN1258" t="s">
        <v>738</v>
      </c>
      <c r="AO1258" t="s">
        <v>80</v>
      </c>
      <c r="AP1258" t="e">
        <v>#N/A</v>
      </c>
      <c r="AQ1258" t="s">
        <v>105</v>
      </c>
      <c r="AR1258" t="str">
        <f t="shared" si="38"/>
        <v>60604034.STATEQ</v>
      </c>
      <c r="AS1258">
        <f t="shared" si="39"/>
        <v>11913495.539999997</v>
      </c>
      <c r="AT1258" t="s">
        <v>82</v>
      </c>
    </row>
    <row r="1259" spans="1:46" x14ac:dyDescent="0.35">
      <c r="A1259" t="s">
        <v>52</v>
      </c>
      <c r="B1259" t="s">
        <v>53</v>
      </c>
      <c r="C1259" t="s">
        <v>54</v>
      </c>
      <c r="D1259" t="s">
        <v>55</v>
      </c>
      <c r="E1259" t="s">
        <v>56</v>
      </c>
      <c r="F1259" t="s">
        <v>3900</v>
      </c>
      <c r="G1259" t="s">
        <v>3901</v>
      </c>
      <c r="H1259" t="s">
        <v>153</v>
      </c>
      <c r="I1259" t="s">
        <v>3964</v>
      </c>
      <c r="J1259" t="s">
        <v>56</v>
      </c>
      <c r="K1259" t="s">
        <v>62</v>
      </c>
      <c r="L1259" t="s">
        <v>56</v>
      </c>
      <c r="M1259" t="s">
        <v>56</v>
      </c>
      <c r="N1259" t="s">
        <v>593</v>
      </c>
      <c r="O1259" t="s">
        <v>2341</v>
      </c>
      <c r="P1259" t="s">
        <v>2342</v>
      </c>
      <c r="Q1259" t="s">
        <v>114</v>
      </c>
      <c r="R1259" t="s">
        <v>67</v>
      </c>
      <c r="S1259">
        <v>250000000</v>
      </c>
      <c r="T1259">
        <v>159417758.06</v>
      </c>
      <c r="U1259" t="s">
        <v>68</v>
      </c>
      <c r="V1259" t="s">
        <v>3895</v>
      </c>
      <c r="W1259" s="9">
        <v>60604034</v>
      </c>
      <c r="X1259" t="s">
        <v>3965</v>
      </c>
      <c r="Y1259" s="1">
        <v>45265</v>
      </c>
      <c r="Z1259" s="1">
        <v>45295</v>
      </c>
      <c r="AA1259" s="2">
        <v>223276.06</v>
      </c>
      <c r="AB1259" s="2">
        <v>189217</v>
      </c>
      <c r="AC1259" s="2">
        <v>34059.06</v>
      </c>
      <c r="AD1259" s="2">
        <v>18921.7</v>
      </c>
      <c r="AE1259" t="s">
        <v>3967</v>
      </c>
      <c r="AF1259" t="s">
        <v>72</v>
      </c>
      <c r="AG1259">
        <v>783</v>
      </c>
      <c r="AH1259" t="s">
        <v>473</v>
      </c>
      <c r="AI1259" t="s">
        <v>74</v>
      </c>
      <c r="AJ1259" t="s">
        <v>75</v>
      </c>
      <c r="AK1259" t="s">
        <v>102</v>
      </c>
      <c r="AL1259" t="s">
        <v>77</v>
      </c>
      <c r="AM1259" t="s">
        <v>103</v>
      </c>
      <c r="AN1259" t="s">
        <v>738</v>
      </c>
      <c r="AO1259" t="s">
        <v>80</v>
      </c>
      <c r="AP1259" t="e">
        <v>#N/A</v>
      </c>
      <c r="AQ1259" t="s">
        <v>105</v>
      </c>
      <c r="AR1259" t="str">
        <f t="shared" si="38"/>
        <v>60604034.STATEQ</v>
      </c>
      <c r="AS1259">
        <f t="shared" si="39"/>
        <v>11913495.539999997</v>
      </c>
      <c r="AT1259" t="s">
        <v>82</v>
      </c>
    </row>
    <row r="1260" spans="1:46" x14ac:dyDescent="0.35">
      <c r="A1260" t="s">
        <v>52</v>
      </c>
      <c r="B1260" t="s">
        <v>53</v>
      </c>
      <c r="C1260" t="s">
        <v>54</v>
      </c>
      <c r="D1260" t="s">
        <v>55</v>
      </c>
      <c r="E1260" t="s">
        <v>56</v>
      </c>
      <c r="F1260" t="s">
        <v>3900</v>
      </c>
      <c r="G1260" t="s">
        <v>3901</v>
      </c>
      <c r="H1260" t="s">
        <v>153</v>
      </c>
      <c r="I1260" t="s">
        <v>3964</v>
      </c>
      <c r="J1260" t="s">
        <v>56</v>
      </c>
      <c r="K1260" t="s">
        <v>62</v>
      </c>
      <c r="L1260" t="s">
        <v>56</v>
      </c>
      <c r="M1260" t="s">
        <v>56</v>
      </c>
      <c r="N1260" t="s">
        <v>593</v>
      </c>
      <c r="O1260" t="s">
        <v>2341</v>
      </c>
      <c r="P1260" t="s">
        <v>2342</v>
      </c>
      <c r="Q1260" t="s">
        <v>114</v>
      </c>
      <c r="R1260" t="s">
        <v>67</v>
      </c>
      <c r="S1260">
        <v>250000000</v>
      </c>
      <c r="T1260">
        <v>159417758.06</v>
      </c>
      <c r="U1260" t="s">
        <v>68</v>
      </c>
      <c r="V1260" t="s">
        <v>3895</v>
      </c>
      <c r="W1260" s="9">
        <v>60604034</v>
      </c>
      <c r="X1260" t="s">
        <v>3968</v>
      </c>
      <c r="Y1260" s="1">
        <v>45265</v>
      </c>
      <c r="Z1260" s="1">
        <v>45295</v>
      </c>
      <c r="AA1260" s="2">
        <v>223276.06</v>
      </c>
      <c r="AB1260" s="2">
        <v>189217</v>
      </c>
      <c r="AC1260" s="2">
        <v>34059.06</v>
      </c>
      <c r="AD1260" s="2">
        <v>18921.7</v>
      </c>
      <c r="AE1260" t="s">
        <v>3969</v>
      </c>
      <c r="AF1260" t="s">
        <v>72</v>
      </c>
      <c r="AG1260">
        <v>783</v>
      </c>
      <c r="AH1260" t="s">
        <v>473</v>
      </c>
      <c r="AI1260" t="s">
        <v>74</v>
      </c>
      <c r="AJ1260" t="s">
        <v>75</v>
      </c>
      <c r="AK1260" t="s">
        <v>102</v>
      </c>
      <c r="AL1260" t="s">
        <v>77</v>
      </c>
      <c r="AM1260" t="s">
        <v>103</v>
      </c>
      <c r="AN1260" t="s">
        <v>738</v>
      </c>
      <c r="AO1260" t="s">
        <v>80</v>
      </c>
      <c r="AP1260" t="e">
        <v>#N/A</v>
      </c>
      <c r="AQ1260" t="s">
        <v>105</v>
      </c>
      <c r="AR1260" t="str">
        <f t="shared" si="38"/>
        <v>60604034.STATEQ</v>
      </c>
      <c r="AS1260">
        <f t="shared" si="39"/>
        <v>11913495.539999997</v>
      </c>
      <c r="AT1260" t="s">
        <v>82</v>
      </c>
    </row>
    <row r="1261" spans="1:46" x14ac:dyDescent="0.35">
      <c r="A1261" t="s">
        <v>52</v>
      </c>
      <c r="B1261" t="s">
        <v>53</v>
      </c>
      <c r="C1261" t="s">
        <v>54</v>
      </c>
      <c r="D1261" t="s">
        <v>55</v>
      </c>
      <c r="E1261" t="s">
        <v>56</v>
      </c>
      <c r="F1261" t="s">
        <v>3900</v>
      </c>
      <c r="G1261" t="s">
        <v>3901</v>
      </c>
      <c r="H1261" t="s">
        <v>153</v>
      </c>
      <c r="I1261" t="s">
        <v>3964</v>
      </c>
      <c r="J1261" t="s">
        <v>56</v>
      </c>
      <c r="K1261" t="s">
        <v>62</v>
      </c>
      <c r="L1261" t="s">
        <v>56</v>
      </c>
      <c r="M1261" t="s">
        <v>56</v>
      </c>
      <c r="N1261" t="s">
        <v>155</v>
      </c>
      <c r="O1261" t="s">
        <v>2341</v>
      </c>
      <c r="P1261" t="s">
        <v>2342</v>
      </c>
      <c r="Q1261" t="s">
        <v>114</v>
      </c>
      <c r="R1261" t="s">
        <v>67</v>
      </c>
      <c r="S1261">
        <v>250000000</v>
      </c>
      <c r="T1261">
        <v>159417758.06</v>
      </c>
      <c r="U1261" t="s">
        <v>68</v>
      </c>
      <c r="V1261" t="s">
        <v>3895</v>
      </c>
      <c r="W1261" s="9">
        <v>60604034</v>
      </c>
      <c r="X1261" t="s">
        <v>3968</v>
      </c>
      <c r="Y1261" s="1">
        <v>45265</v>
      </c>
      <c r="Z1261" s="1">
        <v>45295</v>
      </c>
      <c r="AA1261" s="2">
        <v>446552.12</v>
      </c>
      <c r="AB1261" s="2">
        <v>378434</v>
      </c>
      <c r="AC1261" s="2">
        <v>68118.12</v>
      </c>
      <c r="AD1261" s="2">
        <v>37843.39</v>
      </c>
      <c r="AE1261" t="s">
        <v>3970</v>
      </c>
      <c r="AF1261" t="s">
        <v>72</v>
      </c>
      <c r="AG1261">
        <v>783</v>
      </c>
      <c r="AH1261" t="s">
        <v>473</v>
      </c>
      <c r="AI1261" t="s">
        <v>74</v>
      </c>
      <c r="AJ1261" t="s">
        <v>75</v>
      </c>
      <c r="AK1261" t="s">
        <v>102</v>
      </c>
      <c r="AL1261" t="s">
        <v>77</v>
      </c>
      <c r="AM1261" t="s">
        <v>103</v>
      </c>
      <c r="AN1261" t="s">
        <v>738</v>
      </c>
      <c r="AO1261" t="s">
        <v>80</v>
      </c>
      <c r="AP1261" t="e">
        <v>#N/A</v>
      </c>
      <c r="AQ1261" t="s">
        <v>105</v>
      </c>
      <c r="AR1261" t="str">
        <f t="shared" si="38"/>
        <v>60604034.STATEQ</v>
      </c>
      <c r="AS1261">
        <f t="shared" si="39"/>
        <v>11913495.539999997</v>
      </c>
      <c r="AT1261" t="s">
        <v>82</v>
      </c>
    </row>
    <row r="1262" spans="1:46" x14ac:dyDescent="0.35">
      <c r="A1262" t="s">
        <v>52</v>
      </c>
      <c r="B1262" t="s">
        <v>53</v>
      </c>
      <c r="C1262" t="s">
        <v>54</v>
      </c>
      <c r="D1262" t="s">
        <v>55</v>
      </c>
      <c r="E1262" t="s">
        <v>56</v>
      </c>
      <c r="F1262" t="s">
        <v>3900</v>
      </c>
      <c r="G1262" t="s">
        <v>3901</v>
      </c>
      <c r="H1262" t="s">
        <v>111</v>
      </c>
      <c r="I1262" t="s">
        <v>3971</v>
      </c>
      <c r="J1262" t="s">
        <v>56</v>
      </c>
      <c r="K1262" t="s">
        <v>62</v>
      </c>
      <c r="L1262" t="s">
        <v>56</v>
      </c>
      <c r="M1262" t="s">
        <v>56</v>
      </c>
      <c r="N1262" t="s">
        <v>113</v>
      </c>
      <c r="O1262" t="s">
        <v>3904</v>
      </c>
      <c r="P1262" t="s">
        <v>3905</v>
      </c>
      <c r="Q1262" t="s">
        <v>114</v>
      </c>
      <c r="R1262" t="s">
        <v>67</v>
      </c>
      <c r="S1262">
        <v>250000000</v>
      </c>
      <c r="T1262">
        <v>159417758.06</v>
      </c>
      <c r="U1262" t="s">
        <v>68</v>
      </c>
      <c r="V1262" t="s">
        <v>3895</v>
      </c>
      <c r="W1262" s="9">
        <v>60604034</v>
      </c>
      <c r="X1262" t="s">
        <v>3972</v>
      </c>
      <c r="Y1262" s="1">
        <v>45265</v>
      </c>
      <c r="Z1262" s="1">
        <v>45295</v>
      </c>
      <c r="AA1262" s="2">
        <v>17802510.140000001</v>
      </c>
      <c r="AB1262" s="2">
        <v>15086873</v>
      </c>
      <c r="AC1262" s="2">
        <v>2715637.14</v>
      </c>
      <c r="AD1262" s="2">
        <v>1508687.3</v>
      </c>
      <c r="AE1262" t="s">
        <v>3973</v>
      </c>
      <c r="AF1262" t="s">
        <v>72</v>
      </c>
      <c r="AG1262">
        <v>783</v>
      </c>
      <c r="AH1262" t="s">
        <v>473</v>
      </c>
      <c r="AI1262" t="s">
        <v>74</v>
      </c>
      <c r="AJ1262" t="s">
        <v>75</v>
      </c>
      <c r="AK1262" t="s">
        <v>102</v>
      </c>
      <c r="AL1262" t="s">
        <v>77</v>
      </c>
      <c r="AM1262" t="s">
        <v>103</v>
      </c>
      <c r="AN1262" t="s">
        <v>738</v>
      </c>
      <c r="AO1262" t="s">
        <v>80</v>
      </c>
      <c r="AP1262" t="e">
        <v>#N/A</v>
      </c>
      <c r="AQ1262" t="s">
        <v>105</v>
      </c>
      <c r="AR1262" t="str">
        <f t="shared" si="38"/>
        <v>60604034.STATEQ</v>
      </c>
      <c r="AS1262">
        <f t="shared" si="39"/>
        <v>11913495.539999997</v>
      </c>
      <c r="AT1262" t="s">
        <v>82</v>
      </c>
    </row>
    <row r="1263" spans="1:46" x14ac:dyDescent="0.35">
      <c r="A1263" t="s">
        <v>52</v>
      </c>
      <c r="B1263" t="s">
        <v>53</v>
      </c>
      <c r="C1263" t="s">
        <v>54</v>
      </c>
      <c r="D1263" t="s">
        <v>55</v>
      </c>
      <c r="E1263" t="s">
        <v>56</v>
      </c>
      <c r="F1263" t="s">
        <v>3900</v>
      </c>
      <c r="G1263" t="s">
        <v>3901</v>
      </c>
      <c r="H1263" t="s">
        <v>111</v>
      </c>
      <c r="I1263" t="s">
        <v>3974</v>
      </c>
      <c r="J1263" t="s">
        <v>56</v>
      </c>
      <c r="K1263" t="s">
        <v>62</v>
      </c>
      <c r="L1263" t="s">
        <v>56</v>
      </c>
      <c r="M1263" t="s">
        <v>56</v>
      </c>
      <c r="N1263" t="s">
        <v>113</v>
      </c>
      <c r="O1263" t="s">
        <v>3904</v>
      </c>
      <c r="P1263" t="s">
        <v>3905</v>
      </c>
      <c r="Q1263" t="s">
        <v>114</v>
      </c>
      <c r="R1263" t="s">
        <v>67</v>
      </c>
      <c r="S1263">
        <v>250000000</v>
      </c>
      <c r="T1263">
        <v>159417758.06</v>
      </c>
      <c r="U1263" t="s">
        <v>68</v>
      </c>
      <c r="V1263" t="s">
        <v>3895</v>
      </c>
      <c r="W1263" s="9">
        <v>60604034</v>
      </c>
      <c r="X1263" t="s">
        <v>3975</v>
      </c>
      <c r="Y1263" s="1">
        <v>45265</v>
      </c>
      <c r="Z1263" s="1">
        <v>45295</v>
      </c>
      <c r="AA1263" s="2">
        <v>17802510.140000001</v>
      </c>
      <c r="AB1263" s="2">
        <v>15086873</v>
      </c>
      <c r="AC1263" s="2">
        <v>2715637.14</v>
      </c>
      <c r="AD1263" s="2">
        <v>1508687.3</v>
      </c>
      <c r="AE1263" t="s">
        <v>3976</v>
      </c>
      <c r="AF1263" t="s">
        <v>72</v>
      </c>
      <c r="AG1263">
        <v>783</v>
      </c>
      <c r="AH1263" t="s">
        <v>473</v>
      </c>
      <c r="AI1263" t="s">
        <v>74</v>
      </c>
      <c r="AJ1263" t="s">
        <v>75</v>
      </c>
      <c r="AK1263" t="s">
        <v>102</v>
      </c>
      <c r="AL1263" t="s">
        <v>77</v>
      </c>
      <c r="AM1263" t="s">
        <v>103</v>
      </c>
      <c r="AN1263" t="s">
        <v>738</v>
      </c>
      <c r="AO1263" t="s">
        <v>80</v>
      </c>
      <c r="AP1263" t="e">
        <v>#N/A</v>
      </c>
      <c r="AQ1263" t="s">
        <v>105</v>
      </c>
      <c r="AR1263" t="str">
        <f t="shared" si="38"/>
        <v>60604034.STATEQ</v>
      </c>
      <c r="AS1263">
        <f t="shared" si="39"/>
        <v>11913495.539999997</v>
      </c>
      <c r="AT1263" t="s">
        <v>82</v>
      </c>
    </row>
    <row r="1264" spans="1:46" x14ac:dyDescent="0.35">
      <c r="A1264" t="s">
        <v>52</v>
      </c>
      <c r="B1264" t="s">
        <v>53</v>
      </c>
      <c r="C1264" t="s">
        <v>54</v>
      </c>
      <c r="D1264" t="s">
        <v>55</v>
      </c>
      <c r="E1264" t="s">
        <v>56</v>
      </c>
      <c r="F1264" t="s">
        <v>3900</v>
      </c>
      <c r="G1264" t="s">
        <v>3901</v>
      </c>
      <c r="H1264" t="s">
        <v>111</v>
      </c>
      <c r="I1264" t="s">
        <v>3977</v>
      </c>
      <c r="J1264" t="s">
        <v>56</v>
      </c>
      <c r="K1264" t="s">
        <v>62</v>
      </c>
      <c r="L1264" t="s">
        <v>56</v>
      </c>
      <c r="M1264" t="s">
        <v>56</v>
      </c>
      <c r="N1264" t="s">
        <v>113</v>
      </c>
      <c r="O1264" t="s">
        <v>2341</v>
      </c>
      <c r="P1264" t="s">
        <v>2342</v>
      </c>
      <c r="Q1264" t="s">
        <v>114</v>
      </c>
      <c r="R1264" t="s">
        <v>67</v>
      </c>
      <c r="S1264">
        <v>250000000</v>
      </c>
      <c r="T1264">
        <v>159417758.06</v>
      </c>
      <c r="U1264" t="s">
        <v>68</v>
      </c>
      <c r="V1264" t="s">
        <v>3895</v>
      </c>
      <c r="W1264" s="9">
        <v>60604034</v>
      </c>
      <c r="X1264" t="s">
        <v>3978</v>
      </c>
      <c r="Y1264" s="1">
        <v>45265</v>
      </c>
      <c r="Z1264" s="1">
        <v>45295</v>
      </c>
      <c r="AA1264" s="2">
        <v>17185686.379999999</v>
      </c>
      <c r="AB1264" s="2">
        <v>14564141</v>
      </c>
      <c r="AC1264" s="2">
        <v>2621545.38</v>
      </c>
      <c r="AD1264" s="2">
        <v>1456414.1</v>
      </c>
      <c r="AE1264" t="s">
        <v>3979</v>
      </c>
      <c r="AF1264" t="s">
        <v>72</v>
      </c>
      <c r="AG1264">
        <v>783</v>
      </c>
      <c r="AH1264" t="s">
        <v>473</v>
      </c>
      <c r="AI1264" t="s">
        <v>74</v>
      </c>
      <c r="AJ1264" t="s">
        <v>75</v>
      </c>
      <c r="AK1264" t="s">
        <v>102</v>
      </c>
      <c r="AL1264" t="s">
        <v>77</v>
      </c>
      <c r="AM1264" t="s">
        <v>103</v>
      </c>
      <c r="AN1264" t="s">
        <v>738</v>
      </c>
      <c r="AO1264" t="s">
        <v>80</v>
      </c>
      <c r="AP1264" t="e">
        <v>#N/A</v>
      </c>
      <c r="AQ1264" t="s">
        <v>105</v>
      </c>
      <c r="AR1264" t="str">
        <f t="shared" si="38"/>
        <v>60604034.STATEQ</v>
      </c>
      <c r="AS1264">
        <f t="shared" si="39"/>
        <v>11913495.539999997</v>
      </c>
      <c r="AT1264" t="s">
        <v>82</v>
      </c>
    </row>
    <row r="1265" spans="1:46" x14ac:dyDescent="0.35">
      <c r="A1265" t="s">
        <v>52</v>
      </c>
      <c r="B1265" t="s">
        <v>53</v>
      </c>
      <c r="C1265" t="s">
        <v>54</v>
      </c>
      <c r="D1265" t="s">
        <v>55</v>
      </c>
      <c r="E1265" t="s">
        <v>56</v>
      </c>
      <c r="F1265" t="s">
        <v>3900</v>
      </c>
      <c r="G1265" t="s">
        <v>3901</v>
      </c>
      <c r="H1265" t="s">
        <v>111</v>
      </c>
      <c r="I1265" t="s">
        <v>3980</v>
      </c>
      <c r="J1265" t="s">
        <v>56</v>
      </c>
      <c r="K1265" t="s">
        <v>62</v>
      </c>
      <c r="L1265" t="s">
        <v>56</v>
      </c>
      <c r="M1265" t="s">
        <v>56</v>
      </c>
      <c r="N1265" t="s">
        <v>113</v>
      </c>
      <c r="O1265" t="s">
        <v>2341</v>
      </c>
      <c r="P1265" t="s">
        <v>2342</v>
      </c>
      <c r="Q1265" t="s">
        <v>114</v>
      </c>
      <c r="R1265" t="s">
        <v>67</v>
      </c>
      <c r="S1265">
        <v>250000000</v>
      </c>
      <c r="T1265">
        <v>159417758.06</v>
      </c>
      <c r="U1265" t="s">
        <v>68</v>
      </c>
      <c r="V1265" t="s">
        <v>3895</v>
      </c>
      <c r="W1265" s="9">
        <v>60604034</v>
      </c>
      <c r="X1265" t="s">
        <v>3981</v>
      </c>
      <c r="Y1265" s="1">
        <v>45265</v>
      </c>
      <c r="Z1265" s="1">
        <v>45295</v>
      </c>
      <c r="AA1265" s="2">
        <v>17185686.379999999</v>
      </c>
      <c r="AB1265" s="2">
        <v>14564141</v>
      </c>
      <c r="AC1265" s="2">
        <v>2621545.38</v>
      </c>
      <c r="AD1265" s="2">
        <v>1456414.1</v>
      </c>
      <c r="AE1265" t="s">
        <v>3982</v>
      </c>
      <c r="AF1265" t="s">
        <v>72</v>
      </c>
      <c r="AG1265">
        <v>783</v>
      </c>
      <c r="AH1265" t="s">
        <v>473</v>
      </c>
      <c r="AI1265" t="s">
        <v>74</v>
      </c>
      <c r="AJ1265" t="s">
        <v>75</v>
      </c>
      <c r="AK1265" t="s">
        <v>102</v>
      </c>
      <c r="AL1265" t="s">
        <v>77</v>
      </c>
      <c r="AM1265" t="s">
        <v>103</v>
      </c>
      <c r="AN1265" t="s">
        <v>738</v>
      </c>
      <c r="AO1265" t="s">
        <v>80</v>
      </c>
      <c r="AP1265" t="e">
        <v>#N/A</v>
      </c>
      <c r="AQ1265" t="s">
        <v>105</v>
      </c>
      <c r="AR1265" t="str">
        <f t="shared" si="38"/>
        <v>60604034.STATEQ</v>
      </c>
      <c r="AS1265">
        <f t="shared" si="39"/>
        <v>11913495.539999997</v>
      </c>
      <c r="AT1265" t="s">
        <v>82</v>
      </c>
    </row>
    <row r="1266" spans="1:46" x14ac:dyDescent="0.35">
      <c r="A1266" t="s">
        <v>52</v>
      </c>
      <c r="B1266" t="s">
        <v>53</v>
      </c>
      <c r="C1266" t="s">
        <v>54</v>
      </c>
      <c r="D1266" t="s">
        <v>55</v>
      </c>
      <c r="E1266" t="s">
        <v>56</v>
      </c>
      <c r="F1266" t="s">
        <v>3900</v>
      </c>
      <c r="G1266" t="s">
        <v>3901</v>
      </c>
      <c r="H1266" t="s">
        <v>111</v>
      </c>
      <c r="I1266" t="s">
        <v>3983</v>
      </c>
      <c r="J1266" t="s">
        <v>56</v>
      </c>
      <c r="K1266" t="s">
        <v>62</v>
      </c>
      <c r="L1266" t="s">
        <v>56</v>
      </c>
      <c r="M1266" t="s">
        <v>56</v>
      </c>
      <c r="N1266" t="s">
        <v>3924</v>
      </c>
      <c r="O1266" t="s">
        <v>2341</v>
      </c>
      <c r="P1266" t="s">
        <v>2342</v>
      </c>
      <c r="Q1266" t="s">
        <v>114</v>
      </c>
      <c r="R1266" t="s">
        <v>67</v>
      </c>
      <c r="S1266">
        <v>250000000</v>
      </c>
      <c r="T1266">
        <v>159417758.06</v>
      </c>
      <c r="U1266" t="s">
        <v>68</v>
      </c>
      <c r="V1266" t="s">
        <v>3895</v>
      </c>
      <c r="W1266" s="9">
        <v>60604034</v>
      </c>
      <c r="X1266" t="s">
        <v>3984</v>
      </c>
      <c r="Y1266" s="1">
        <v>45266</v>
      </c>
      <c r="Z1266" s="1">
        <v>45296</v>
      </c>
      <c r="AA1266" s="2">
        <v>822010.42</v>
      </c>
      <c r="AB1266" s="2">
        <v>696619</v>
      </c>
      <c r="AC1266" s="2">
        <v>125391.42</v>
      </c>
      <c r="AD1266" s="2">
        <v>69661.899999999994</v>
      </c>
      <c r="AE1266" t="s">
        <v>3985</v>
      </c>
      <c r="AF1266" t="s">
        <v>72</v>
      </c>
      <c r="AG1266">
        <v>782</v>
      </c>
      <c r="AH1266" t="s">
        <v>473</v>
      </c>
      <c r="AI1266" t="s">
        <v>74</v>
      </c>
      <c r="AJ1266" t="s">
        <v>75</v>
      </c>
      <c r="AK1266" t="s">
        <v>102</v>
      </c>
      <c r="AL1266" t="s">
        <v>77</v>
      </c>
      <c r="AM1266" t="s">
        <v>103</v>
      </c>
      <c r="AN1266" t="s">
        <v>738</v>
      </c>
      <c r="AO1266" t="s">
        <v>80</v>
      </c>
      <c r="AP1266" t="e">
        <v>#N/A</v>
      </c>
      <c r="AQ1266" t="s">
        <v>105</v>
      </c>
      <c r="AR1266" t="str">
        <f t="shared" si="38"/>
        <v>60604034.STATEQ</v>
      </c>
      <c r="AS1266">
        <f t="shared" si="39"/>
        <v>11913495.539999997</v>
      </c>
      <c r="AT1266" t="s">
        <v>82</v>
      </c>
    </row>
    <row r="1267" spans="1:46" x14ac:dyDescent="0.35">
      <c r="A1267" t="s">
        <v>52</v>
      </c>
      <c r="B1267" t="s">
        <v>53</v>
      </c>
      <c r="C1267" t="s">
        <v>54</v>
      </c>
      <c r="D1267" t="s">
        <v>55</v>
      </c>
      <c r="E1267" t="s">
        <v>56</v>
      </c>
      <c r="F1267" t="s">
        <v>3900</v>
      </c>
      <c r="G1267" t="s">
        <v>3901</v>
      </c>
      <c r="H1267" t="s">
        <v>111</v>
      </c>
      <c r="I1267" t="s">
        <v>3983</v>
      </c>
      <c r="J1267" t="s">
        <v>56</v>
      </c>
      <c r="K1267" t="s">
        <v>62</v>
      </c>
      <c r="L1267" t="s">
        <v>56</v>
      </c>
      <c r="M1267" t="s">
        <v>56</v>
      </c>
      <c r="N1267" t="s">
        <v>3903</v>
      </c>
      <c r="O1267" t="s">
        <v>2341</v>
      </c>
      <c r="P1267" t="s">
        <v>2342</v>
      </c>
      <c r="Q1267" t="s">
        <v>114</v>
      </c>
      <c r="R1267" t="s">
        <v>67</v>
      </c>
      <c r="S1267">
        <v>250000000</v>
      </c>
      <c r="T1267">
        <v>159417758.06</v>
      </c>
      <c r="U1267" t="s">
        <v>68</v>
      </c>
      <c r="V1267" t="s">
        <v>3895</v>
      </c>
      <c r="W1267" s="9">
        <v>60604034</v>
      </c>
      <c r="X1267" t="s">
        <v>3984</v>
      </c>
      <c r="Y1267" s="1">
        <v>45266</v>
      </c>
      <c r="Z1267" s="1">
        <v>45296</v>
      </c>
      <c r="AA1267" s="2">
        <v>1644020.84</v>
      </c>
      <c r="AB1267" s="2">
        <v>1393238</v>
      </c>
      <c r="AC1267" s="2">
        <v>250782.84</v>
      </c>
      <c r="AD1267" s="2">
        <v>139323.79999999999</v>
      </c>
      <c r="AE1267" t="s">
        <v>3986</v>
      </c>
      <c r="AF1267" t="s">
        <v>72</v>
      </c>
      <c r="AG1267">
        <v>782</v>
      </c>
      <c r="AH1267" t="s">
        <v>473</v>
      </c>
      <c r="AI1267" t="s">
        <v>74</v>
      </c>
      <c r="AJ1267" t="s">
        <v>75</v>
      </c>
      <c r="AK1267" t="s">
        <v>102</v>
      </c>
      <c r="AL1267" t="s">
        <v>77</v>
      </c>
      <c r="AM1267" t="s">
        <v>103</v>
      </c>
      <c r="AN1267" t="s">
        <v>738</v>
      </c>
      <c r="AO1267" t="s">
        <v>80</v>
      </c>
      <c r="AP1267" t="e">
        <v>#N/A</v>
      </c>
      <c r="AQ1267" t="s">
        <v>105</v>
      </c>
      <c r="AR1267" t="str">
        <f t="shared" si="38"/>
        <v>60604034.STATEQ</v>
      </c>
      <c r="AS1267">
        <f t="shared" si="39"/>
        <v>11913495.539999997</v>
      </c>
      <c r="AT1267" t="s">
        <v>82</v>
      </c>
    </row>
    <row r="1268" spans="1:46" x14ac:dyDescent="0.35">
      <c r="A1268" t="s">
        <v>52</v>
      </c>
      <c r="B1268" t="s">
        <v>53</v>
      </c>
      <c r="C1268" t="s">
        <v>54</v>
      </c>
      <c r="D1268" t="s">
        <v>55</v>
      </c>
      <c r="E1268" t="s">
        <v>56</v>
      </c>
      <c r="F1268" t="s">
        <v>3900</v>
      </c>
      <c r="G1268" t="s">
        <v>3901</v>
      </c>
      <c r="H1268" t="s">
        <v>111</v>
      </c>
      <c r="I1268" t="s">
        <v>3987</v>
      </c>
      <c r="J1268" t="s">
        <v>56</v>
      </c>
      <c r="K1268" t="s">
        <v>62</v>
      </c>
      <c r="L1268" t="s">
        <v>56</v>
      </c>
      <c r="M1268" t="s">
        <v>56</v>
      </c>
      <c r="N1268" t="s">
        <v>3912</v>
      </c>
      <c r="O1268" t="s">
        <v>3904</v>
      </c>
      <c r="P1268" t="s">
        <v>3905</v>
      </c>
      <c r="Q1268" t="s">
        <v>114</v>
      </c>
      <c r="R1268" t="s">
        <v>67</v>
      </c>
      <c r="S1268">
        <v>250000000</v>
      </c>
      <c r="T1268">
        <v>159417758.06</v>
      </c>
      <c r="U1268" t="s">
        <v>68</v>
      </c>
      <c r="V1268" t="s">
        <v>3895</v>
      </c>
      <c r="W1268" s="9">
        <v>60604034</v>
      </c>
      <c r="X1268" t="s">
        <v>3988</v>
      </c>
      <c r="Y1268" s="1">
        <v>45266</v>
      </c>
      <c r="Z1268" s="1">
        <v>45296</v>
      </c>
      <c r="AA1268" s="2">
        <v>8873995.3000000007</v>
      </c>
      <c r="AB1268" s="2">
        <v>7520335</v>
      </c>
      <c r="AC1268" s="2">
        <v>1353660.3</v>
      </c>
      <c r="AD1268" s="2">
        <v>752033.5</v>
      </c>
      <c r="AE1268" t="s">
        <v>3989</v>
      </c>
      <c r="AF1268" t="s">
        <v>72</v>
      </c>
      <c r="AG1268">
        <v>782</v>
      </c>
      <c r="AH1268" t="s">
        <v>473</v>
      </c>
      <c r="AI1268" t="s">
        <v>74</v>
      </c>
      <c r="AJ1268" t="s">
        <v>75</v>
      </c>
      <c r="AK1268" t="s">
        <v>102</v>
      </c>
      <c r="AL1268" t="s">
        <v>77</v>
      </c>
      <c r="AM1268" t="s">
        <v>103</v>
      </c>
      <c r="AN1268" t="s">
        <v>738</v>
      </c>
      <c r="AO1268" t="s">
        <v>80</v>
      </c>
      <c r="AP1268" t="e">
        <v>#N/A</v>
      </c>
      <c r="AQ1268" t="s">
        <v>105</v>
      </c>
      <c r="AR1268" t="str">
        <f t="shared" si="38"/>
        <v>60604034.STATEQ</v>
      </c>
      <c r="AS1268">
        <f t="shared" si="39"/>
        <v>11913495.539999997</v>
      </c>
      <c r="AT1268" t="s">
        <v>82</v>
      </c>
    </row>
    <row r="1269" spans="1:46" x14ac:dyDescent="0.35">
      <c r="A1269" t="s">
        <v>52</v>
      </c>
      <c r="B1269" t="s">
        <v>53</v>
      </c>
      <c r="C1269" t="s">
        <v>54</v>
      </c>
      <c r="D1269" t="s">
        <v>55</v>
      </c>
      <c r="E1269" t="s">
        <v>56</v>
      </c>
      <c r="F1269" t="s">
        <v>3900</v>
      </c>
      <c r="G1269" t="s">
        <v>3901</v>
      </c>
      <c r="H1269" t="s">
        <v>111</v>
      </c>
      <c r="I1269" t="s">
        <v>3990</v>
      </c>
      <c r="J1269" t="s">
        <v>56</v>
      </c>
      <c r="K1269" t="s">
        <v>62</v>
      </c>
      <c r="L1269" t="s">
        <v>56</v>
      </c>
      <c r="M1269" t="s">
        <v>56</v>
      </c>
      <c r="N1269" t="s">
        <v>3912</v>
      </c>
      <c r="O1269" t="s">
        <v>3904</v>
      </c>
      <c r="P1269" t="s">
        <v>3905</v>
      </c>
      <c r="Q1269" t="s">
        <v>114</v>
      </c>
      <c r="R1269" t="s">
        <v>67</v>
      </c>
      <c r="S1269">
        <v>250000000</v>
      </c>
      <c r="T1269">
        <v>159417758.06</v>
      </c>
      <c r="U1269" t="s">
        <v>68</v>
      </c>
      <c r="V1269" t="s">
        <v>3895</v>
      </c>
      <c r="W1269" s="9">
        <v>60604034</v>
      </c>
      <c r="X1269" t="s">
        <v>3991</v>
      </c>
      <c r="Y1269" s="1">
        <v>45266</v>
      </c>
      <c r="Z1269" s="1">
        <v>45296</v>
      </c>
      <c r="AA1269" s="2">
        <v>8873995.3000000007</v>
      </c>
      <c r="AB1269" s="2">
        <v>7520335</v>
      </c>
      <c r="AC1269" s="2">
        <v>1353660.3</v>
      </c>
      <c r="AD1269" s="2">
        <v>752033.5</v>
      </c>
      <c r="AE1269" t="s">
        <v>3992</v>
      </c>
      <c r="AF1269" t="s">
        <v>72</v>
      </c>
      <c r="AG1269">
        <v>782</v>
      </c>
      <c r="AH1269" t="s">
        <v>473</v>
      </c>
      <c r="AI1269" t="s">
        <v>74</v>
      </c>
      <c r="AJ1269" t="s">
        <v>75</v>
      </c>
      <c r="AK1269" t="s">
        <v>102</v>
      </c>
      <c r="AL1269" t="s">
        <v>77</v>
      </c>
      <c r="AM1269" t="s">
        <v>103</v>
      </c>
      <c r="AN1269" t="s">
        <v>738</v>
      </c>
      <c r="AO1269" t="s">
        <v>80</v>
      </c>
      <c r="AP1269" t="e">
        <v>#N/A</v>
      </c>
      <c r="AQ1269" t="s">
        <v>105</v>
      </c>
      <c r="AR1269" t="str">
        <f t="shared" si="38"/>
        <v>60604034.STATEQ</v>
      </c>
      <c r="AS1269">
        <f t="shared" si="39"/>
        <v>11913495.539999997</v>
      </c>
      <c r="AT1269" t="s">
        <v>82</v>
      </c>
    </row>
    <row r="1270" spans="1:46" x14ac:dyDescent="0.35">
      <c r="A1270" t="s">
        <v>52</v>
      </c>
      <c r="B1270" t="s">
        <v>53</v>
      </c>
      <c r="C1270" t="s">
        <v>54</v>
      </c>
      <c r="D1270" t="s">
        <v>55</v>
      </c>
      <c r="E1270" t="s">
        <v>56</v>
      </c>
      <c r="F1270" t="s">
        <v>3900</v>
      </c>
      <c r="G1270" t="s">
        <v>3901</v>
      </c>
      <c r="H1270" t="s">
        <v>111</v>
      </c>
      <c r="I1270" t="s">
        <v>3993</v>
      </c>
      <c r="J1270" t="s">
        <v>56</v>
      </c>
      <c r="K1270" t="s">
        <v>62</v>
      </c>
      <c r="L1270" t="s">
        <v>56</v>
      </c>
      <c r="M1270" t="s">
        <v>56</v>
      </c>
      <c r="N1270" t="s">
        <v>3994</v>
      </c>
      <c r="O1270" t="s">
        <v>3904</v>
      </c>
      <c r="P1270" t="s">
        <v>3905</v>
      </c>
      <c r="Q1270" t="s">
        <v>114</v>
      </c>
      <c r="R1270" t="s">
        <v>67</v>
      </c>
      <c r="S1270">
        <v>250000000</v>
      </c>
      <c r="T1270">
        <v>159417758.06</v>
      </c>
      <c r="U1270" t="s">
        <v>68</v>
      </c>
      <c r="V1270" t="s">
        <v>3895</v>
      </c>
      <c r="W1270" s="9">
        <v>60604034</v>
      </c>
      <c r="X1270" t="s">
        <v>3995</v>
      </c>
      <c r="Y1270" s="1">
        <v>45266</v>
      </c>
      <c r="Z1270" s="1">
        <v>45296</v>
      </c>
      <c r="AA1270" s="2">
        <v>11835363.42</v>
      </c>
      <c r="AB1270" s="2">
        <v>10029969</v>
      </c>
      <c r="AC1270" s="2">
        <v>1805394.42</v>
      </c>
      <c r="AD1270" s="2">
        <v>1002996.9</v>
      </c>
      <c r="AE1270" t="s">
        <v>3996</v>
      </c>
      <c r="AF1270" t="s">
        <v>72</v>
      </c>
      <c r="AG1270">
        <v>782</v>
      </c>
      <c r="AH1270" t="s">
        <v>473</v>
      </c>
      <c r="AI1270" t="s">
        <v>74</v>
      </c>
      <c r="AJ1270" t="s">
        <v>75</v>
      </c>
      <c r="AK1270" t="s">
        <v>102</v>
      </c>
      <c r="AL1270" t="s">
        <v>77</v>
      </c>
      <c r="AM1270" t="s">
        <v>103</v>
      </c>
      <c r="AN1270" t="s">
        <v>738</v>
      </c>
      <c r="AO1270" t="s">
        <v>80</v>
      </c>
      <c r="AP1270" t="e">
        <v>#N/A</v>
      </c>
      <c r="AQ1270" t="s">
        <v>105</v>
      </c>
      <c r="AR1270" t="str">
        <f t="shared" si="38"/>
        <v>60604034.STATEQ</v>
      </c>
      <c r="AS1270">
        <f t="shared" si="39"/>
        <v>11913495.539999997</v>
      </c>
      <c r="AT1270" t="s">
        <v>82</v>
      </c>
    </row>
    <row r="1271" spans="1:46" x14ac:dyDescent="0.35">
      <c r="A1271" t="s">
        <v>52</v>
      </c>
      <c r="B1271" t="s">
        <v>53</v>
      </c>
      <c r="C1271" t="s">
        <v>54</v>
      </c>
      <c r="D1271" t="s">
        <v>55</v>
      </c>
      <c r="E1271" t="s">
        <v>56</v>
      </c>
      <c r="F1271" t="s">
        <v>3900</v>
      </c>
      <c r="G1271" t="s">
        <v>3901</v>
      </c>
      <c r="H1271" t="s">
        <v>153</v>
      </c>
      <c r="I1271" t="s">
        <v>3997</v>
      </c>
      <c r="J1271" t="s">
        <v>56</v>
      </c>
      <c r="K1271" t="s">
        <v>62</v>
      </c>
      <c r="L1271" t="s">
        <v>56</v>
      </c>
      <c r="M1271" t="s">
        <v>56</v>
      </c>
      <c r="N1271" t="s">
        <v>155</v>
      </c>
      <c r="O1271" t="s">
        <v>3904</v>
      </c>
      <c r="P1271" t="s">
        <v>3905</v>
      </c>
      <c r="Q1271" t="s">
        <v>114</v>
      </c>
      <c r="R1271" t="s">
        <v>67</v>
      </c>
      <c r="S1271">
        <v>250000000</v>
      </c>
      <c r="T1271">
        <v>159417758.06</v>
      </c>
      <c r="U1271" t="s">
        <v>68</v>
      </c>
      <c r="V1271" t="s">
        <v>3895</v>
      </c>
      <c r="W1271" s="9">
        <v>60604034</v>
      </c>
      <c r="X1271" t="s">
        <v>3998</v>
      </c>
      <c r="Y1271" s="1">
        <v>45566</v>
      </c>
      <c r="Z1271" s="1">
        <v>45611</v>
      </c>
      <c r="AA1271" s="2">
        <v>11833631.18</v>
      </c>
      <c r="AB1271" s="2">
        <v>10028501</v>
      </c>
      <c r="AC1271" s="2">
        <v>1805130.18</v>
      </c>
      <c r="AD1271" s="2">
        <v>1011875.25</v>
      </c>
      <c r="AE1271" t="s">
        <v>3999</v>
      </c>
      <c r="AF1271" t="s">
        <v>72</v>
      </c>
      <c r="AG1271">
        <v>467</v>
      </c>
      <c r="AH1271" t="s">
        <v>473</v>
      </c>
      <c r="AI1271" t="s">
        <v>74</v>
      </c>
      <c r="AJ1271" t="s">
        <v>75</v>
      </c>
      <c r="AK1271" t="s">
        <v>102</v>
      </c>
      <c r="AL1271" t="s">
        <v>77</v>
      </c>
      <c r="AM1271" t="s">
        <v>103</v>
      </c>
      <c r="AN1271" t="s">
        <v>738</v>
      </c>
      <c r="AO1271" t="s">
        <v>80</v>
      </c>
      <c r="AP1271" t="e">
        <v>#N/A</v>
      </c>
      <c r="AQ1271" t="s">
        <v>105</v>
      </c>
      <c r="AR1271" t="str">
        <f t="shared" si="38"/>
        <v>60604034.STATEQ</v>
      </c>
      <c r="AS1271">
        <f t="shared" si="39"/>
        <v>11913495.539999997</v>
      </c>
      <c r="AT1271" t="s">
        <v>82</v>
      </c>
    </row>
    <row r="1272" spans="1:46" x14ac:dyDescent="0.35">
      <c r="A1272" t="s">
        <v>52</v>
      </c>
      <c r="B1272" t="s">
        <v>53</v>
      </c>
      <c r="C1272" t="s">
        <v>54</v>
      </c>
      <c r="D1272" t="s">
        <v>55</v>
      </c>
      <c r="E1272" t="s">
        <v>56</v>
      </c>
      <c r="F1272" t="s">
        <v>3900</v>
      </c>
      <c r="G1272" t="s">
        <v>3901</v>
      </c>
      <c r="H1272" t="s">
        <v>153</v>
      </c>
      <c r="I1272" t="s">
        <v>4000</v>
      </c>
      <c r="J1272" t="s">
        <v>56</v>
      </c>
      <c r="K1272" t="s">
        <v>62</v>
      </c>
      <c r="L1272" t="s">
        <v>56</v>
      </c>
      <c r="M1272" t="s">
        <v>56</v>
      </c>
      <c r="N1272" t="s">
        <v>155</v>
      </c>
      <c r="O1272" t="s">
        <v>2341</v>
      </c>
      <c r="P1272" t="s">
        <v>2342</v>
      </c>
      <c r="Q1272" t="s">
        <v>393</v>
      </c>
      <c r="R1272" t="s">
        <v>67</v>
      </c>
      <c r="S1272">
        <v>250000000</v>
      </c>
      <c r="T1272">
        <v>159417758.06</v>
      </c>
      <c r="U1272" t="s">
        <v>68</v>
      </c>
      <c r="V1272" t="s">
        <v>3895</v>
      </c>
      <c r="W1272" s="9">
        <v>60604034</v>
      </c>
      <c r="X1272" t="s">
        <v>4001</v>
      </c>
      <c r="Y1272" s="1">
        <v>45576</v>
      </c>
      <c r="Z1272" s="1">
        <v>45623</v>
      </c>
      <c r="AA1272" s="2">
        <v>1451294.09</v>
      </c>
      <c r="AB1272" s="2">
        <v>1229910.25</v>
      </c>
      <c r="AC1272" s="2">
        <v>221383.84</v>
      </c>
      <c r="AD1272" s="2">
        <v>534574.85</v>
      </c>
      <c r="AE1272" t="s">
        <v>4002</v>
      </c>
      <c r="AF1272" t="s">
        <v>72</v>
      </c>
      <c r="AG1272">
        <v>455</v>
      </c>
      <c r="AH1272" t="s">
        <v>473</v>
      </c>
      <c r="AI1272" t="s">
        <v>74</v>
      </c>
      <c r="AJ1272" t="s">
        <v>75</v>
      </c>
      <c r="AK1272" t="s">
        <v>102</v>
      </c>
      <c r="AL1272" t="s">
        <v>77</v>
      </c>
      <c r="AM1272" t="s">
        <v>103</v>
      </c>
      <c r="AN1272" t="s">
        <v>738</v>
      </c>
      <c r="AO1272" t="s">
        <v>80</v>
      </c>
      <c r="AP1272" t="e">
        <v>#N/A</v>
      </c>
      <c r="AQ1272" t="s">
        <v>105</v>
      </c>
      <c r="AR1272" t="str">
        <f t="shared" si="38"/>
        <v>60604034.STATEQ</v>
      </c>
      <c r="AS1272">
        <f t="shared" si="39"/>
        <v>11913495.539999997</v>
      </c>
      <c r="AT1272" t="s">
        <v>82</v>
      </c>
    </row>
    <row r="1273" spans="1:46" x14ac:dyDescent="0.35">
      <c r="A1273" t="s">
        <v>52</v>
      </c>
      <c r="B1273" t="s">
        <v>53</v>
      </c>
      <c r="C1273" t="s">
        <v>54</v>
      </c>
      <c r="D1273" t="s">
        <v>55</v>
      </c>
      <c r="E1273" t="s">
        <v>56</v>
      </c>
      <c r="F1273" t="s">
        <v>3900</v>
      </c>
      <c r="G1273" t="s">
        <v>3901</v>
      </c>
      <c r="H1273" t="s">
        <v>153</v>
      </c>
      <c r="I1273" t="s">
        <v>4000</v>
      </c>
      <c r="J1273" t="s">
        <v>56</v>
      </c>
      <c r="K1273" t="s">
        <v>62</v>
      </c>
      <c r="L1273" t="s">
        <v>56</v>
      </c>
      <c r="M1273" t="s">
        <v>56</v>
      </c>
      <c r="N1273" t="s">
        <v>155</v>
      </c>
      <c r="O1273" t="s">
        <v>2341</v>
      </c>
      <c r="P1273" t="s">
        <v>2342</v>
      </c>
      <c r="Q1273" t="s">
        <v>393</v>
      </c>
      <c r="R1273" t="s">
        <v>67</v>
      </c>
      <c r="S1273">
        <v>250000000</v>
      </c>
      <c r="T1273">
        <v>159417758.06</v>
      </c>
      <c r="U1273" t="s">
        <v>68</v>
      </c>
      <c r="V1273" t="s">
        <v>3895</v>
      </c>
      <c r="W1273" s="9">
        <v>60604034</v>
      </c>
      <c r="X1273" t="s">
        <v>4003</v>
      </c>
      <c r="Y1273" s="1">
        <v>45580</v>
      </c>
      <c r="Z1273" s="1">
        <v>45625</v>
      </c>
      <c r="AA1273" s="2">
        <v>2902588.84</v>
      </c>
      <c r="AB1273" s="2">
        <v>2459821.0499999998</v>
      </c>
      <c r="AC1273" s="2">
        <v>442767.79</v>
      </c>
      <c r="AD1273" s="2">
        <v>248195.94</v>
      </c>
      <c r="AE1273" t="s">
        <v>4004</v>
      </c>
      <c r="AF1273" t="s">
        <v>72</v>
      </c>
      <c r="AG1273">
        <v>453</v>
      </c>
      <c r="AH1273" t="s">
        <v>473</v>
      </c>
      <c r="AI1273" t="s">
        <v>74</v>
      </c>
      <c r="AJ1273" t="s">
        <v>75</v>
      </c>
      <c r="AK1273" t="s">
        <v>102</v>
      </c>
      <c r="AL1273" t="s">
        <v>77</v>
      </c>
      <c r="AM1273" t="s">
        <v>103</v>
      </c>
      <c r="AN1273" t="s">
        <v>738</v>
      </c>
      <c r="AO1273" t="s">
        <v>80</v>
      </c>
      <c r="AP1273" t="e">
        <v>#N/A</v>
      </c>
      <c r="AQ1273" t="s">
        <v>105</v>
      </c>
      <c r="AR1273" t="str">
        <f t="shared" si="38"/>
        <v>60604034.STATEQ</v>
      </c>
      <c r="AS1273">
        <f t="shared" si="39"/>
        <v>11913495.539999997</v>
      </c>
      <c r="AT1273" t="s">
        <v>82</v>
      </c>
    </row>
    <row r="1274" spans="1:46" x14ac:dyDescent="0.35">
      <c r="A1274" t="s">
        <v>52</v>
      </c>
      <c r="B1274" t="s">
        <v>53</v>
      </c>
      <c r="C1274" t="s">
        <v>54</v>
      </c>
      <c r="D1274" t="s">
        <v>55</v>
      </c>
      <c r="E1274" t="s">
        <v>56</v>
      </c>
      <c r="F1274" t="s">
        <v>3900</v>
      </c>
      <c r="G1274" t="s">
        <v>4005</v>
      </c>
      <c r="H1274" t="s">
        <v>56</v>
      </c>
      <c r="I1274" t="s">
        <v>4006</v>
      </c>
      <c r="J1274" t="s">
        <v>56</v>
      </c>
      <c r="K1274" t="s">
        <v>62</v>
      </c>
      <c r="L1274" t="s">
        <v>4007</v>
      </c>
      <c r="M1274" t="s">
        <v>56</v>
      </c>
      <c r="N1274" t="s">
        <v>680</v>
      </c>
      <c r="O1274" t="s">
        <v>974</v>
      </c>
      <c r="P1274" t="s">
        <v>975</v>
      </c>
      <c r="Q1274" t="s">
        <v>114</v>
      </c>
      <c r="R1274" t="s">
        <v>67</v>
      </c>
      <c r="S1274">
        <v>250000000</v>
      </c>
      <c r="T1274">
        <v>159417758.06</v>
      </c>
      <c r="U1274" t="s">
        <v>68</v>
      </c>
      <c r="V1274" t="s">
        <v>3895</v>
      </c>
      <c r="W1274" s="9">
        <v>60604034</v>
      </c>
      <c r="X1274" t="s">
        <v>4008</v>
      </c>
      <c r="Y1274" s="1">
        <v>45689</v>
      </c>
      <c r="Z1274" s="1">
        <v>45719</v>
      </c>
      <c r="AA1274" s="2">
        <v>145105.82999999999</v>
      </c>
      <c r="AB1274" s="2">
        <v>122971.04</v>
      </c>
      <c r="AC1274" s="2">
        <v>22134.79</v>
      </c>
      <c r="AD1274" s="2">
        <v>96874.25</v>
      </c>
      <c r="AE1274" t="s">
        <v>4009</v>
      </c>
      <c r="AF1274" t="s">
        <v>72</v>
      </c>
      <c r="AG1274">
        <v>359</v>
      </c>
      <c r="AH1274" t="s">
        <v>101</v>
      </c>
      <c r="AI1274" t="s">
        <v>74</v>
      </c>
      <c r="AJ1274" t="s">
        <v>127</v>
      </c>
      <c r="AK1274" t="s">
        <v>334</v>
      </c>
      <c r="AL1274" t="s">
        <v>77</v>
      </c>
      <c r="AM1274" t="s">
        <v>78</v>
      </c>
      <c r="AN1274" t="s">
        <v>979</v>
      </c>
      <c r="AO1274" t="s">
        <v>80</v>
      </c>
      <c r="AP1274" t="e">
        <v>#N/A</v>
      </c>
      <c r="AQ1274" t="s">
        <v>335</v>
      </c>
      <c r="AR1274" t="str">
        <f t="shared" si="38"/>
        <v>60604034.SPMINAM</v>
      </c>
      <c r="AS1274">
        <f t="shared" si="39"/>
        <v>22834340.790000007</v>
      </c>
      <c r="AT1274" t="s">
        <v>82</v>
      </c>
    </row>
    <row r="1275" spans="1:46" x14ac:dyDescent="0.35">
      <c r="A1275" t="s">
        <v>52</v>
      </c>
      <c r="B1275" t="s">
        <v>53</v>
      </c>
      <c r="C1275" t="s">
        <v>54</v>
      </c>
      <c r="D1275" t="s">
        <v>55</v>
      </c>
      <c r="E1275" t="s">
        <v>56</v>
      </c>
      <c r="F1275" t="s">
        <v>3900</v>
      </c>
      <c r="G1275" t="s">
        <v>4005</v>
      </c>
      <c r="H1275" t="s">
        <v>56</v>
      </c>
      <c r="I1275" t="s">
        <v>4006</v>
      </c>
      <c r="J1275" t="s">
        <v>56</v>
      </c>
      <c r="K1275" t="s">
        <v>62</v>
      </c>
      <c r="L1275" t="s">
        <v>4007</v>
      </c>
      <c r="M1275" t="s">
        <v>56</v>
      </c>
      <c r="N1275" t="s">
        <v>252</v>
      </c>
      <c r="O1275" t="s">
        <v>974</v>
      </c>
      <c r="P1275" t="s">
        <v>975</v>
      </c>
      <c r="Q1275" t="s">
        <v>114</v>
      </c>
      <c r="R1275" t="s">
        <v>67</v>
      </c>
      <c r="S1275">
        <v>250000000</v>
      </c>
      <c r="T1275">
        <v>159417758.06</v>
      </c>
      <c r="U1275" t="s">
        <v>68</v>
      </c>
      <c r="V1275" t="s">
        <v>3895</v>
      </c>
      <c r="W1275" s="9">
        <v>60604034</v>
      </c>
      <c r="X1275" t="s">
        <v>4008</v>
      </c>
      <c r="Y1275" s="1">
        <v>45689</v>
      </c>
      <c r="Z1275" s="1">
        <v>45719</v>
      </c>
      <c r="AA1275" s="2">
        <v>2997403.29</v>
      </c>
      <c r="AB1275" s="2">
        <v>2540172.2799999998</v>
      </c>
      <c r="AC1275" s="2">
        <v>457231.01</v>
      </c>
      <c r="AD1275" s="2">
        <v>2001099.54</v>
      </c>
      <c r="AE1275" t="s">
        <v>4010</v>
      </c>
      <c r="AF1275" t="s">
        <v>72</v>
      </c>
      <c r="AG1275">
        <v>359</v>
      </c>
      <c r="AH1275" t="s">
        <v>101</v>
      </c>
      <c r="AI1275" t="s">
        <v>74</v>
      </c>
      <c r="AJ1275" t="s">
        <v>75</v>
      </c>
      <c r="AK1275" t="s">
        <v>76</v>
      </c>
      <c r="AL1275" t="s">
        <v>77</v>
      </c>
      <c r="AM1275" t="s">
        <v>78</v>
      </c>
      <c r="AN1275" t="s">
        <v>979</v>
      </c>
      <c r="AO1275" t="s">
        <v>80</v>
      </c>
      <c r="AP1275" t="e">
        <v>#N/A</v>
      </c>
      <c r="AQ1275" t="s">
        <v>81</v>
      </c>
      <c r="AR1275" t="str">
        <f t="shared" si="38"/>
        <v>60604034.STATAM</v>
      </c>
      <c r="AS1275">
        <f t="shared" si="39"/>
        <v>21743401.179999996</v>
      </c>
      <c r="AT1275" t="s">
        <v>82</v>
      </c>
    </row>
    <row r="1276" spans="1:46" x14ac:dyDescent="0.35">
      <c r="A1276" t="s">
        <v>52</v>
      </c>
      <c r="B1276" t="s">
        <v>53</v>
      </c>
      <c r="C1276" t="s">
        <v>54</v>
      </c>
      <c r="D1276" t="s">
        <v>55</v>
      </c>
      <c r="E1276" t="s">
        <v>56</v>
      </c>
      <c r="F1276" t="s">
        <v>3900</v>
      </c>
      <c r="G1276" t="s">
        <v>4005</v>
      </c>
      <c r="H1276" t="s">
        <v>56</v>
      </c>
      <c r="I1276" t="s">
        <v>4006</v>
      </c>
      <c r="J1276" t="s">
        <v>56</v>
      </c>
      <c r="K1276" t="s">
        <v>62</v>
      </c>
      <c r="L1276" t="s">
        <v>4007</v>
      </c>
      <c r="M1276" t="s">
        <v>56</v>
      </c>
      <c r="N1276" t="s">
        <v>254</v>
      </c>
      <c r="O1276" t="s">
        <v>974</v>
      </c>
      <c r="P1276" t="s">
        <v>975</v>
      </c>
      <c r="Q1276" t="s">
        <v>114</v>
      </c>
      <c r="R1276" t="s">
        <v>67</v>
      </c>
      <c r="S1276">
        <v>250000000</v>
      </c>
      <c r="T1276">
        <v>159417758.06</v>
      </c>
      <c r="U1276" t="s">
        <v>68</v>
      </c>
      <c r="V1276" t="s">
        <v>3895</v>
      </c>
      <c r="W1276" s="9">
        <v>60604034</v>
      </c>
      <c r="X1276" t="s">
        <v>4008</v>
      </c>
      <c r="Y1276" s="1">
        <v>45689</v>
      </c>
      <c r="Z1276" s="1">
        <v>45719</v>
      </c>
      <c r="AA1276" s="2">
        <v>5149829.16</v>
      </c>
      <c r="AB1276" s="2">
        <v>4364262</v>
      </c>
      <c r="AC1276" s="2">
        <v>785567.16</v>
      </c>
      <c r="AD1276" s="2">
        <v>3438082.81</v>
      </c>
      <c r="AE1276" t="s">
        <v>4011</v>
      </c>
      <c r="AF1276" t="s">
        <v>72</v>
      </c>
      <c r="AG1276">
        <v>359</v>
      </c>
      <c r="AH1276" t="s">
        <v>101</v>
      </c>
      <c r="AI1276" t="s">
        <v>74</v>
      </c>
      <c r="AJ1276" t="s">
        <v>75</v>
      </c>
      <c r="AK1276" t="s">
        <v>76</v>
      </c>
      <c r="AL1276" t="s">
        <v>77</v>
      </c>
      <c r="AM1276" t="s">
        <v>78</v>
      </c>
      <c r="AN1276" t="s">
        <v>979</v>
      </c>
      <c r="AO1276" t="s">
        <v>80</v>
      </c>
      <c r="AP1276" t="e">
        <v>#N/A</v>
      </c>
      <c r="AQ1276" t="s">
        <v>81</v>
      </c>
      <c r="AR1276" t="str">
        <f t="shared" si="38"/>
        <v>60604034.STATAM</v>
      </c>
      <c r="AS1276">
        <f t="shared" si="39"/>
        <v>21743401.179999996</v>
      </c>
      <c r="AT1276" t="s">
        <v>82</v>
      </c>
    </row>
    <row r="1277" spans="1:46" x14ac:dyDescent="0.35">
      <c r="A1277" t="s">
        <v>52</v>
      </c>
      <c r="B1277" t="s">
        <v>53</v>
      </c>
      <c r="C1277" t="s">
        <v>54</v>
      </c>
      <c r="D1277" t="s">
        <v>55</v>
      </c>
      <c r="E1277" t="s">
        <v>56</v>
      </c>
      <c r="F1277" t="s">
        <v>3900</v>
      </c>
      <c r="G1277" t="s">
        <v>4005</v>
      </c>
      <c r="H1277" t="s">
        <v>56</v>
      </c>
      <c r="I1277" t="s">
        <v>4006</v>
      </c>
      <c r="J1277" t="s">
        <v>56</v>
      </c>
      <c r="K1277" t="s">
        <v>62</v>
      </c>
      <c r="L1277" t="s">
        <v>4007</v>
      </c>
      <c r="M1277" t="s">
        <v>56</v>
      </c>
      <c r="N1277" t="s">
        <v>682</v>
      </c>
      <c r="O1277" t="s">
        <v>974</v>
      </c>
      <c r="P1277" t="s">
        <v>975</v>
      </c>
      <c r="Q1277" t="s">
        <v>114</v>
      </c>
      <c r="R1277" t="s">
        <v>67</v>
      </c>
      <c r="S1277">
        <v>250000000</v>
      </c>
      <c r="T1277">
        <v>159417758.06</v>
      </c>
      <c r="U1277" t="s">
        <v>68</v>
      </c>
      <c r="V1277" t="s">
        <v>3895</v>
      </c>
      <c r="W1277" s="9">
        <v>60604034</v>
      </c>
      <c r="X1277" t="s">
        <v>4008</v>
      </c>
      <c r="Y1277" s="1">
        <v>45689</v>
      </c>
      <c r="Z1277" s="1">
        <v>45719</v>
      </c>
      <c r="AA1277" s="2">
        <v>3878847.7</v>
      </c>
      <c r="AB1277" s="2">
        <v>3287159.07</v>
      </c>
      <c r="AC1277" s="2">
        <v>591688.63</v>
      </c>
      <c r="AD1277" s="2">
        <v>2589561.56</v>
      </c>
      <c r="AE1277" t="s">
        <v>4012</v>
      </c>
      <c r="AF1277" t="s">
        <v>72</v>
      </c>
      <c r="AG1277">
        <v>359</v>
      </c>
      <c r="AH1277" t="s">
        <v>101</v>
      </c>
      <c r="AI1277" t="s">
        <v>74</v>
      </c>
      <c r="AJ1277" t="s">
        <v>127</v>
      </c>
      <c r="AK1277" t="s">
        <v>334</v>
      </c>
      <c r="AL1277" t="s">
        <v>77</v>
      </c>
      <c r="AM1277" t="s">
        <v>78</v>
      </c>
      <c r="AN1277" t="s">
        <v>979</v>
      </c>
      <c r="AO1277" t="s">
        <v>80</v>
      </c>
      <c r="AP1277" t="e">
        <v>#N/A</v>
      </c>
      <c r="AQ1277" t="s">
        <v>335</v>
      </c>
      <c r="AR1277" t="str">
        <f t="shared" si="38"/>
        <v>60604034.SPMINAM</v>
      </c>
      <c r="AS1277">
        <f t="shared" si="39"/>
        <v>22834340.790000007</v>
      </c>
      <c r="AT1277" t="s">
        <v>82</v>
      </c>
    </row>
    <row r="1278" spans="1:46" x14ac:dyDescent="0.35">
      <c r="A1278" t="s">
        <v>52</v>
      </c>
      <c r="B1278" t="s">
        <v>53</v>
      </c>
      <c r="C1278" t="s">
        <v>54</v>
      </c>
      <c r="D1278" t="s">
        <v>55</v>
      </c>
      <c r="E1278" t="s">
        <v>56</v>
      </c>
      <c r="F1278" t="s">
        <v>3900</v>
      </c>
      <c r="G1278" t="s">
        <v>4005</v>
      </c>
      <c r="H1278" t="s">
        <v>56</v>
      </c>
      <c r="I1278" t="s">
        <v>4006</v>
      </c>
      <c r="J1278" t="s">
        <v>56</v>
      </c>
      <c r="K1278" t="s">
        <v>62</v>
      </c>
      <c r="L1278" t="s">
        <v>4007</v>
      </c>
      <c r="M1278" t="s">
        <v>56</v>
      </c>
      <c r="N1278" t="s">
        <v>1727</v>
      </c>
      <c r="O1278" t="s">
        <v>974</v>
      </c>
      <c r="P1278" t="s">
        <v>975</v>
      </c>
      <c r="Q1278" t="s">
        <v>114</v>
      </c>
      <c r="R1278" t="s">
        <v>67</v>
      </c>
      <c r="S1278">
        <v>250000000</v>
      </c>
      <c r="T1278">
        <v>159417758.06</v>
      </c>
      <c r="U1278" t="s">
        <v>68</v>
      </c>
      <c r="V1278" t="s">
        <v>3895</v>
      </c>
      <c r="W1278" s="9">
        <v>60604034</v>
      </c>
      <c r="X1278" t="s">
        <v>4008</v>
      </c>
      <c r="Y1278" s="1">
        <v>45689</v>
      </c>
      <c r="Z1278" s="1">
        <v>45719</v>
      </c>
      <c r="AA1278" s="2">
        <v>2498583.73</v>
      </c>
      <c r="AB1278" s="2">
        <v>2117443.84</v>
      </c>
      <c r="AC1278" s="2">
        <v>381139.89</v>
      </c>
      <c r="AD1278" s="2">
        <v>1668082.09</v>
      </c>
      <c r="AE1278" t="s">
        <v>4013</v>
      </c>
      <c r="AF1278" t="s">
        <v>72</v>
      </c>
      <c r="AG1278">
        <v>359</v>
      </c>
      <c r="AH1278" t="s">
        <v>101</v>
      </c>
      <c r="AI1278" t="s">
        <v>74</v>
      </c>
      <c r="AJ1278" t="s">
        <v>127</v>
      </c>
      <c r="AK1278" t="s">
        <v>334</v>
      </c>
      <c r="AL1278" t="s">
        <v>77</v>
      </c>
      <c r="AM1278" t="s">
        <v>78</v>
      </c>
      <c r="AN1278" t="s">
        <v>979</v>
      </c>
      <c r="AO1278" t="s">
        <v>80</v>
      </c>
      <c r="AP1278" t="e">
        <v>#N/A</v>
      </c>
      <c r="AQ1278" t="s">
        <v>335</v>
      </c>
      <c r="AR1278" t="str">
        <f t="shared" si="38"/>
        <v>60604034.SPMINAM</v>
      </c>
      <c r="AS1278">
        <f t="shared" si="39"/>
        <v>22834340.790000007</v>
      </c>
      <c r="AT1278" t="s">
        <v>82</v>
      </c>
    </row>
    <row r="1279" spans="1:46" x14ac:dyDescent="0.35">
      <c r="A1279" t="s">
        <v>52</v>
      </c>
      <c r="B1279" t="s">
        <v>53</v>
      </c>
      <c r="C1279" t="s">
        <v>54</v>
      </c>
      <c r="D1279" t="s">
        <v>55</v>
      </c>
      <c r="E1279" t="s">
        <v>56</v>
      </c>
      <c r="F1279" t="s">
        <v>3900</v>
      </c>
      <c r="G1279" t="s">
        <v>4005</v>
      </c>
      <c r="H1279" t="s">
        <v>56</v>
      </c>
      <c r="I1279" t="s">
        <v>4014</v>
      </c>
      <c r="J1279" t="s">
        <v>56</v>
      </c>
      <c r="K1279" t="s">
        <v>62</v>
      </c>
      <c r="L1279" t="s">
        <v>4007</v>
      </c>
      <c r="M1279" t="s">
        <v>56</v>
      </c>
      <c r="N1279" t="s">
        <v>254</v>
      </c>
      <c r="O1279" t="s">
        <v>974</v>
      </c>
      <c r="P1279" t="s">
        <v>975</v>
      </c>
      <c r="Q1279" t="s">
        <v>114</v>
      </c>
      <c r="R1279" t="s">
        <v>67</v>
      </c>
      <c r="S1279">
        <v>250000000</v>
      </c>
      <c r="T1279">
        <v>159417758.06</v>
      </c>
      <c r="U1279" t="s">
        <v>68</v>
      </c>
      <c r="V1279" t="s">
        <v>3895</v>
      </c>
      <c r="W1279" s="9">
        <v>60604034</v>
      </c>
      <c r="X1279" t="s">
        <v>4015</v>
      </c>
      <c r="Y1279" s="1">
        <v>45691</v>
      </c>
      <c r="Z1279" s="1">
        <v>45721</v>
      </c>
      <c r="AA1279" s="2">
        <v>4984396.7</v>
      </c>
      <c r="AB1279" s="2">
        <v>4224065</v>
      </c>
      <c r="AC1279" s="2">
        <v>760331.7</v>
      </c>
      <c r="AD1279" s="2">
        <v>426630.07</v>
      </c>
      <c r="AE1279" t="s">
        <v>4016</v>
      </c>
      <c r="AF1279" t="s">
        <v>72</v>
      </c>
      <c r="AG1279">
        <v>357</v>
      </c>
      <c r="AH1279" t="s">
        <v>101</v>
      </c>
      <c r="AI1279" t="s">
        <v>74</v>
      </c>
      <c r="AJ1279" t="s">
        <v>75</v>
      </c>
      <c r="AK1279" t="s">
        <v>76</v>
      </c>
      <c r="AL1279" t="s">
        <v>77</v>
      </c>
      <c r="AM1279" t="s">
        <v>78</v>
      </c>
      <c r="AN1279" t="s">
        <v>979</v>
      </c>
      <c r="AO1279" t="s">
        <v>80</v>
      </c>
      <c r="AP1279" t="e">
        <v>#N/A</v>
      </c>
      <c r="AQ1279" t="s">
        <v>81</v>
      </c>
      <c r="AR1279" t="str">
        <f t="shared" si="38"/>
        <v>60604034.STATAM</v>
      </c>
      <c r="AS1279">
        <f t="shared" si="39"/>
        <v>21743401.179999996</v>
      </c>
      <c r="AT1279" t="s">
        <v>82</v>
      </c>
    </row>
    <row r="1280" spans="1:46" x14ac:dyDescent="0.35">
      <c r="A1280" t="s">
        <v>52</v>
      </c>
      <c r="B1280" t="s">
        <v>53</v>
      </c>
      <c r="C1280" t="s">
        <v>54</v>
      </c>
      <c r="D1280" t="s">
        <v>55</v>
      </c>
      <c r="E1280" t="s">
        <v>56</v>
      </c>
      <c r="F1280" t="s">
        <v>3900</v>
      </c>
      <c r="G1280" t="s">
        <v>4017</v>
      </c>
      <c r="H1280" t="s">
        <v>56</v>
      </c>
      <c r="I1280" t="s">
        <v>4018</v>
      </c>
      <c r="J1280" t="s">
        <v>56</v>
      </c>
      <c r="K1280" t="s">
        <v>62</v>
      </c>
      <c r="L1280" t="s">
        <v>4007</v>
      </c>
      <c r="M1280" t="s">
        <v>56</v>
      </c>
      <c r="N1280" t="s">
        <v>254</v>
      </c>
      <c r="O1280" t="s">
        <v>974</v>
      </c>
      <c r="P1280" t="s">
        <v>975</v>
      </c>
      <c r="Q1280" t="s">
        <v>114</v>
      </c>
      <c r="R1280" t="s">
        <v>67</v>
      </c>
      <c r="S1280">
        <v>250000000</v>
      </c>
      <c r="T1280">
        <v>159417758.06</v>
      </c>
      <c r="U1280" t="s">
        <v>68</v>
      </c>
      <c r="V1280" t="s">
        <v>3895</v>
      </c>
      <c r="W1280" s="9">
        <v>60604034</v>
      </c>
      <c r="X1280" t="s">
        <v>4019</v>
      </c>
      <c r="Y1280" s="1">
        <v>45695</v>
      </c>
      <c r="Z1280" s="1">
        <v>45725</v>
      </c>
      <c r="AA1280" s="2">
        <v>1565093</v>
      </c>
      <c r="AB1280" s="2">
        <v>1326350</v>
      </c>
      <c r="AC1280" s="2">
        <v>238743</v>
      </c>
      <c r="AD1280" s="2">
        <v>133961.35</v>
      </c>
      <c r="AE1280" t="s">
        <v>4020</v>
      </c>
      <c r="AF1280" t="s">
        <v>72</v>
      </c>
      <c r="AG1280">
        <v>353</v>
      </c>
      <c r="AH1280" t="s">
        <v>101</v>
      </c>
      <c r="AI1280" t="s">
        <v>74</v>
      </c>
      <c r="AJ1280" t="s">
        <v>75</v>
      </c>
      <c r="AK1280" t="s">
        <v>76</v>
      </c>
      <c r="AL1280" t="s">
        <v>77</v>
      </c>
      <c r="AM1280" t="s">
        <v>78</v>
      </c>
      <c r="AN1280" t="s">
        <v>979</v>
      </c>
      <c r="AO1280" t="s">
        <v>80</v>
      </c>
      <c r="AP1280" t="e">
        <v>#N/A</v>
      </c>
      <c r="AQ1280" t="s">
        <v>81</v>
      </c>
      <c r="AR1280" t="str">
        <f t="shared" si="38"/>
        <v>60604034.STATAM</v>
      </c>
      <c r="AS1280">
        <f t="shared" si="39"/>
        <v>21743401.179999996</v>
      </c>
      <c r="AT1280" t="s">
        <v>82</v>
      </c>
    </row>
    <row r="1281" spans="1:46" x14ac:dyDescent="0.35">
      <c r="A1281" t="s">
        <v>52</v>
      </c>
      <c r="B1281" t="s">
        <v>53</v>
      </c>
      <c r="C1281" t="s">
        <v>54</v>
      </c>
      <c r="D1281" t="s">
        <v>55</v>
      </c>
      <c r="E1281" t="s">
        <v>56</v>
      </c>
      <c r="F1281" t="s">
        <v>3900</v>
      </c>
      <c r="G1281" t="s">
        <v>4017</v>
      </c>
      <c r="H1281" t="s">
        <v>56</v>
      </c>
      <c r="I1281" t="s">
        <v>4021</v>
      </c>
      <c r="J1281" t="s">
        <v>56</v>
      </c>
      <c r="K1281" t="s">
        <v>62</v>
      </c>
      <c r="L1281" t="s">
        <v>4007</v>
      </c>
      <c r="M1281" t="s">
        <v>56</v>
      </c>
      <c r="N1281" t="s">
        <v>254</v>
      </c>
      <c r="O1281" t="s">
        <v>974</v>
      </c>
      <c r="P1281" t="s">
        <v>975</v>
      </c>
      <c r="Q1281" t="s">
        <v>114</v>
      </c>
      <c r="R1281" t="s">
        <v>67</v>
      </c>
      <c r="S1281">
        <v>250000000</v>
      </c>
      <c r="T1281">
        <v>159417758.06</v>
      </c>
      <c r="U1281" t="s">
        <v>68</v>
      </c>
      <c r="V1281" t="s">
        <v>3895</v>
      </c>
      <c r="W1281" s="9">
        <v>60604034</v>
      </c>
      <c r="X1281" t="s">
        <v>4022</v>
      </c>
      <c r="Y1281" s="1">
        <v>45696</v>
      </c>
      <c r="Z1281" s="1">
        <v>45726</v>
      </c>
      <c r="AA1281" s="2">
        <v>1088840.28</v>
      </c>
      <c r="AB1281" s="2">
        <v>922746</v>
      </c>
      <c r="AC1281" s="2">
        <v>166094.28</v>
      </c>
      <c r="AD1281" s="2">
        <v>93197.5</v>
      </c>
      <c r="AE1281" t="s">
        <v>4023</v>
      </c>
      <c r="AF1281" t="s">
        <v>72</v>
      </c>
      <c r="AG1281">
        <v>352</v>
      </c>
      <c r="AH1281" t="s">
        <v>101</v>
      </c>
      <c r="AI1281" t="s">
        <v>74</v>
      </c>
      <c r="AJ1281" t="s">
        <v>75</v>
      </c>
      <c r="AK1281" t="s">
        <v>76</v>
      </c>
      <c r="AL1281" t="s">
        <v>77</v>
      </c>
      <c r="AM1281" t="s">
        <v>78</v>
      </c>
      <c r="AN1281" t="s">
        <v>979</v>
      </c>
      <c r="AO1281" t="s">
        <v>80</v>
      </c>
      <c r="AP1281" t="e">
        <v>#N/A</v>
      </c>
      <c r="AQ1281" t="s">
        <v>81</v>
      </c>
      <c r="AR1281" t="str">
        <f t="shared" si="38"/>
        <v>60604034.STATAM</v>
      </c>
      <c r="AS1281">
        <f t="shared" si="39"/>
        <v>21743401.179999996</v>
      </c>
      <c r="AT1281" t="s">
        <v>82</v>
      </c>
    </row>
    <row r="1282" spans="1:46" x14ac:dyDescent="0.35">
      <c r="A1282" t="s">
        <v>52</v>
      </c>
      <c r="B1282" t="s">
        <v>53</v>
      </c>
      <c r="C1282" t="s">
        <v>54</v>
      </c>
      <c r="D1282" t="s">
        <v>55</v>
      </c>
      <c r="E1282" t="s">
        <v>56</v>
      </c>
      <c r="F1282" t="s">
        <v>3900</v>
      </c>
      <c r="G1282" t="s">
        <v>4017</v>
      </c>
      <c r="H1282" t="s">
        <v>56</v>
      </c>
      <c r="I1282" t="s">
        <v>4021</v>
      </c>
      <c r="J1282" t="s">
        <v>56</v>
      </c>
      <c r="K1282" t="s">
        <v>62</v>
      </c>
      <c r="L1282" t="s">
        <v>4007</v>
      </c>
      <c r="M1282" t="s">
        <v>56</v>
      </c>
      <c r="N1282" t="s">
        <v>261</v>
      </c>
      <c r="O1282" t="s">
        <v>974</v>
      </c>
      <c r="P1282" t="s">
        <v>975</v>
      </c>
      <c r="Q1282" t="s">
        <v>114</v>
      </c>
      <c r="R1282" t="s">
        <v>67</v>
      </c>
      <c r="S1282">
        <v>250000000</v>
      </c>
      <c r="T1282">
        <v>159417758.06</v>
      </c>
      <c r="U1282" t="s">
        <v>68</v>
      </c>
      <c r="V1282" t="s">
        <v>3895</v>
      </c>
      <c r="W1282" s="9">
        <v>60604034</v>
      </c>
      <c r="X1282" t="s">
        <v>4022</v>
      </c>
      <c r="Y1282" s="1">
        <v>45696</v>
      </c>
      <c r="Z1282" s="1">
        <v>45726</v>
      </c>
      <c r="AA1282" s="2">
        <v>1559458.08</v>
      </c>
      <c r="AB1282" s="2">
        <v>1321574.6399999999</v>
      </c>
      <c r="AC1282" s="2">
        <v>237883.44</v>
      </c>
      <c r="AD1282" s="2">
        <v>133479.26</v>
      </c>
      <c r="AE1282" t="s">
        <v>4024</v>
      </c>
      <c r="AF1282" t="s">
        <v>72</v>
      </c>
      <c r="AG1282">
        <v>352</v>
      </c>
      <c r="AH1282" t="s">
        <v>101</v>
      </c>
      <c r="AI1282" t="s">
        <v>74</v>
      </c>
      <c r="AJ1282" t="s">
        <v>75</v>
      </c>
      <c r="AK1282" t="s">
        <v>76</v>
      </c>
      <c r="AL1282" t="s">
        <v>77</v>
      </c>
      <c r="AM1282" t="s">
        <v>78</v>
      </c>
      <c r="AN1282" t="s">
        <v>979</v>
      </c>
      <c r="AO1282" t="s">
        <v>80</v>
      </c>
      <c r="AP1282" t="e">
        <v>#N/A</v>
      </c>
      <c r="AQ1282" t="s">
        <v>81</v>
      </c>
      <c r="AR1282" t="str">
        <f t="shared" si="38"/>
        <v>60604034.STATAM</v>
      </c>
      <c r="AS1282">
        <f t="shared" si="39"/>
        <v>21743401.179999996</v>
      </c>
      <c r="AT1282" t="s">
        <v>82</v>
      </c>
    </row>
    <row r="1283" spans="1:46" x14ac:dyDescent="0.35">
      <c r="A1283" t="s">
        <v>52</v>
      </c>
      <c r="B1283" t="s">
        <v>53</v>
      </c>
      <c r="C1283" t="s">
        <v>54</v>
      </c>
      <c r="D1283" t="s">
        <v>55</v>
      </c>
      <c r="E1283" t="s">
        <v>56</v>
      </c>
      <c r="F1283" t="s">
        <v>3900</v>
      </c>
      <c r="G1283" t="s">
        <v>4017</v>
      </c>
      <c r="H1283" t="s">
        <v>56</v>
      </c>
      <c r="I1283" t="s">
        <v>4021</v>
      </c>
      <c r="J1283" t="s">
        <v>56</v>
      </c>
      <c r="K1283" t="s">
        <v>62</v>
      </c>
      <c r="L1283" t="s">
        <v>4007</v>
      </c>
      <c r="M1283" t="s">
        <v>56</v>
      </c>
      <c r="N1283" t="s">
        <v>682</v>
      </c>
      <c r="O1283" t="s">
        <v>974</v>
      </c>
      <c r="P1283" t="s">
        <v>975</v>
      </c>
      <c r="Q1283" t="s">
        <v>114</v>
      </c>
      <c r="R1283" t="s">
        <v>67</v>
      </c>
      <c r="S1283">
        <v>250000000</v>
      </c>
      <c r="T1283">
        <v>159417758.06</v>
      </c>
      <c r="U1283" t="s">
        <v>68</v>
      </c>
      <c r="V1283" t="s">
        <v>3895</v>
      </c>
      <c r="W1283" s="9">
        <v>60604034</v>
      </c>
      <c r="X1283" t="s">
        <v>4022</v>
      </c>
      <c r="Y1283" s="1">
        <v>45696</v>
      </c>
      <c r="Z1283" s="1">
        <v>45726</v>
      </c>
      <c r="AA1283" s="2">
        <v>12191.76</v>
      </c>
      <c r="AB1283" s="2">
        <v>10332</v>
      </c>
      <c r="AC1283" s="2">
        <v>1859.76</v>
      </c>
      <c r="AD1283" s="2">
        <v>1043.53</v>
      </c>
      <c r="AE1283" t="s">
        <v>4025</v>
      </c>
      <c r="AF1283" t="s">
        <v>72</v>
      </c>
      <c r="AG1283">
        <v>352</v>
      </c>
      <c r="AH1283" t="s">
        <v>101</v>
      </c>
      <c r="AI1283" t="s">
        <v>74</v>
      </c>
      <c r="AJ1283" t="s">
        <v>127</v>
      </c>
      <c r="AK1283" t="s">
        <v>334</v>
      </c>
      <c r="AL1283" t="s">
        <v>77</v>
      </c>
      <c r="AM1283" t="s">
        <v>78</v>
      </c>
      <c r="AN1283" t="s">
        <v>979</v>
      </c>
      <c r="AO1283" t="s">
        <v>80</v>
      </c>
      <c r="AP1283" t="e">
        <v>#N/A</v>
      </c>
      <c r="AQ1283" t="s">
        <v>335</v>
      </c>
      <c r="AR1283" t="str">
        <f t="shared" si="38"/>
        <v>60604034.SPMINAM</v>
      </c>
      <c r="AS1283">
        <f t="shared" si="39"/>
        <v>22834340.790000007</v>
      </c>
      <c r="AT1283" t="s">
        <v>82</v>
      </c>
    </row>
    <row r="1284" spans="1:46" x14ac:dyDescent="0.35">
      <c r="A1284" t="s">
        <v>52</v>
      </c>
      <c r="B1284" t="s">
        <v>53</v>
      </c>
      <c r="C1284" t="s">
        <v>54</v>
      </c>
      <c r="D1284" t="s">
        <v>55</v>
      </c>
      <c r="E1284" t="s">
        <v>56</v>
      </c>
      <c r="F1284" t="s">
        <v>3900</v>
      </c>
      <c r="G1284" t="s">
        <v>4017</v>
      </c>
      <c r="H1284" t="s">
        <v>56</v>
      </c>
      <c r="I1284" t="s">
        <v>4021</v>
      </c>
      <c r="J1284" t="s">
        <v>56</v>
      </c>
      <c r="K1284" t="s">
        <v>62</v>
      </c>
      <c r="L1284" t="s">
        <v>4007</v>
      </c>
      <c r="M1284" t="s">
        <v>56</v>
      </c>
      <c r="N1284" t="s">
        <v>252</v>
      </c>
      <c r="O1284" t="s">
        <v>974</v>
      </c>
      <c r="P1284" t="s">
        <v>975</v>
      </c>
      <c r="Q1284" t="s">
        <v>114</v>
      </c>
      <c r="R1284" t="s">
        <v>67</v>
      </c>
      <c r="S1284">
        <v>250000000</v>
      </c>
      <c r="T1284">
        <v>159417758.06</v>
      </c>
      <c r="U1284" t="s">
        <v>68</v>
      </c>
      <c r="V1284" t="s">
        <v>3895</v>
      </c>
      <c r="W1284" s="9">
        <v>60604034</v>
      </c>
      <c r="X1284" t="s">
        <v>4022</v>
      </c>
      <c r="Y1284" s="1">
        <v>45696</v>
      </c>
      <c r="Z1284" s="1">
        <v>45726</v>
      </c>
      <c r="AA1284" s="2">
        <v>2461111.13</v>
      </c>
      <c r="AB1284" s="2">
        <v>2085687.4</v>
      </c>
      <c r="AC1284" s="2">
        <v>375423.73</v>
      </c>
      <c r="AD1284" s="2">
        <v>210654.77</v>
      </c>
      <c r="AE1284" t="s">
        <v>4026</v>
      </c>
      <c r="AF1284" t="s">
        <v>72</v>
      </c>
      <c r="AG1284">
        <v>352</v>
      </c>
      <c r="AH1284" t="s">
        <v>101</v>
      </c>
      <c r="AI1284" t="s">
        <v>74</v>
      </c>
      <c r="AJ1284" t="s">
        <v>75</v>
      </c>
      <c r="AK1284" t="s">
        <v>76</v>
      </c>
      <c r="AL1284" t="s">
        <v>77</v>
      </c>
      <c r="AM1284" t="s">
        <v>78</v>
      </c>
      <c r="AN1284" t="s">
        <v>979</v>
      </c>
      <c r="AO1284" t="s">
        <v>80</v>
      </c>
      <c r="AP1284" t="e">
        <v>#N/A</v>
      </c>
      <c r="AQ1284" t="s">
        <v>81</v>
      </c>
      <c r="AR1284" t="str">
        <f t="shared" si="38"/>
        <v>60604034.STATAM</v>
      </c>
      <c r="AS1284">
        <f t="shared" si="39"/>
        <v>21743401.179999996</v>
      </c>
      <c r="AT1284" t="s">
        <v>82</v>
      </c>
    </row>
    <row r="1285" spans="1:46" x14ac:dyDescent="0.35">
      <c r="A1285" t="s">
        <v>52</v>
      </c>
      <c r="B1285" t="s">
        <v>53</v>
      </c>
      <c r="C1285" t="s">
        <v>54</v>
      </c>
      <c r="D1285" t="s">
        <v>55</v>
      </c>
      <c r="E1285" t="s">
        <v>56</v>
      </c>
      <c r="F1285" t="s">
        <v>3900</v>
      </c>
      <c r="G1285" t="s">
        <v>4017</v>
      </c>
      <c r="H1285" t="s">
        <v>56</v>
      </c>
      <c r="I1285" t="s">
        <v>4021</v>
      </c>
      <c r="J1285" t="s">
        <v>56</v>
      </c>
      <c r="K1285" t="s">
        <v>62</v>
      </c>
      <c r="L1285" t="s">
        <v>4007</v>
      </c>
      <c r="M1285" t="s">
        <v>56</v>
      </c>
      <c r="N1285" t="s">
        <v>1183</v>
      </c>
      <c r="O1285" t="s">
        <v>974</v>
      </c>
      <c r="P1285" t="s">
        <v>975</v>
      </c>
      <c r="Q1285" t="s">
        <v>114</v>
      </c>
      <c r="R1285" t="s">
        <v>67</v>
      </c>
      <c r="S1285">
        <v>250000000</v>
      </c>
      <c r="T1285">
        <v>159417758.06</v>
      </c>
      <c r="U1285" t="s">
        <v>68</v>
      </c>
      <c r="V1285" t="s">
        <v>3895</v>
      </c>
      <c r="W1285" s="9">
        <v>60604034</v>
      </c>
      <c r="X1285" t="s">
        <v>4022</v>
      </c>
      <c r="Y1285" s="1">
        <v>45696</v>
      </c>
      <c r="Z1285" s="1">
        <v>45726</v>
      </c>
      <c r="AA1285" s="2">
        <v>553254.80000000005</v>
      </c>
      <c r="AB1285" s="2">
        <v>468860</v>
      </c>
      <c r="AC1285" s="2">
        <v>84394.8</v>
      </c>
      <c r="AD1285" s="2">
        <v>47354.94</v>
      </c>
      <c r="AE1285" t="s">
        <v>4027</v>
      </c>
      <c r="AF1285" t="s">
        <v>72</v>
      </c>
      <c r="AG1285">
        <v>352</v>
      </c>
      <c r="AH1285" t="s">
        <v>101</v>
      </c>
      <c r="AI1285" t="s">
        <v>74</v>
      </c>
      <c r="AJ1285" t="s">
        <v>75</v>
      </c>
      <c r="AK1285" t="s">
        <v>76</v>
      </c>
      <c r="AL1285" t="s">
        <v>77</v>
      </c>
      <c r="AM1285" t="s">
        <v>78</v>
      </c>
      <c r="AN1285" t="s">
        <v>979</v>
      </c>
      <c r="AO1285" t="s">
        <v>80</v>
      </c>
      <c r="AP1285" t="e">
        <v>#N/A</v>
      </c>
      <c r="AQ1285" t="s">
        <v>81</v>
      </c>
      <c r="AR1285" t="str">
        <f t="shared" si="38"/>
        <v>60604034.STATAM</v>
      </c>
      <c r="AS1285">
        <f t="shared" si="39"/>
        <v>21743401.179999996</v>
      </c>
      <c r="AT1285" t="s">
        <v>82</v>
      </c>
    </row>
    <row r="1286" spans="1:46" x14ac:dyDescent="0.35">
      <c r="A1286" t="s">
        <v>52</v>
      </c>
      <c r="B1286" t="s">
        <v>53</v>
      </c>
      <c r="C1286" t="s">
        <v>54</v>
      </c>
      <c r="D1286" t="s">
        <v>55</v>
      </c>
      <c r="E1286" t="s">
        <v>56</v>
      </c>
      <c r="F1286" t="s">
        <v>3900</v>
      </c>
      <c r="G1286" t="s">
        <v>4017</v>
      </c>
      <c r="H1286" t="s">
        <v>56</v>
      </c>
      <c r="I1286" t="s">
        <v>4028</v>
      </c>
      <c r="J1286" t="s">
        <v>56</v>
      </c>
      <c r="K1286" t="s">
        <v>62</v>
      </c>
      <c r="L1286" t="s">
        <v>4007</v>
      </c>
      <c r="M1286" t="s">
        <v>56</v>
      </c>
      <c r="N1286" t="s">
        <v>252</v>
      </c>
      <c r="O1286" t="s">
        <v>974</v>
      </c>
      <c r="P1286" t="s">
        <v>975</v>
      </c>
      <c r="Q1286" t="s">
        <v>114</v>
      </c>
      <c r="R1286" t="s">
        <v>67</v>
      </c>
      <c r="S1286">
        <v>250000000</v>
      </c>
      <c r="T1286">
        <v>159417758.06</v>
      </c>
      <c r="U1286" t="s">
        <v>68</v>
      </c>
      <c r="V1286" t="s">
        <v>3895</v>
      </c>
      <c r="W1286" s="9">
        <v>60604034</v>
      </c>
      <c r="X1286" t="s">
        <v>4029</v>
      </c>
      <c r="Y1286" s="1">
        <v>45709</v>
      </c>
      <c r="Z1286" s="1">
        <v>45739</v>
      </c>
      <c r="AA1286" s="2">
        <v>131650.23999999999</v>
      </c>
      <c r="AB1286" s="2">
        <v>111568</v>
      </c>
      <c r="AC1286" s="2">
        <v>20082.240000000002</v>
      </c>
      <c r="AD1286" s="2">
        <v>11268.35</v>
      </c>
      <c r="AE1286" t="s">
        <v>4030</v>
      </c>
      <c r="AF1286" t="s">
        <v>72</v>
      </c>
      <c r="AG1286">
        <v>339</v>
      </c>
      <c r="AH1286" t="s">
        <v>101</v>
      </c>
      <c r="AI1286" t="s">
        <v>74</v>
      </c>
      <c r="AJ1286" t="s">
        <v>75</v>
      </c>
      <c r="AK1286" t="s">
        <v>76</v>
      </c>
      <c r="AL1286" t="s">
        <v>77</v>
      </c>
      <c r="AM1286" t="s">
        <v>78</v>
      </c>
      <c r="AN1286" t="s">
        <v>979</v>
      </c>
      <c r="AO1286" t="s">
        <v>80</v>
      </c>
      <c r="AP1286" t="e">
        <v>#N/A</v>
      </c>
      <c r="AQ1286" t="s">
        <v>81</v>
      </c>
      <c r="AR1286" t="str">
        <f t="shared" si="38"/>
        <v>60604034.STATAM</v>
      </c>
      <c r="AS1286">
        <f t="shared" si="39"/>
        <v>21743401.179999996</v>
      </c>
      <c r="AT1286" t="s">
        <v>82</v>
      </c>
    </row>
    <row r="1287" spans="1:46" x14ac:dyDescent="0.35">
      <c r="A1287" t="s">
        <v>52</v>
      </c>
      <c r="B1287" t="s">
        <v>53</v>
      </c>
      <c r="C1287" t="s">
        <v>54</v>
      </c>
      <c r="D1287" t="s">
        <v>55</v>
      </c>
      <c r="E1287" t="s">
        <v>56</v>
      </c>
      <c r="F1287" t="s">
        <v>3900</v>
      </c>
      <c r="G1287" t="s">
        <v>4017</v>
      </c>
      <c r="H1287" t="s">
        <v>56</v>
      </c>
      <c r="I1287" t="s">
        <v>4028</v>
      </c>
      <c r="J1287" t="s">
        <v>56</v>
      </c>
      <c r="K1287" t="s">
        <v>62</v>
      </c>
      <c r="L1287" t="s">
        <v>4007</v>
      </c>
      <c r="M1287" t="s">
        <v>56</v>
      </c>
      <c r="N1287" t="s">
        <v>261</v>
      </c>
      <c r="O1287" t="s">
        <v>974</v>
      </c>
      <c r="P1287" t="s">
        <v>975</v>
      </c>
      <c r="Q1287" t="s">
        <v>114</v>
      </c>
      <c r="R1287" t="s">
        <v>67</v>
      </c>
      <c r="S1287">
        <v>250000000</v>
      </c>
      <c r="T1287">
        <v>159417758.06</v>
      </c>
      <c r="U1287" t="s">
        <v>68</v>
      </c>
      <c r="V1287" t="s">
        <v>3895</v>
      </c>
      <c r="W1287" s="9">
        <v>60604034</v>
      </c>
      <c r="X1287" t="s">
        <v>4029</v>
      </c>
      <c r="Y1287" s="1">
        <v>45709</v>
      </c>
      <c r="Z1287" s="1">
        <v>45739</v>
      </c>
      <c r="AA1287" s="2">
        <v>2849145.4</v>
      </c>
      <c r="AB1287" s="2">
        <v>2414530</v>
      </c>
      <c r="AC1287" s="2">
        <v>434615.4</v>
      </c>
      <c r="AD1287" s="2">
        <v>243867.24</v>
      </c>
      <c r="AE1287" t="s">
        <v>4031</v>
      </c>
      <c r="AF1287" t="s">
        <v>72</v>
      </c>
      <c r="AG1287">
        <v>339</v>
      </c>
      <c r="AH1287" t="s">
        <v>101</v>
      </c>
      <c r="AI1287" t="s">
        <v>74</v>
      </c>
      <c r="AJ1287" t="s">
        <v>75</v>
      </c>
      <c r="AK1287" t="s">
        <v>76</v>
      </c>
      <c r="AL1287" t="s">
        <v>77</v>
      </c>
      <c r="AM1287" t="s">
        <v>78</v>
      </c>
      <c r="AN1287" t="s">
        <v>979</v>
      </c>
      <c r="AO1287" t="s">
        <v>80</v>
      </c>
      <c r="AP1287" t="e">
        <v>#N/A</v>
      </c>
      <c r="AQ1287" t="s">
        <v>81</v>
      </c>
      <c r="AR1287" t="str">
        <f t="shared" si="38"/>
        <v>60604034.STATAM</v>
      </c>
      <c r="AS1287">
        <f t="shared" si="39"/>
        <v>21743401.179999996</v>
      </c>
      <c r="AT1287" t="s">
        <v>82</v>
      </c>
    </row>
    <row r="1288" spans="1:46" x14ac:dyDescent="0.35">
      <c r="A1288" t="s">
        <v>52</v>
      </c>
      <c r="B1288" t="s">
        <v>53</v>
      </c>
      <c r="C1288" t="s">
        <v>54</v>
      </c>
      <c r="D1288" t="s">
        <v>55</v>
      </c>
      <c r="E1288" t="s">
        <v>56</v>
      </c>
      <c r="F1288" t="s">
        <v>3900</v>
      </c>
      <c r="G1288" t="s">
        <v>4017</v>
      </c>
      <c r="H1288" t="s">
        <v>56</v>
      </c>
      <c r="I1288" t="s">
        <v>4028</v>
      </c>
      <c r="J1288" t="s">
        <v>56</v>
      </c>
      <c r="K1288" t="s">
        <v>62</v>
      </c>
      <c r="L1288" t="s">
        <v>4007</v>
      </c>
      <c r="M1288" t="s">
        <v>56</v>
      </c>
      <c r="N1288" t="s">
        <v>655</v>
      </c>
      <c r="O1288" t="s">
        <v>974</v>
      </c>
      <c r="P1288" t="s">
        <v>975</v>
      </c>
      <c r="Q1288" t="s">
        <v>114</v>
      </c>
      <c r="R1288" t="s">
        <v>67</v>
      </c>
      <c r="S1288">
        <v>250000000</v>
      </c>
      <c r="T1288">
        <v>159417758.06</v>
      </c>
      <c r="U1288" t="s">
        <v>68</v>
      </c>
      <c r="V1288" t="s">
        <v>3895</v>
      </c>
      <c r="W1288" s="9">
        <v>60604034</v>
      </c>
      <c r="X1288" t="s">
        <v>4029</v>
      </c>
      <c r="Y1288" s="1">
        <v>45709</v>
      </c>
      <c r="Z1288" s="1">
        <v>45739</v>
      </c>
      <c r="AA1288" s="2">
        <v>5199.08</v>
      </c>
      <c r="AB1288" s="2">
        <v>4406</v>
      </c>
      <c r="AC1288" s="2">
        <v>793.08</v>
      </c>
      <c r="AD1288" s="2">
        <v>445.01</v>
      </c>
      <c r="AE1288" t="s">
        <v>4032</v>
      </c>
      <c r="AF1288" t="s">
        <v>72</v>
      </c>
      <c r="AG1288">
        <v>339</v>
      </c>
      <c r="AH1288" t="s">
        <v>101</v>
      </c>
      <c r="AI1288" t="s">
        <v>74</v>
      </c>
      <c r="AJ1288" t="s">
        <v>75</v>
      </c>
      <c r="AK1288" t="s">
        <v>76</v>
      </c>
      <c r="AL1288" t="s">
        <v>77</v>
      </c>
      <c r="AM1288" t="s">
        <v>78</v>
      </c>
      <c r="AN1288" t="s">
        <v>979</v>
      </c>
      <c r="AO1288" t="s">
        <v>80</v>
      </c>
      <c r="AP1288" t="e">
        <v>#N/A</v>
      </c>
      <c r="AQ1288" t="s">
        <v>81</v>
      </c>
      <c r="AR1288" t="str">
        <f t="shared" ref="AR1288:AR1351" si="40">W1288&amp;"."&amp;AQ1288</f>
        <v>60604034.STATAM</v>
      </c>
      <c r="AS1288">
        <f t="shared" ref="AS1288:AS1351" si="41">SUMIFS(AD:AD,AQ:AQ,AQ1288,W:W,W1288)</f>
        <v>21743401.179999996</v>
      </c>
      <c r="AT1288" t="s">
        <v>82</v>
      </c>
    </row>
    <row r="1289" spans="1:46" x14ac:dyDescent="0.35">
      <c r="A1289" t="s">
        <v>52</v>
      </c>
      <c r="B1289" t="s">
        <v>53</v>
      </c>
      <c r="C1289" t="s">
        <v>54</v>
      </c>
      <c r="D1289" t="s">
        <v>55</v>
      </c>
      <c r="E1289" t="s">
        <v>56</v>
      </c>
      <c r="F1289" t="s">
        <v>3900</v>
      </c>
      <c r="G1289" t="s">
        <v>4017</v>
      </c>
      <c r="H1289" t="s">
        <v>56</v>
      </c>
      <c r="I1289" t="s">
        <v>4028</v>
      </c>
      <c r="J1289" t="s">
        <v>56</v>
      </c>
      <c r="K1289" t="s">
        <v>62</v>
      </c>
      <c r="L1289" t="s">
        <v>4007</v>
      </c>
      <c r="M1289" t="s">
        <v>56</v>
      </c>
      <c r="N1289" t="s">
        <v>1183</v>
      </c>
      <c r="O1289" t="s">
        <v>974</v>
      </c>
      <c r="P1289" t="s">
        <v>975</v>
      </c>
      <c r="Q1289" t="s">
        <v>114</v>
      </c>
      <c r="R1289" t="s">
        <v>67</v>
      </c>
      <c r="S1289">
        <v>250000000</v>
      </c>
      <c r="T1289">
        <v>159417758.06</v>
      </c>
      <c r="U1289" t="s">
        <v>68</v>
      </c>
      <c r="V1289" t="s">
        <v>3895</v>
      </c>
      <c r="W1289" s="9">
        <v>60604034</v>
      </c>
      <c r="X1289" t="s">
        <v>4029</v>
      </c>
      <c r="Y1289" s="1">
        <v>45709</v>
      </c>
      <c r="Z1289" s="1">
        <v>45739</v>
      </c>
      <c r="AA1289" s="2">
        <v>3458030.12</v>
      </c>
      <c r="AB1289" s="2">
        <v>2930534</v>
      </c>
      <c r="AC1289" s="2">
        <v>527496.12</v>
      </c>
      <c r="AD1289" s="2">
        <v>295983.58</v>
      </c>
      <c r="AE1289" t="s">
        <v>4033</v>
      </c>
      <c r="AF1289" t="s">
        <v>72</v>
      </c>
      <c r="AG1289">
        <v>339</v>
      </c>
      <c r="AH1289" t="s">
        <v>101</v>
      </c>
      <c r="AI1289" t="s">
        <v>74</v>
      </c>
      <c r="AJ1289" t="s">
        <v>75</v>
      </c>
      <c r="AK1289" t="s">
        <v>76</v>
      </c>
      <c r="AL1289" t="s">
        <v>77</v>
      </c>
      <c r="AM1289" t="s">
        <v>78</v>
      </c>
      <c r="AN1289" t="s">
        <v>979</v>
      </c>
      <c r="AO1289" t="s">
        <v>80</v>
      </c>
      <c r="AP1289" t="e">
        <v>#N/A</v>
      </c>
      <c r="AQ1289" t="s">
        <v>81</v>
      </c>
      <c r="AR1289" t="str">
        <f t="shared" si="40"/>
        <v>60604034.STATAM</v>
      </c>
      <c r="AS1289">
        <f t="shared" si="41"/>
        <v>21743401.179999996</v>
      </c>
      <c r="AT1289" t="s">
        <v>82</v>
      </c>
    </row>
    <row r="1290" spans="1:46" x14ac:dyDescent="0.35">
      <c r="A1290" t="s">
        <v>52</v>
      </c>
      <c r="B1290" t="s">
        <v>53</v>
      </c>
      <c r="C1290" t="s">
        <v>54</v>
      </c>
      <c r="D1290" t="s">
        <v>55</v>
      </c>
      <c r="E1290" t="s">
        <v>56</v>
      </c>
      <c r="F1290" t="s">
        <v>3900</v>
      </c>
      <c r="G1290" t="s">
        <v>4017</v>
      </c>
      <c r="H1290" t="s">
        <v>56</v>
      </c>
      <c r="I1290" t="s">
        <v>4028</v>
      </c>
      <c r="J1290" t="s">
        <v>56</v>
      </c>
      <c r="K1290" t="s">
        <v>62</v>
      </c>
      <c r="L1290" t="s">
        <v>4007</v>
      </c>
      <c r="M1290" t="s">
        <v>56</v>
      </c>
      <c r="N1290" t="s">
        <v>682</v>
      </c>
      <c r="O1290" t="s">
        <v>974</v>
      </c>
      <c r="P1290" t="s">
        <v>975</v>
      </c>
      <c r="Q1290" t="s">
        <v>114</v>
      </c>
      <c r="R1290" t="s">
        <v>67</v>
      </c>
      <c r="S1290">
        <v>250000000</v>
      </c>
      <c r="T1290">
        <v>159417758.06</v>
      </c>
      <c r="U1290" t="s">
        <v>68</v>
      </c>
      <c r="V1290" t="s">
        <v>3895</v>
      </c>
      <c r="W1290" s="9">
        <v>60604034</v>
      </c>
      <c r="X1290" t="s">
        <v>4029</v>
      </c>
      <c r="Y1290" s="1">
        <v>45709</v>
      </c>
      <c r="Z1290" s="1">
        <v>45739</v>
      </c>
      <c r="AA1290" s="2">
        <v>136535.84</v>
      </c>
      <c r="AB1290" s="2">
        <v>115708.34</v>
      </c>
      <c r="AC1290" s="2">
        <v>20827.5</v>
      </c>
      <c r="AD1290" s="2">
        <v>11686.53</v>
      </c>
      <c r="AE1290" t="s">
        <v>4034</v>
      </c>
      <c r="AF1290" t="s">
        <v>72</v>
      </c>
      <c r="AG1290">
        <v>339</v>
      </c>
      <c r="AH1290" t="s">
        <v>101</v>
      </c>
      <c r="AI1290" t="s">
        <v>74</v>
      </c>
      <c r="AJ1290" t="s">
        <v>127</v>
      </c>
      <c r="AK1290" t="s">
        <v>334</v>
      </c>
      <c r="AL1290" t="s">
        <v>77</v>
      </c>
      <c r="AM1290" t="s">
        <v>78</v>
      </c>
      <c r="AN1290" t="s">
        <v>979</v>
      </c>
      <c r="AO1290" t="s">
        <v>80</v>
      </c>
      <c r="AP1290" t="e">
        <v>#N/A</v>
      </c>
      <c r="AQ1290" t="s">
        <v>335</v>
      </c>
      <c r="AR1290" t="str">
        <f t="shared" si="40"/>
        <v>60604034.SPMINAM</v>
      </c>
      <c r="AS1290">
        <f t="shared" si="41"/>
        <v>22834340.790000007</v>
      </c>
      <c r="AT1290" t="s">
        <v>82</v>
      </c>
    </row>
    <row r="1291" spans="1:46" x14ac:dyDescent="0.35">
      <c r="A1291" t="s">
        <v>52</v>
      </c>
      <c r="B1291" t="s">
        <v>53</v>
      </c>
      <c r="C1291" t="s">
        <v>54</v>
      </c>
      <c r="D1291" t="s">
        <v>55</v>
      </c>
      <c r="E1291" t="s">
        <v>56</v>
      </c>
      <c r="F1291" t="s">
        <v>3900</v>
      </c>
      <c r="G1291" t="s">
        <v>4017</v>
      </c>
      <c r="H1291" t="s">
        <v>56</v>
      </c>
      <c r="I1291" t="s">
        <v>4028</v>
      </c>
      <c r="J1291" t="s">
        <v>56</v>
      </c>
      <c r="K1291" t="s">
        <v>62</v>
      </c>
      <c r="L1291" t="s">
        <v>4007</v>
      </c>
      <c r="M1291" t="s">
        <v>56</v>
      </c>
      <c r="N1291" t="s">
        <v>254</v>
      </c>
      <c r="O1291" t="s">
        <v>974</v>
      </c>
      <c r="P1291" t="s">
        <v>975</v>
      </c>
      <c r="Q1291" t="s">
        <v>114</v>
      </c>
      <c r="R1291" t="s">
        <v>67</v>
      </c>
      <c r="S1291">
        <v>250000000</v>
      </c>
      <c r="T1291">
        <v>159417758.06</v>
      </c>
      <c r="U1291" t="s">
        <v>68</v>
      </c>
      <c r="V1291" t="s">
        <v>3895</v>
      </c>
      <c r="W1291" s="9">
        <v>60604034</v>
      </c>
      <c r="X1291" t="s">
        <v>4029</v>
      </c>
      <c r="Y1291" s="1">
        <v>45709</v>
      </c>
      <c r="Z1291" s="1">
        <v>45739</v>
      </c>
      <c r="AA1291" s="2">
        <v>900554.76</v>
      </c>
      <c r="AB1291" s="2">
        <v>763182</v>
      </c>
      <c r="AC1291" s="2">
        <v>137372.76</v>
      </c>
      <c r="AD1291" s="2">
        <v>77081.289999999994</v>
      </c>
      <c r="AE1291" t="s">
        <v>4035</v>
      </c>
      <c r="AF1291" t="s">
        <v>72</v>
      </c>
      <c r="AG1291">
        <v>339</v>
      </c>
      <c r="AH1291" t="s">
        <v>101</v>
      </c>
      <c r="AI1291" t="s">
        <v>74</v>
      </c>
      <c r="AJ1291" t="s">
        <v>75</v>
      </c>
      <c r="AK1291" t="s">
        <v>76</v>
      </c>
      <c r="AL1291" t="s">
        <v>77</v>
      </c>
      <c r="AM1291" t="s">
        <v>78</v>
      </c>
      <c r="AN1291" t="s">
        <v>979</v>
      </c>
      <c r="AO1291" t="s">
        <v>80</v>
      </c>
      <c r="AP1291" t="e">
        <v>#N/A</v>
      </c>
      <c r="AQ1291" t="s">
        <v>81</v>
      </c>
      <c r="AR1291" t="str">
        <f t="shared" si="40"/>
        <v>60604034.STATAM</v>
      </c>
      <c r="AS1291">
        <f t="shared" si="41"/>
        <v>21743401.179999996</v>
      </c>
      <c r="AT1291" t="s">
        <v>82</v>
      </c>
    </row>
    <row r="1292" spans="1:46" x14ac:dyDescent="0.35">
      <c r="A1292" t="s">
        <v>52</v>
      </c>
      <c r="B1292" t="s">
        <v>53</v>
      </c>
      <c r="C1292" t="s">
        <v>54</v>
      </c>
      <c r="D1292" t="s">
        <v>55</v>
      </c>
      <c r="E1292" t="s">
        <v>56</v>
      </c>
      <c r="F1292" t="s">
        <v>3900</v>
      </c>
      <c r="G1292" t="s">
        <v>4017</v>
      </c>
      <c r="H1292" t="s">
        <v>56</v>
      </c>
      <c r="I1292" t="s">
        <v>4028</v>
      </c>
      <c r="J1292" t="s">
        <v>56</v>
      </c>
      <c r="K1292" t="s">
        <v>62</v>
      </c>
      <c r="L1292" t="s">
        <v>4007</v>
      </c>
      <c r="M1292" t="s">
        <v>56</v>
      </c>
      <c r="N1292" t="s">
        <v>1384</v>
      </c>
      <c r="O1292" t="s">
        <v>974</v>
      </c>
      <c r="P1292" t="s">
        <v>975</v>
      </c>
      <c r="Q1292" t="s">
        <v>114</v>
      </c>
      <c r="R1292" t="s">
        <v>67</v>
      </c>
      <c r="S1292">
        <v>250000000</v>
      </c>
      <c r="T1292">
        <v>159417758.06</v>
      </c>
      <c r="U1292" t="s">
        <v>68</v>
      </c>
      <c r="V1292" t="s">
        <v>3895</v>
      </c>
      <c r="W1292" s="9">
        <v>60604034</v>
      </c>
      <c r="X1292" t="s">
        <v>4029</v>
      </c>
      <c r="Y1292" s="1">
        <v>45709</v>
      </c>
      <c r="Z1292" s="1">
        <v>45739</v>
      </c>
      <c r="AA1292" s="2">
        <v>7511.88</v>
      </c>
      <c r="AB1292" s="2">
        <v>6366</v>
      </c>
      <c r="AC1292" s="2">
        <v>1145.8800000000001</v>
      </c>
      <c r="AD1292" s="2">
        <v>642.97</v>
      </c>
      <c r="AE1292" t="s">
        <v>4036</v>
      </c>
      <c r="AF1292" t="s">
        <v>72</v>
      </c>
      <c r="AG1292">
        <v>339</v>
      </c>
      <c r="AH1292" t="s">
        <v>101</v>
      </c>
      <c r="AI1292" t="s">
        <v>74</v>
      </c>
      <c r="AJ1292" t="s">
        <v>75</v>
      </c>
      <c r="AK1292" t="s">
        <v>76</v>
      </c>
      <c r="AL1292" t="s">
        <v>77</v>
      </c>
      <c r="AM1292" t="s">
        <v>78</v>
      </c>
      <c r="AN1292" t="s">
        <v>979</v>
      </c>
      <c r="AO1292" t="s">
        <v>80</v>
      </c>
      <c r="AP1292" t="e">
        <v>#N/A</v>
      </c>
      <c r="AQ1292" t="s">
        <v>81</v>
      </c>
      <c r="AR1292" t="str">
        <f t="shared" si="40"/>
        <v>60604034.STATAM</v>
      </c>
      <c r="AS1292">
        <f t="shared" si="41"/>
        <v>21743401.179999996</v>
      </c>
      <c r="AT1292" t="s">
        <v>82</v>
      </c>
    </row>
    <row r="1293" spans="1:46" x14ac:dyDescent="0.35">
      <c r="A1293" t="s">
        <v>52</v>
      </c>
      <c r="B1293" t="s">
        <v>53</v>
      </c>
      <c r="C1293" t="s">
        <v>54</v>
      </c>
      <c r="D1293" t="s">
        <v>55</v>
      </c>
      <c r="E1293" t="s">
        <v>56</v>
      </c>
      <c r="F1293" t="s">
        <v>3900</v>
      </c>
      <c r="G1293" t="s">
        <v>4017</v>
      </c>
      <c r="H1293" t="s">
        <v>56</v>
      </c>
      <c r="I1293" t="s">
        <v>4028</v>
      </c>
      <c r="J1293" t="s">
        <v>56</v>
      </c>
      <c r="K1293" t="s">
        <v>62</v>
      </c>
      <c r="L1293" t="s">
        <v>4007</v>
      </c>
      <c r="M1293" t="s">
        <v>56</v>
      </c>
      <c r="N1293" t="s">
        <v>1189</v>
      </c>
      <c r="O1293" t="s">
        <v>974</v>
      </c>
      <c r="P1293" t="s">
        <v>975</v>
      </c>
      <c r="Q1293" t="s">
        <v>114</v>
      </c>
      <c r="R1293" t="s">
        <v>67</v>
      </c>
      <c r="S1293">
        <v>250000000</v>
      </c>
      <c r="T1293">
        <v>159417758.06</v>
      </c>
      <c r="U1293" t="s">
        <v>68</v>
      </c>
      <c r="V1293" t="s">
        <v>3895</v>
      </c>
      <c r="W1293" s="9">
        <v>60604034</v>
      </c>
      <c r="X1293" t="s">
        <v>4029</v>
      </c>
      <c r="Y1293" s="1">
        <v>45709</v>
      </c>
      <c r="Z1293" s="1">
        <v>45739</v>
      </c>
      <c r="AA1293" s="2">
        <v>391184.16</v>
      </c>
      <c r="AB1293" s="2">
        <v>331512</v>
      </c>
      <c r="AC1293" s="2">
        <v>59672.160000000003</v>
      </c>
      <c r="AD1293" s="2">
        <v>33482.67</v>
      </c>
      <c r="AE1293" t="s">
        <v>4037</v>
      </c>
      <c r="AF1293" t="s">
        <v>72</v>
      </c>
      <c r="AG1293">
        <v>339</v>
      </c>
      <c r="AH1293" t="s">
        <v>101</v>
      </c>
      <c r="AI1293" t="s">
        <v>74</v>
      </c>
      <c r="AJ1293" t="s">
        <v>75</v>
      </c>
      <c r="AK1293" t="s">
        <v>76</v>
      </c>
      <c r="AL1293" t="s">
        <v>77</v>
      </c>
      <c r="AM1293" t="s">
        <v>78</v>
      </c>
      <c r="AN1293" t="s">
        <v>979</v>
      </c>
      <c r="AO1293" t="s">
        <v>80</v>
      </c>
      <c r="AP1293" t="e">
        <v>#N/A</v>
      </c>
      <c r="AQ1293" t="s">
        <v>81</v>
      </c>
      <c r="AR1293" t="str">
        <f t="shared" si="40"/>
        <v>60604034.STATAM</v>
      </c>
      <c r="AS1293">
        <f t="shared" si="41"/>
        <v>21743401.179999996</v>
      </c>
      <c r="AT1293" t="s">
        <v>82</v>
      </c>
    </row>
    <row r="1294" spans="1:46" x14ac:dyDescent="0.35">
      <c r="A1294" t="s">
        <v>52</v>
      </c>
      <c r="B1294" t="s">
        <v>53</v>
      </c>
      <c r="C1294" t="s">
        <v>54</v>
      </c>
      <c r="D1294" t="s">
        <v>55</v>
      </c>
      <c r="E1294" t="s">
        <v>56</v>
      </c>
      <c r="F1294" t="s">
        <v>3900</v>
      </c>
      <c r="G1294" t="s">
        <v>4005</v>
      </c>
      <c r="H1294" t="s">
        <v>56</v>
      </c>
      <c r="I1294" t="s">
        <v>4038</v>
      </c>
      <c r="J1294" t="s">
        <v>56</v>
      </c>
      <c r="K1294" t="s">
        <v>62</v>
      </c>
      <c r="L1294" t="s">
        <v>56</v>
      </c>
      <c r="M1294" t="s">
        <v>56</v>
      </c>
      <c r="N1294" t="s">
        <v>682</v>
      </c>
      <c r="O1294" t="s">
        <v>974</v>
      </c>
      <c r="P1294" t="s">
        <v>975</v>
      </c>
      <c r="Q1294" t="s">
        <v>114</v>
      </c>
      <c r="R1294" t="s">
        <v>67</v>
      </c>
      <c r="S1294">
        <v>250000000</v>
      </c>
      <c r="T1294">
        <v>159417758.06</v>
      </c>
      <c r="U1294" t="s">
        <v>68</v>
      </c>
      <c r="V1294" t="s">
        <v>3895</v>
      </c>
      <c r="W1294" s="9">
        <v>60604034</v>
      </c>
      <c r="X1294" t="s">
        <v>4039</v>
      </c>
      <c r="Y1294" s="1">
        <v>45714</v>
      </c>
      <c r="Z1294" s="1">
        <v>45744</v>
      </c>
      <c r="AA1294" s="2">
        <v>10865.44</v>
      </c>
      <c r="AB1294" s="2">
        <v>9208</v>
      </c>
      <c r="AC1294" s="2">
        <v>1657.44</v>
      </c>
      <c r="AD1294" s="2">
        <v>9944.44</v>
      </c>
      <c r="AE1294" t="s">
        <v>4040</v>
      </c>
      <c r="AF1294" t="s">
        <v>72</v>
      </c>
      <c r="AG1294">
        <v>334</v>
      </c>
      <c r="AH1294" t="s">
        <v>101</v>
      </c>
      <c r="AI1294" t="s">
        <v>74</v>
      </c>
      <c r="AJ1294" t="s">
        <v>127</v>
      </c>
      <c r="AK1294" t="s">
        <v>334</v>
      </c>
      <c r="AL1294" t="s">
        <v>77</v>
      </c>
      <c r="AM1294" t="s">
        <v>78</v>
      </c>
      <c r="AN1294" t="s">
        <v>979</v>
      </c>
      <c r="AO1294" t="s">
        <v>80</v>
      </c>
      <c r="AP1294" t="e">
        <v>#N/A</v>
      </c>
      <c r="AQ1294" t="s">
        <v>335</v>
      </c>
      <c r="AR1294" t="str">
        <f t="shared" si="40"/>
        <v>60604034.SPMINAM</v>
      </c>
      <c r="AS1294">
        <f t="shared" si="41"/>
        <v>22834340.790000007</v>
      </c>
      <c r="AT1294" t="s">
        <v>82</v>
      </c>
    </row>
    <row r="1295" spans="1:46" x14ac:dyDescent="0.35">
      <c r="A1295" t="s">
        <v>52</v>
      </c>
      <c r="B1295" t="s">
        <v>53</v>
      </c>
      <c r="C1295" t="s">
        <v>54</v>
      </c>
      <c r="D1295" t="s">
        <v>55</v>
      </c>
      <c r="E1295" t="s">
        <v>56</v>
      </c>
      <c r="F1295" t="s">
        <v>3900</v>
      </c>
      <c r="G1295" t="s">
        <v>4005</v>
      </c>
      <c r="H1295" t="s">
        <v>56</v>
      </c>
      <c r="I1295" t="s">
        <v>4041</v>
      </c>
      <c r="J1295" t="s">
        <v>56</v>
      </c>
      <c r="K1295" t="s">
        <v>62</v>
      </c>
      <c r="L1295" t="s">
        <v>56</v>
      </c>
      <c r="M1295" t="s">
        <v>56</v>
      </c>
      <c r="N1295" t="s">
        <v>682</v>
      </c>
      <c r="O1295" t="s">
        <v>974</v>
      </c>
      <c r="P1295" t="s">
        <v>975</v>
      </c>
      <c r="Q1295" t="s">
        <v>114</v>
      </c>
      <c r="R1295" t="s">
        <v>67</v>
      </c>
      <c r="S1295">
        <v>250000000</v>
      </c>
      <c r="T1295">
        <v>159417758.06</v>
      </c>
      <c r="U1295" t="s">
        <v>68</v>
      </c>
      <c r="V1295" t="s">
        <v>3895</v>
      </c>
      <c r="W1295" s="9">
        <v>60604034</v>
      </c>
      <c r="X1295" t="s">
        <v>4042</v>
      </c>
      <c r="Y1295" s="1">
        <v>45714</v>
      </c>
      <c r="Z1295" s="1">
        <v>45744</v>
      </c>
      <c r="AA1295" s="2">
        <v>2413.52</v>
      </c>
      <c r="AB1295" s="2">
        <v>2045.36</v>
      </c>
      <c r="AC1295" s="2">
        <v>368.16</v>
      </c>
      <c r="AD1295" s="2">
        <v>2208.52</v>
      </c>
      <c r="AE1295" t="s">
        <v>4043</v>
      </c>
      <c r="AF1295" t="s">
        <v>72</v>
      </c>
      <c r="AG1295">
        <v>334</v>
      </c>
      <c r="AH1295" t="s">
        <v>101</v>
      </c>
      <c r="AI1295" t="s">
        <v>74</v>
      </c>
      <c r="AJ1295" t="s">
        <v>127</v>
      </c>
      <c r="AK1295" t="s">
        <v>334</v>
      </c>
      <c r="AL1295" t="s">
        <v>77</v>
      </c>
      <c r="AM1295" t="s">
        <v>78</v>
      </c>
      <c r="AN1295" t="s">
        <v>979</v>
      </c>
      <c r="AO1295" t="s">
        <v>80</v>
      </c>
      <c r="AP1295" t="e">
        <v>#N/A</v>
      </c>
      <c r="AQ1295" t="s">
        <v>335</v>
      </c>
      <c r="AR1295" t="str">
        <f t="shared" si="40"/>
        <v>60604034.SPMINAM</v>
      </c>
      <c r="AS1295">
        <f t="shared" si="41"/>
        <v>22834340.790000007</v>
      </c>
      <c r="AT1295" t="s">
        <v>82</v>
      </c>
    </row>
    <row r="1296" spans="1:46" x14ac:dyDescent="0.35">
      <c r="A1296" t="s">
        <v>52</v>
      </c>
      <c r="B1296" t="s">
        <v>53</v>
      </c>
      <c r="C1296" t="s">
        <v>54</v>
      </c>
      <c r="D1296" t="s">
        <v>55</v>
      </c>
      <c r="E1296" t="s">
        <v>56</v>
      </c>
      <c r="F1296" t="s">
        <v>3900</v>
      </c>
      <c r="G1296" t="s">
        <v>4017</v>
      </c>
      <c r="H1296" t="s">
        <v>56</v>
      </c>
      <c r="I1296" t="s">
        <v>4044</v>
      </c>
      <c r="J1296" t="s">
        <v>56</v>
      </c>
      <c r="K1296" t="s">
        <v>62</v>
      </c>
      <c r="L1296" t="s">
        <v>4007</v>
      </c>
      <c r="M1296" t="s">
        <v>56</v>
      </c>
      <c r="N1296" t="s">
        <v>254</v>
      </c>
      <c r="O1296" t="s">
        <v>974</v>
      </c>
      <c r="P1296" t="s">
        <v>975</v>
      </c>
      <c r="Q1296" t="s">
        <v>114</v>
      </c>
      <c r="R1296" t="s">
        <v>67</v>
      </c>
      <c r="S1296">
        <v>250000000</v>
      </c>
      <c r="T1296">
        <v>159417758.06</v>
      </c>
      <c r="U1296" t="s">
        <v>68</v>
      </c>
      <c r="V1296" t="s">
        <v>3895</v>
      </c>
      <c r="W1296" s="9">
        <v>60604034</v>
      </c>
      <c r="X1296" t="s">
        <v>4045</v>
      </c>
      <c r="Y1296" s="1">
        <v>45716</v>
      </c>
      <c r="Z1296" s="1">
        <v>45746</v>
      </c>
      <c r="AA1296" s="2">
        <v>4168379.5</v>
      </c>
      <c r="AB1296" s="2">
        <v>3532525</v>
      </c>
      <c r="AC1296" s="2">
        <v>635854.5</v>
      </c>
      <c r="AD1296" s="2">
        <v>356785.03</v>
      </c>
      <c r="AE1296" t="s">
        <v>4046</v>
      </c>
      <c r="AF1296" t="s">
        <v>72</v>
      </c>
      <c r="AG1296">
        <v>332</v>
      </c>
      <c r="AH1296" t="s">
        <v>101</v>
      </c>
      <c r="AI1296" t="s">
        <v>74</v>
      </c>
      <c r="AJ1296" t="s">
        <v>75</v>
      </c>
      <c r="AK1296" t="s">
        <v>76</v>
      </c>
      <c r="AL1296" t="s">
        <v>77</v>
      </c>
      <c r="AM1296" t="s">
        <v>78</v>
      </c>
      <c r="AN1296" t="s">
        <v>979</v>
      </c>
      <c r="AO1296" t="s">
        <v>80</v>
      </c>
      <c r="AP1296" t="e">
        <v>#N/A</v>
      </c>
      <c r="AQ1296" t="s">
        <v>81</v>
      </c>
      <c r="AR1296" t="str">
        <f t="shared" si="40"/>
        <v>60604034.STATAM</v>
      </c>
      <c r="AS1296">
        <f t="shared" si="41"/>
        <v>21743401.179999996</v>
      </c>
      <c r="AT1296" t="s">
        <v>82</v>
      </c>
    </row>
    <row r="1297" spans="1:46" x14ac:dyDescent="0.35">
      <c r="A1297" t="s">
        <v>52</v>
      </c>
      <c r="B1297" t="s">
        <v>53</v>
      </c>
      <c r="C1297" t="s">
        <v>54</v>
      </c>
      <c r="D1297" t="s">
        <v>55</v>
      </c>
      <c r="E1297" t="s">
        <v>56</v>
      </c>
      <c r="F1297" t="s">
        <v>3900</v>
      </c>
      <c r="G1297" t="s">
        <v>4017</v>
      </c>
      <c r="H1297" t="s">
        <v>56</v>
      </c>
      <c r="I1297" t="s">
        <v>4047</v>
      </c>
      <c r="J1297" t="s">
        <v>56</v>
      </c>
      <c r="K1297" t="s">
        <v>62</v>
      </c>
      <c r="L1297" t="s">
        <v>4007</v>
      </c>
      <c r="M1297" t="s">
        <v>56</v>
      </c>
      <c r="N1297" t="s">
        <v>295</v>
      </c>
      <c r="O1297" t="s">
        <v>974</v>
      </c>
      <c r="P1297" t="s">
        <v>975</v>
      </c>
      <c r="Q1297" t="s">
        <v>114</v>
      </c>
      <c r="R1297" t="s">
        <v>67</v>
      </c>
      <c r="S1297">
        <v>250000000</v>
      </c>
      <c r="T1297">
        <v>159417758.06</v>
      </c>
      <c r="U1297" t="s">
        <v>68</v>
      </c>
      <c r="V1297" t="s">
        <v>3895</v>
      </c>
      <c r="W1297" s="9">
        <v>60604034</v>
      </c>
      <c r="X1297" t="s">
        <v>4048</v>
      </c>
      <c r="Y1297" s="1">
        <v>45729</v>
      </c>
      <c r="Z1297" s="1">
        <v>45759</v>
      </c>
      <c r="AA1297" s="2">
        <v>153362.23999999999</v>
      </c>
      <c r="AB1297" s="2">
        <v>129968</v>
      </c>
      <c r="AC1297" s="2">
        <v>23394.240000000002</v>
      </c>
      <c r="AD1297" s="2">
        <v>13126.77</v>
      </c>
      <c r="AE1297" t="s">
        <v>4049</v>
      </c>
      <c r="AF1297" t="s">
        <v>72</v>
      </c>
      <c r="AG1297">
        <v>319</v>
      </c>
      <c r="AH1297" t="s">
        <v>101</v>
      </c>
      <c r="AI1297" t="s">
        <v>74</v>
      </c>
      <c r="AJ1297" t="s">
        <v>75</v>
      </c>
      <c r="AK1297" t="s">
        <v>76</v>
      </c>
      <c r="AL1297" t="s">
        <v>77</v>
      </c>
      <c r="AM1297" t="s">
        <v>78</v>
      </c>
      <c r="AN1297" t="s">
        <v>979</v>
      </c>
      <c r="AO1297" t="s">
        <v>80</v>
      </c>
      <c r="AP1297" t="e">
        <v>#N/A</v>
      </c>
      <c r="AQ1297" t="s">
        <v>81</v>
      </c>
      <c r="AR1297" t="str">
        <f t="shared" si="40"/>
        <v>60604034.STATAM</v>
      </c>
      <c r="AS1297">
        <f t="shared" si="41"/>
        <v>21743401.179999996</v>
      </c>
      <c r="AT1297" t="s">
        <v>82</v>
      </c>
    </row>
    <row r="1298" spans="1:46" x14ac:dyDescent="0.35">
      <c r="A1298" t="s">
        <v>52</v>
      </c>
      <c r="B1298" t="s">
        <v>53</v>
      </c>
      <c r="C1298" t="s">
        <v>54</v>
      </c>
      <c r="D1298" t="s">
        <v>55</v>
      </c>
      <c r="E1298" t="s">
        <v>56</v>
      </c>
      <c r="F1298" t="s">
        <v>3900</v>
      </c>
      <c r="G1298" t="s">
        <v>4017</v>
      </c>
      <c r="H1298" t="s">
        <v>56</v>
      </c>
      <c r="I1298" t="s">
        <v>4047</v>
      </c>
      <c r="J1298" t="s">
        <v>56</v>
      </c>
      <c r="K1298" t="s">
        <v>62</v>
      </c>
      <c r="L1298" t="s">
        <v>4007</v>
      </c>
      <c r="M1298" t="s">
        <v>56</v>
      </c>
      <c r="N1298" t="s">
        <v>254</v>
      </c>
      <c r="O1298" t="s">
        <v>974</v>
      </c>
      <c r="P1298" t="s">
        <v>975</v>
      </c>
      <c r="Q1298" t="s">
        <v>114</v>
      </c>
      <c r="R1298" t="s">
        <v>67</v>
      </c>
      <c r="S1298">
        <v>250000000</v>
      </c>
      <c r="T1298">
        <v>159417758.06</v>
      </c>
      <c r="U1298" t="s">
        <v>68</v>
      </c>
      <c r="V1298" t="s">
        <v>3895</v>
      </c>
      <c r="W1298" s="9">
        <v>60604034</v>
      </c>
      <c r="X1298" t="s">
        <v>4048</v>
      </c>
      <c r="Y1298" s="1">
        <v>45729</v>
      </c>
      <c r="Z1298" s="1">
        <v>45759</v>
      </c>
      <c r="AA1298" s="2">
        <v>1978211</v>
      </c>
      <c r="AB1298" s="2">
        <v>1676450</v>
      </c>
      <c r="AC1298" s="2">
        <v>301761</v>
      </c>
      <c r="AD1298" s="2">
        <v>169321.45</v>
      </c>
      <c r="AE1298" t="s">
        <v>4050</v>
      </c>
      <c r="AF1298" t="s">
        <v>72</v>
      </c>
      <c r="AG1298">
        <v>319</v>
      </c>
      <c r="AH1298" t="s">
        <v>101</v>
      </c>
      <c r="AI1298" t="s">
        <v>74</v>
      </c>
      <c r="AJ1298" t="s">
        <v>75</v>
      </c>
      <c r="AK1298" t="s">
        <v>76</v>
      </c>
      <c r="AL1298" t="s">
        <v>77</v>
      </c>
      <c r="AM1298" t="s">
        <v>78</v>
      </c>
      <c r="AN1298" t="s">
        <v>979</v>
      </c>
      <c r="AO1298" t="s">
        <v>80</v>
      </c>
      <c r="AP1298" t="e">
        <v>#N/A</v>
      </c>
      <c r="AQ1298" t="s">
        <v>81</v>
      </c>
      <c r="AR1298" t="str">
        <f t="shared" si="40"/>
        <v>60604034.STATAM</v>
      </c>
      <c r="AS1298">
        <f t="shared" si="41"/>
        <v>21743401.179999996</v>
      </c>
      <c r="AT1298" t="s">
        <v>82</v>
      </c>
    </row>
    <row r="1299" spans="1:46" x14ac:dyDescent="0.35">
      <c r="A1299" t="s">
        <v>52</v>
      </c>
      <c r="B1299" t="s">
        <v>53</v>
      </c>
      <c r="C1299" t="s">
        <v>54</v>
      </c>
      <c r="D1299" t="s">
        <v>55</v>
      </c>
      <c r="E1299" t="s">
        <v>56</v>
      </c>
      <c r="F1299" t="s">
        <v>3900</v>
      </c>
      <c r="G1299" t="s">
        <v>4017</v>
      </c>
      <c r="H1299" t="s">
        <v>56</v>
      </c>
      <c r="I1299" t="s">
        <v>4047</v>
      </c>
      <c r="J1299" t="s">
        <v>56</v>
      </c>
      <c r="K1299" t="s">
        <v>62</v>
      </c>
      <c r="L1299" t="s">
        <v>4007</v>
      </c>
      <c r="M1299" t="s">
        <v>56</v>
      </c>
      <c r="N1299" t="s">
        <v>252</v>
      </c>
      <c r="O1299" t="s">
        <v>974</v>
      </c>
      <c r="P1299" t="s">
        <v>975</v>
      </c>
      <c r="Q1299" t="s">
        <v>114</v>
      </c>
      <c r="R1299" t="s">
        <v>67</v>
      </c>
      <c r="S1299">
        <v>250000000</v>
      </c>
      <c r="T1299">
        <v>159417758.06</v>
      </c>
      <c r="U1299" t="s">
        <v>68</v>
      </c>
      <c r="V1299" t="s">
        <v>3895</v>
      </c>
      <c r="W1299" s="9">
        <v>60604034</v>
      </c>
      <c r="X1299" t="s">
        <v>4048</v>
      </c>
      <c r="Y1299" s="1">
        <v>45729</v>
      </c>
      <c r="Z1299" s="1">
        <v>45759</v>
      </c>
      <c r="AA1299" s="2">
        <v>417886.38</v>
      </c>
      <c r="AB1299" s="2">
        <v>354141</v>
      </c>
      <c r="AC1299" s="2">
        <v>63745.38</v>
      </c>
      <c r="AD1299" s="2">
        <v>35768.239999999998</v>
      </c>
      <c r="AE1299" t="s">
        <v>4051</v>
      </c>
      <c r="AF1299" t="s">
        <v>72</v>
      </c>
      <c r="AG1299">
        <v>319</v>
      </c>
      <c r="AH1299" t="s">
        <v>101</v>
      </c>
      <c r="AI1299" t="s">
        <v>74</v>
      </c>
      <c r="AJ1299" t="s">
        <v>75</v>
      </c>
      <c r="AK1299" t="s">
        <v>76</v>
      </c>
      <c r="AL1299" t="s">
        <v>77</v>
      </c>
      <c r="AM1299" t="s">
        <v>78</v>
      </c>
      <c r="AN1299" t="s">
        <v>979</v>
      </c>
      <c r="AO1299" t="s">
        <v>80</v>
      </c>
      <c r="AP1299" t="e">
        <v>#N/A</v>
      </c>
      <c r="AQ1299" t="s">
        <v>81</v>
      </c>
      <c r="AR1299" t="str">
        <f t="shared" si="40"/>
        <v>60604034.STATAM</v>
      </c>
      <c r="AS1299">
        <f t="shared" si="41"/>
        <v>21743401.179999996</v>
      </c>
      <c r="AT1299" t="s">
        <v>82</v>
      </c>
    </row>
    <row r="1300" spans="1:46" x14ac:dyDescent="0.35">
      <c r="A1300" t="s">
        <v>52</v>
      </c>
      <c r="B1300" t="s">
        <v>53</v>
      </c>
      <c r="C1300" t="s">
        <v>54</v>
      </c>
      <c r="D1300" t="s">
        <v>55</v>
      </c>
      <c r="E1300" t="s">
        <v>56</v>
      </c>
      <c r="F1300" t="s">
        <v>3900</v>
      </c>
      <c r="G1300" t="s">
        <v>4017</v>
      </c>
      <c r="H1300" t="s">
        <v>56</v>
      </c>
      <c r="I1300" t="s">
        <v>4047</v>
      </c>
      <c r="J1300" t="s">
        <v>56</v>
      </c>
      <c r="K1300" t="s">
        <v>62</v>
      </c>
      <c r="L1300" t="s">
        <v>4007</v>
      </c>
      <c r="M1300" t="s">
        <v>56</v>
      </c>
      <c r="N1300" t="s">
        <v>1183</v>
      </c>
      <c r="O1300" t="s">
        <v>974</v>
      </c>
      <c r="P1300" t="s">
        <v>975</v>
      </c>
      <c r="Q1300" t="s">
        <v>114</v>
      </c>
      <c r="R1300" t="s">
        <v>67</v>
      </c>
      <c r="S1300">
        <v>250000000</v>
      </c>
      <c r="T1300">
        <v>159417758.06</v>
      </c>
      <c r="U1300" t="s">
        <v>68</v>
      </c>
      <c r="V1300" t="s">
        <v>3895</v>
      </c>
      <c r="W1300" s="9">
        <v>60604034</v>
      </c>
      <c r="X1300" t="s">
        <v>4048</v>
      </c>
      <c r="Y1300" s="1">
        <v>45729</v>
      </c>
      <c r="Z1300" s="1">
        <v>45759</v>
      </c>
      <c r="AA1300" s="2">
        <v>3320099.92</v>
      </c>
      <c r="AB1300" s="2">
        <v>2813644</v>
      </c>
      <c r="AC1300" s="2">
        <v>506455.92</v>
      </c>
      <c r="AD1300" s="2">
        <v>284178.05</v>
      </c>
      <c r="AE1300" t="s">
        <v>4052</v>
      </c>
      <c r="AF1300" t="s">
        <v>72</v>
      </c>
      <c r="AG1300">
        <v>319</v>
      </c>
      <c r="AH1300" t="s">
        <v>101</v>
      </c>
      <c r="AI1300" t="s">
        <v>74</v>
      </c>
      <c r="AJ1300" t="s">
        <v>75</v>
      </c>
      <c r="AK1300" t="s">
        <v>76</v>
      </c>
      <c r="AL1300" t="s">
        <v>77</v>
      </c>
      <c r="AM1300" t="s">
        <v>78</v>
      </c>
      <c r="AN1300" t="s">
        <v>979</v>
      </c>
      <c r="AO1300" t="s">
        <v>80</v>
      </c>
      <c r="AP1300" t="e">
        <v>#N/A</v>
      </c>
      <c r="AQ1300" t="s">
        <v>81</v>
      </c>
      <c r="AR1300" t="str">
        <f t="shared" si="40"/>
        <v>60604034.STATAM</v>
      </c>
      <c r="AS1300">
        <f t="shared" si="41"/>
        <v>21743401.179999996</v>
      </c>
      <c r="AT1300" t="s">
        <v>82</v>
      </c>
    </row>
    <row r="1301" spans="1:46" x14ac:dyDescent="0.35">
      <c r="A1301" t="s">
        <v>52</v>
      </c>
      <c r="B1301" t="s">
        <v>53</v>
      </c>
      <c r="C1301" t="s">
        <v>54</v>
      </c>
      <c r="D1301" t="s">
        <v>55</v>
      </c>
      <c r="E1301" t="s">
        <v>56</v>
      </c>
      <c r="F1301" t="s">
        <v>3900</v>
      </c>
      <c r="G1301" t="s">
        <v>4017</v>
      </c>
      <c r="H1301" t="s">
        <v>56</v>
      </c>
      <c r="I1301" t="s">
        <v>4047</v>
      </c>
      <c r="J1301" t="s">
        <v>56</v>
      </c>
      <c r="K1301" t="s">
        <v>62</v>
      </c>
      <c r="L1301" t="s">
        <v>4007</v>
      </c>
      <c r="M1301" t="s">
        <v>56</v>
      </c>
      <c r="N1301" t="s">
        <v>655</v>
      </c>
      <c r="O1301" t="s">
        <v>974</v>
      </c>
      <c r="P1301" t="s">
        <v>975</v>
      </c>
      <c r="Q1301" t="s">
        <v>114</v>
      </c>
      <c r="R1301" t="s">
        <v>67</v>
      </c>
      <c r="S1301">
        <v>250000000</v>
      </c>
      <c r="T1301">
        <v>159417758.06</v>
      </c>
      <c r="U1301" t="s">
        <v>68</v>
      </c>
      <c r="V1301" t="s">
        <v>3895</v>
      </c>
      <c r="W1301" s="9">
        <v>60604034</v>
      </c>
      <c r="X1301" t="s">
        <v>4048</v>
      </c>
      <c r="Y1301" s="1">
        <v>45729</v>
      </c>
      <c r="Z1301" s="1">
        <v>45759</v>
      </c>
      <c r="AA1301" s="2">
        <v>57789.32</v>
      </c>
      <c r="AB1301" s="2">
        <v>48974</v>
      </c>
      <c r="AC1301" s="2">
        <v>8815.32</v>
      </c>
      <c r="AD1301" s="2">
        <v>4946.37</v>
      </c>
      <c r="AE1301" t="s">
        <v>4053</v>
      </c>
      <c r="AF1301" t="s">
        <v>72</v>
      </c>
      <c r="AG1301">
        <v>319</v>
      </c>
      <c r="AH1301" t="s">
        <v>101</v>
      </c>
      <c r="AI1301" t="s">
        <v>74</v>
      </c>
      <c r="AJ1301" t="s">
        <v>75</v>
      </c>
      <c r="AK1301" t="s">
        <v>76</v>
      </c>
      <c r="AL1301" t="s">
        <v>77</v>
      </c>
      <c r="AM1301" t="s">
        <v>78</v>
      </c>
      <c r="AN1301" t="s">
        <v>979</v>
      </c>
      <c r="AO1301" t="s">
        <v>80</v>
      </c>
      <c r="AP1301" t="e">
        <v>#N/A</v>
      </c>
      <c r="AQ1301" t="s">
        <v>81</v>
      </c>
      <c r="AR1301" t="str">
        <f t="shared" si="40"/>
        <v>60604034.STATAM</v>
      </c>
      <c r="AS1301">
        <f t="shared" si="41"/>
        <v>21743401.179999996</v>
      </c>
      <c r="AT1301" t="s">
        <v>82</v>
      </c>
    </row>
    <row r="1302" spans="1:46" x14ac:dyDescent="0.35">
      <c r="A1302" t="s">
        <v>52</v>
      </c>
      <c r="B1302" t="s">
        <v>53</v>
      </c>
      <c r="C1302" t="s">
        <v>54</v>
      </c>
      <c r="D1302" t="s">
        <v>55</v>
      </c>
      <c r="E1302" t="s">
        <v>56</v>
      </c>
      <c r="F1302" t="s">
        <v>3900</v>
      </c>
      <c r="G1302" t="s">
        <v>4017</v>
      </c>
      <c r="H1302" t="s">
        <v>56</v>
      </c>
      <c r="I1302" t="s">
        <v>4047</v>
      </c>
      <c r="J1302" t="s">
        <v>56</v>
      </c>
      <c r="K1302" t="s">
        <v>62</v>
      </c>
      <c r="L1302" t="s">
        <v>4007</v>
      </c>
      <c r="M1302" t="s">
        <v>56</v>
      </c>
      <c r="N1302" t="s">
        <v>1189</v>
      </c>
      <c r="O1302" t="s">
        <v>974</v>
      </c>
      <c r="P1302" t="s">
        <v>975</v>
      </c>
      <c r="Q1302" t="s">
        <v>114</v>
      </c>
      <c r="R1302" t="s">
        <v>67</v>
      </c>
      <c r="S1302">
        <v>250000000</v>
      </c>
      <c r="T1302">
        <v>159417758.06</v>
      </c>
      <c r="U1302" t="s">
        <v>68</v>
      </c>
      <c r="V1302" t="s">
        <v>3895</v>
      </c>
      <c r="W1302" s="9">
        <v>60604034</v>
      </c>
      <c r="X1302" t="s">
        <v>4048</v>
      </c>
      <c r="Y1302" s="1">
        <v>45729</v>
      </c>
      <c r="Z1302" s="1">
        <v>45759</v>
      </c>
      <c r="AA1302" s="2">
        <v>599586.31999999995</v>
      </c>
      <c r="AB1302" s="2">
        <v>508124</v>
      </c>
      <c r="AC1302" s="2">
        <v>91462.32</v>
      </c>
      <c r="AD1302" s="2">
        <v>51320.52</v>
      </c>
      <c r="AE1302" t="s">
        <v>4054</v>
      </c>
      <c r="AF1302" t="s">
        <v>72</v>
      </c>
      <c r="AG1302">
        <v>319</v>
      </c>
      <c r="AH1302" t="s">
        <v>101</v>
      </c>
      <c r="AI1302" t="s">
        <v>74</v>
      </c>
      <c r="AJ1302" t="s">
        <v>75</v>
      </c>
      <c r="AK1302" t="s">
        <v>76</v>
      </c>
      <c r="AL1302" t="s">
        <v>77</v>
      </c>
      <c r="AM1302" t="s">
        <v>78</v>
      </c>
      <c r="AN1302" t="s">
        <v>979</v>
      </c>
      <c r="AO1302" t="s">
        <v>80</v>
      </c>
      <c r="AP1302" t="e">
        <v>#N/A</v>
      </c>
      <c r="AQ1302" t="s">
        <v>81</v>
      </c>
      <c r="AR1302" t="str">
        <f t="shared" si="40"/>
        <v>60604034.STATAM</v>
      </c>
      <c r="AS1302">
        <f t="shared" si="41"/>
        <v>21743401.179999996</v>
      </c>
      <c r="AT1302" t="s">
        <v>82</v>
      </c>
    </row>
    <row r="1303" spans="1:46" x14ac:dyDescent="0.35">
      <c r="A1303" t="s">
        <v>52</v>
      </c>
      <c r="B1303" t="s">
        <v>53</v>
      </c>
      <c r="C1303" t="s">
        <v>54</v>
      </c>
      <c r="D1303" t="s">
        <v>55</v>
      </c>
      <c r="E1303" t="s">
        <v>56</v>
      </c>
      <c r="F1303" t="s">
        <v>3900</v>
      </c>
      <c r="G1303" t="s">
        <v>4017</v>
      </c>
      <c r="H1303" t="s">
        <v>56</v>
      </c>
      <c r="I1303" t="s">
        <v>4047</v>
      </c>
      <c r="J1303" t="s">
        <v>56</v>
      </c>
      <c r="K1303" t="s">
        <v>62</v>
      </c>
      <c r="L1303" t="s">
        <v>4007</v>
      </c>
      <c r="M1303" t="s">
        <v>56</v>
      </c>
      <c r="N1303" t="s">
        <v>261</v>
      </c>
      <c r="O1303" t="s">
        <v>974</v>
      </c>
      <c r="P1303" t="s">
        <v>975</v>
      </c>
      <c r="Q1303" t="s">
        <v>114</v>
      </c>
      <c r="R1303" t="s">
        <v>67</v>
      </c>
      <c r="S1303">
        <v>250000000</v>
      </c>
      <c r="T1303">
        <v>159417758.06</v>
      </c>
      <c r="U1303" t="s">
        <v>68</v>
      </c>
      <c r="V1303" t="s">
        <v>3895</v>
      </c>
      <c r="W1303" s="9">
        <v>60604034</v>
      </c>
      <c r="X1303" t="s">
        <v>4048</v>
      </c>
      <c r="Y1303" s="1">
        <v>45729</v>
      </c>
      <c r="Z1303" s="1">
        <v>45759</v>
      </c>
      <c r="AA1303" s="2">
        <v>768970.6</v>
      </c>
      <c r="AB1303" s="2">
        <v>651670</v>
      </c>
      <c r="AC1303" s="2">
        <v>117300.6</v>
      </c>
      <c r="AD1303" s="2">
        <v>65818.67</v>
      </c>
      <c r="AE1303" t="s">
        <v>4055</v>
      </c>
      <c r="AF1303" t="s">
        <v>72</v>
      </c>
      <c r="AG1303">
        <v>319</v>
      </c>
      <c r="AH1303" t="s">
        <v>101</v>
      </c>
      <c r="AI1303" t="s">
        <v>74</v>
      </c>
      <c r="AJ1303" t="s">
        <v>75</v>
      </c>
      <c r="AK1303" t="s">
        <v>76</v>
      </c>
      <c r="AL1303" t="s">
        <v>77</v>
      </c>
      <c r="AM1303" t="s">
        <v>78</v>
      </c>
      <c r="AN1303" t="s">
        <v>979</v>
      </c>
      <c r="AO1303" t="s">
        <v>80</v>
      </c>
      <c r="AP1303" t="e">
        <v>#N/A</v>
      </c>
      <c r="AQ1303" t="s">
        <v>81</v>
      </c>
      <c r="AR1303" t="str">
        <f t="shared" si="40"/>
        <v>60604034.STATAM</v>
      </c>
      <c r="AS1303">
        <f t="shared" si="41"/>
        <v>21743401.179999996</v>
      </c>
      <c r="AT1303" t="s">
        <v>82</v>
      </c>
    </row>
    <row r="1304" spans="1:46" x14ac:dyDescent="0.35">
      <c r="A1304" t="s">
        <v>52</v>
      </c>
      <c r="B1304" t="s">
        <v>53</v>
      </c>
      <c r="C1304" t="s">
        <v>54</v>
      </c>
      <c r="D1304" t="s">
        <v>55</v>
      </c>
      <c r="E1304" t="s">
        <v>56</v>
      </c>
      <c r="F1304" t="s">
        <v>3900</v>
      </c>
      <c r="G1304" t="s">
        <v>4017</v>
      </c>
      <c r="H1304" t="s">
        <v>56</v>
      </c>
      <c r="I1304" t="s">
        <v>4047</v>
      </c>
      <c r="J1304" t="s">
        <v>56</v>
      </c>
      <c r="K1304" t="s">
        <v>62</v>
      </c>
      <c r="L1304" t="s">
        <v>4007</v>
      </c>
      <c r="M1304" t="s">
        <v>56</v>
      </c>
      <c r="N1304" t="s">
        <v>682</v>
      </c>
      <c r="O1304" t="s">
        <v>974</v>
      </c>
      <c r="P1304" t="s">
        <v>975</v>
      </c>
      <c r="Q1304" t="s">
        <v>114</v>
      </c>
      <c r="R1304" t="s">
        <v>67</v>
      </c>
      <c r="S1304">
        <v>250000000</v>
      </c>
      <c r="T1304">
        <v>159417758.06</v>
      </c>
      <c r="U1304" t="s">
        <v>68</v>
      </c>
      <c r="V1304" t="s">
        <v>3895</v>
      </c>
      <c r="W1304" s="9">
        <v>60604034</v>
      </c>
      <c r="X1304" t="s">
        <v>4048</v>
      </c>
      <c r="Y1304" s="1">
        <v>45729</v>
      </c>
      <c r="Z1304" s="1">
        <v>45759</v>
      </c>
      <c r="AA1304" s="2">
        <v>2824786.33</v>
      </c>
      <c r="AB1304" s="2">
        <v>2393886.7200000002</v>
      </c>
      <c r="AC1304" s="2">
        <v>430899.61</v>
      </c>
      <c r="AD1304" s="2">
        <v>241782.56</v>
      </c>
      <c r="AE1304" t="s">
        <v>4056</v>
      </c>
      <c r="AF1304" t="s">
        <v>72</v>
      </c>
      <c r="AG1304">
        <v>319</v>
      </c>
      <c r="AH1304" t="s">
        <v>101</v>
      </c>
      <c r="AI1304" t="s">
        <v>74</v>
      </c>
      <c r="AJ1304" t="s">
        <v>127</v>
      </c>
      <c r="AK1304" t="s">
        <v>334</v>
      </c>
      <c r="AL1304" t="s">
        <v>77</v>
      </c>
      <c r="AM1304" t="s">
        <v>78</v>
      </c>
      <c r="AN1304" t="s">
        <v>979</v>
      </c>
      <c r="AO1304" t="s">
        <v>80</v>
      </c>
      <c r="AP1304" t="e">
        <v>#N/A</v>
      </c>
      <c r="AQ1304" t="s">
        <v>335</v>
      </c>
      <c r="AR1304" t="str">
        <f t="shared" si="40"/>
        <v>60604034.SPMINAM</v>
      </c>
      <c r="AS1304">
        <f t="shared" si="41"/>
        <v>22834340.790000007</v>
      </c>
      <c r="AT1304" t="s">
        <v>82</v>
      </c>
    </row>
    <row r="1305" spans="1:46" x14ac:dyDescent="0.35">
      <c r="A1305" t="s">
        <v>52</v>
      </c>
      <c r="B1305" t="s">
        <v>53</v>
      </c>
      <c r="C1305" t="s">
        <v>54</v>
      </c>
      <c r="D1305" t="s">
        <v>55</v>
      </c>
      <c r="E1305" t="s">
        <v>56</v>
      </c>
      <c r="F1305" t="s">
        <v>3900</v>
      </c>
      <c r="G1305" t="s">
        <v>4017</v>
      </c>
      <c r="H1305" t="s">
        <v>56</v>
      </c>
      <c r="I1305" t="s">
        <v>4057</v>
      </c>
      <c r="J1305" t="s">
        <v>56</v>
      </c>
      <c r="K1305" t="s">
        <v>62</v>
      </c>
      <c r="L1305" t="s">
        <v>56</v>
      </c>
      <c r="M1305" t="s">
        <v>56</v>
      </c>
      <c r="N1305" t="s">
        <v>252</v>
      </c>
      <c r="O1305" t="s">
        <v>974</v>
      </c>
      <c r="P1305" t="s">
        <v>975</v>
      </c>
      <c r="Q1305" t="s">
        <v>114</v>
      </c>
      <c r="R1305" t="s">
        <v>67</v>
      </c>
      <c r="S1305">
        <v>250000000</v>
      </c>
      <c r="T1305">
        <v>159417758.06</v>
      </c>
      <c r="U1305" t="s">
        <v>68</v>
      </c>
      <c r="V1305" t="s">
        <v>3895</v>
      </c>
      <c r="W1305" s="9">
        <v>60604034</v>
      </c>
      <c r="X1305" t="s">
        <v>4058</v>
      </c>
      <c r="Y1305" s="1">
        <v>45729</v>
      </c>
      <c r="Z1305" s="1">
        <v>45759</v>
      </c>
      <c r="AA1305" s="2">
        <v>9213.44</v>
      </c>
      <c r="AB1305" s="2">
        <v>7808</v>
      </c>
      <c r="AC1305" s="2">
        <v>1405.44</v>
      </c>
      <c r="AD1305" s="2">
        <v>795.57</v>
      </c>
      <c r="AE1305" t="s">
        <v>4059</v>
      </c>
      <c r="AF1305" t="s">
        <v>72</v>
      </c>
      <c r="AG1305">
        <v>319</v>
      </c>
      <c r="AH1305" t="s">
        <v>101</v>
      </c>
      <c r="AI1305" t="s">
        <v>74</v>
      </c>
      <c r="AJ1305" t="s">
        <v>75</v>
      </c>
      <c r="AK1305" t="s">
        <v>76</v>
      </c>
      <c r="AL1305" t="s">
        <v>77</v>
      </c>
      <c r="AM1305" t="s">
        <v>78</v>
      </c>
      <c r="AN1305" t="s">
        <v>979</v>
      </c>
      <c r="AO1305" t="s">
        <v>80</v>
      </c>
      <c r="AP1305" t="e">
        <v>#N/A</v>
      </c>
      <c r="AQ1305" t="s">
        <v>81</v>
      </c>
      <c r="AR1305" t="str">
        <f t="shared" si="40"/>
        <v>60604034.STATAM</v>
      </c>
      <c r="AS1305">
        <f t="shared" si="41"/>
        <v>21743401.179999996</v>
      </c>
      <c r="AT1305" t="s">
        <v>82</v>
      </c>
    </row>
    <row r="1306" spans="1:46" x14ac:dyDescent="0.35">
      <c r="A1306" t="s">
        <v>52</v>
      </c>
      <c r="B1306" t="s">
        <v>53</v>
      </c>
      <c r="C1306" t="s">
        <v>54</v>
      </c>
      <c r="D1306" t="s">
        <v>55</v>
      </c>
      <c r="E1306" t="s">
        <v>56</v>
      </c>
      <c r="F1306" t="s">
        <v>3900</v>
      </c>
      <c r="G1306" t="s">
        <v>4017</v>
      </c>
      <c r="H1306" t="s">
        <v>56</v>
      </c>
      <c r="I1306" t="s">
        <v>4057</v>
      </c>
      <c r="J1306" t="s">
        <v>56</v>
      </c>
      <c r="K1306" t="s">
        <v>62</v>
      </c>
      <c r="L1306" t="s">
        <v>56</v>
      </c>
      <c r="M1306" t="s">
        <v>56</v>
      </c>
      <c r="N1306" t="s">
        <v>682</v>
      </c>
      <c r="O1306" t="s">
        <v>974</v>
      </c>
      <c r="P1306" t="s">
        <v>975</v>
      </c>
      <c r="Q1306" t="s">
        <v>114</v>
      </c>
      <c r="R1306" t="s">
        <v>67</v>
      </c>
      <c r="S1306">
        <v>250000000</v>
      </c>
      <c r="T1306">
        <v>159417758.06</v>
      </c>
      <c r="U1306" t="s">
        <v>68</v>
      </c>
      <c r="V1306" t="s">
        <v>3895</v>
      </c>
      <c r="W1306" s="9">
        <v>60604034</v>
      </c>
      <c r="X1306" t="s">
        <v>4058</v>
      </c>
      <c r="Y1306" s="1">
        <v>45729</v>
      </c>
      <c r="Z1306" s="1">
        <v>45759</v>
      </c>
      <c r="AA1306" s="2">
        <v>156837.95000000001</v>
      </c>
      <c r="AB1306" s="2">
        <v>132913.51999999999</v>
      </c>
      <c r="AC1306" s="2">
        <v>23924.43</v>
      </c>
      <c r="AD1306" s="2">
        <v>13542.72</v>
      </c>
      <c r="AE1306" t="s">
        <v>4060</v>
      </c>
      <c r="AF1306" t="s">
        <v>72</v>
      </c>
      <c r="AG1306">
        <v>319</v>
      </c>
      <c r="AH1306" t="s">
        <v>101</v>
      </c>
      <c r="AI1306" t="s">
        <v>74</v>
      </c>
      <c r="AJ1306" t="s">
        <v>127</v>
      </c>
      <c r="AK1306" t="s">
        <v>334</v>
      </c>
      <c r="AL1306" t="s">
        <v>77</v>
      </c>
      <c r="AM1306" t="s">
        <v>78</v>
      </c>
      <c r="AN1306" t="s">
        <v>979</v>
      </c>
      <c r="AO1306" t="s">
        <v>80</v>
      </c>
      <c r="AP1306" t="e">
        <v>#N/A</v>
      </c>
      <c r="AQ1306" t="s">
        <v>335</v>
      </c>
      <c r="AR1306" t="str">
        <f t="shared" si="40"/>
        <v>60604034.SPMINAM</v>
      </c>
      <c r="AS1306">
        <f t="shared" si="41"/>
        <v>22834340.790000007</v>
      </c>
      <c r="AT1306" t="s">
        <v>82</v>
      </c>
    </row>
    <row r="1307" spans="1:46" x14ac:dyDescent="0.35">
      <c r="A1307" t="s">
        <v>52</v>
      </c>
      <c r="B1307" t="s">
        <v>53</v>
      </c>
      <c r="C1307" t="s">
        <v>54</v>
      </c>
      <c r="D1307" t="s">
        <v>55</v>
      </c>
      <c r="E1307" t="s">
        <v>56</v>
      </c>
      <c r="F1307" t="s">
        <v>3900</v>
      </c>
      <c r="G1307" t="s">
        <v>4017</v>
      </c>
      <c r="H1307" t="s">
        <v>56</v>
      </c>
      <c r="I1307" t="s">
        <v>4057</v>
      </c>
      <c r="J1307" t="s">
        <v>56</v>
      </c>
      <c r="K1307" t="s">
        <v>62</v>
      </c>
      <c r="L1307" t="s">
        <v>56</v>
      </c>
      <c r="M1307" t="s">
        <v>56</v>
      </c>
      <c r="N1307" t="s">
        <v>261</v>
      </c>
      <c r="O1307" t="s">
        <v>974</v>
      </c>
      <c r="P1307" t="s">
        <v>975</v>
      </c>
      <c r="Q1307" t="s">
        <v>114</v>
      </c>
      <c r="R1307" t="s">
        <v>67</v>
      </c>
      <c r="S1307">
        <v>250000000</v>
      </c>
      <c r="T1307">
        <v>159417758.06</v>
      </c>
      <c r="U1307" t="s">
        <v>68</v>
      </c>
      <c r="V1307" t="s">
        <v>3895</v>
      </c>
      <c r="W1307" s="9">
        <v>60604034</v>
      </c>
      <c r="X1307" t="s">
        <v>4058</v>
      </c>
      <c r="Y1307" s="1">
        <v>45729</v>
      </c>
      <c r="Z1307" s="1">
        <v>45759</v>
      </c>
      <c r="AA1307" s="2">
        <v>294395.84000000003</v>
      </c>
      <c r="AB1307" s="2">
        <v>249488</v>
      </c>
      <c r="AC1307" s="2">
        <v>44907.839999999997</v>
      </c>
      <c r="AD1307" s="2">
        <v>25420.63</v>
      </c>
      <c r="AE1307" t="s">
        <v>4061</v>
      </c>
      <c r="AF1307" t="s">
        <v>72</v>
      </c>
      <c r="AG1307">
        <v>319</v>
      </c>
      <c r="AH1307" t="s">
        <v>101</v>
      </c>
      <c r="AI1307" t="s">
        <v>74</v>
      </c>
      <c r="AJ1307" t="s">
        <v>75</v>
      </c>
      <c r="AK1307" t="s">
        <v>76</v>
      </c>
      <c r="AL1307" t="s">
        <v>77</v>
      </c>
      <c r="AM1307" t="s">
        <v>78</v>
      </c>
      <c r="AN1307" t="s">
        <v>979</v>
      </c>
      <c r="AO1307" t="s">
        <v>80</v>
      </c>
      <c r="AP1307" t="e">
        <v>#N/A</v>
      </c>
      <c r="AQ1307" t="s">
        <v>81</v>
      </c>
      <c r="AR1307" t="str">
        <f t="shared" si="40"/>
        <v>60604034.STATAM</v>
      </c>
      <c r="AS1307">
        <f t="shared" si="41"/>
        <v>21743401.179999996</v>
      </c>
      <c r="AT1307" t="s">
        <v>82</v>
      </c>
    </row>
    <row r="1308" spans="1:46" x14ac:dyDescent="0.35">
      <c r="A1308" t="s">
        <v>52</v>
      </c>
      <c r="B1308" t="s">
        <v>53</v>
      </c>
      <c r="C1308" t="s">
        <v>54</v>
      </c>
      <c r="D1308" t="s">
        <v>55</v>
      </c>
      <c r="E1308" t="s">
        <v>56</v>
      </c>
      <c r="F1308" t="s">
        <v>3900</v>
      </c>
      <c r="G1308" t="s">
        <v>4017</v>
      </c>
      <c r="H1308" t="s">
        <v>56</v>
      </c>
      <c r="I1308" t="s">
        <v>4062</v>
      </c>
      <c r="J1308" t="s">
        <v>56</v>
      </c>
      <c r="K1308" t="s">
        <v>62</v>
      </c>
      <c r="L1308" t="s">
        <v>4007</v>
      </c>
      <c r="M1308" t="s">
        <v>56</v>
      </c>
      <c r="N1308" t="s">
        <v>682</v>
      </c>
      <c r="O1308" t="s">
        <v>974</v>
      </c>
      <c r="P1308" t="s">
        <v>975</v>
      </c>
      <c r="Q1308" t="s">
        <v>114</v>
      </c>
      <c r="R1308" t="s">
        <v>67</v>
      </c>
      <c r="S1308">
        <v>250000000</v>
      </c>
      <c r="T1308">
        <v>159417758.06</v>
      </c>
      <c r="U1308" t="s">
        <v>68</v>
      </c>
      <c r="V1308" t="s">
        <v>3895</v>
      </c>
      <c r="W1308" s="9">
        <v>60604034</v>
      </c>
      <c r="X1308" t="s">
        <v>4063</v>
      </c>
      <c r="Y1308" s="1">
        <v>45936</v>
      </c>
      <c r="Z1308" s="1">
        <v>46116</v>
      </c>
      <c r="AA1308" s="2">
        <v>7666460</v>
      </c>
      <c r="AB1308" s="2">
        <v>6497000</v>
      </c>
      <c r="AC1308" s="2">
        <v>1169460</v>
      </c>
      <c r="AD1308" s="2">
        <v>7016760</v>
      </c>
      <c r="AE1308" t="s">
        <v>4064</v>
      </c>
      <c r="AF1308" t="s">
        <v>72</v>
      </c>
      <c r="AG1308">
        <v>-38</v>
      </c>
      <c r="AH1308" t="s">
        <v>117</v>
      </c>
      <c r="AI1308" t="s">
        <v>74</v>
      </c>
      <c r="AJ1308" t="s">
        <v>127</v>
      </c>
      <c r="AK1308" t="s">
        <v>334</v>
      </c>
      <c r="AL1308" t="s">
        <v>118</v>
      </c>
      <c r="AM1308" t="s">
        <v>78</v>
      </c>
      <c r="AN1308" t="s">
        <v>979</v>
      </c>
      <c r="AO1308" t="s">
        <v>119</v>
      </c>
      <c r="AP1308" t="e">
        <v>#N/A</v>
      </c>
      <c r="AQ1308" t="s">
        <v>335</v>
      </c>
      <c r="AR1308" t="str">
        <f t="shared" si="40"/>
        <v>60604034.SPMINAM</v>
      </c>
      <c r="AS1308">
        <f t="shared" si="41"/>
        <v>22834340.790000007</v>
      </c>
      <c r="AT1308" t="s">
        <v>82</v>
      </c>
    </row>
    <row r="1309" spans="1:46" x14ac:dyDescent="0.35">
      <c r="A1309" t="s">
        <v>52</v>
      </c>
      <c r="B1309" t="s">
        <v>53</v>
      </c>
      <c r="C1309" t="s">
        <v>54</v>
      </c>
      <c r="D1309" t="s">
        <v>55</v>
      </c>
      <c r="E1309" t="s">
        <v>56</v>
      </c>
      <c r="F1309" t="s">
        <v>3900</v>
      </c>
      <c r="G1309" t="s">
        <v>4017</v>
      </c>
      <c r="H1309" t="s">
        <v>56</v>
      </c>
      <c r="I1309" t="s">
        <v>4065</v>
      </c>
      <c r="J1309" t="s">
        <v>56</v>
      </c>
      <c r="K1309" t="s">
        <v>62</v>
      </c>
      <c r="L1309" t="s">
        <v>4007</v>
      </c>
      <c r="M1309" t="s">
        <v>56</v>
      </c>
      <c r="N1309" t="s">
        <v>682</v>
      </c>
      <c r="O1309" t="s">
        <v>974</v>
      </c>
      <c r="P1309" t="s">
        <v>975</v>
      </c>
      <c r="Q1309" t="s">
        <v>114</v>
      </c>
      <c r="R1309" t="s">
        <v>67</v>
      </c>
      <c r="S1309">
        <v>250000000</v>
      </c>
      <c r="T1309">
        <v>159417758.06</v>
      </c>
      <c r="U1309" t="s">
        <v>68</v>
      </c>
      <c r="V1309" t="s">
        <v>3895</v>
      </c>
      <c r="W1309" s="9">
        <v>60604034</v>
      </c>
      <c r="X1309" t="s">
        <v>4066</v>
      </c>
      <c r="Y1309" s="1">
        <v>45937</v>
      </c>
      <c r="Z1309" s="1">
        <v>46117</v>
      </c>
      <c r="AA1309" s="2">
        <v>6697505.3600000003</v>
      </c>
      <c r="AB1309" s="2">
        <v>5675852</v>
      </c>
      <c r="AC1309" s="2">
        <v>1021653.36</v>
      </c>
      <c r="AD1309" s="2">
        <v>6129920.3600000003</v>
      </c>
      <c r="AE1309" t="s">
        <v>4067</v>
      </c>
      <c r="AF1309" t="s">
        <v>72</v>
      </c>
      <c r="AG1309">
        <v>-39</v>
      </c>
      <c r="AH1309" t="s">
        <v>117</v>
      </c>
      <c r="AI1309" t="s">
        <v>74</v>
      </c>
      <c r="AJ1309" t="s">
        <v>127</v>
      </c>
      <c r="AK1309" t="s">
        <v>334</v>
      </c>
      <c r="AL1309" t="s">
        <v>118</v>
      </c>
      <c r="AM1309" t="s">
        <v>78</v>
      </c>
      <c r="AN1309" t="s">
        <v>979</v>
      </c>
      <c r="AO1309" t="s">
        <v>119</v>
      </c>
      <c r="AP1309" t="e">
        <v>#N/A</v>
      </c>
      <c r="AQ1309" t="s">
        <v>335</v>
      </c>
      <c r="AR1309" t="str">
        <f t="shared" si="40"/>
        <v>60604034.SPMINAM</v>
      </c>
      <c r="AS1309">
        <f t="shared" si="41"/>
        <v>22834340.790000007</v>
      </c>
      <c r="AT1309" t="s">
        <v>82</v>
      </c>
    </row>
    <row r="1310" spans="1:46" x14ac:dyDescent="0.35">
      <c r="A1310" t="s">
        <v>52</v>
      </c>
      <c r="B1310" t="s">
        <v>53</v>
      </c>
      <c r="C1310" t="s">
        <v>54</v>
      </c>
      <c r="D1310" t="s">
        <v>55</v>
      </c>
      <c r="E1310" t="s">
        <v>56</v>
      </c>
      <c r="F1310" t="s">
        <v>3900</v>
      </c>
      <c r="G1310" t="s">
        <v>4017</v>
      </c>
      <c r="H1310" t="s">
        <v>56</v>
      </c>
      <c r="I1310" t="s">
        <v>4068</v>
      </c>
      <c r="J1310" t="s">
        <v>56</v>
      </c>
      <c r="K1310" t="s">
        <v>62</v>
      </c>
      <c r="L1310" t="s">
        <v>56</v>
      </c>
      <c r="M1310" t="s">
        <v>56</v>
      </c>
      <c r="N1310" t="s">
        <v>252</v>
      </c>
      <c r="O1310" t="s">
        <v>974</v>
      </c>
      <c r="P1310" t="s">
        <v>975</v>
      </c>
      <c r="Q1310" t="s">
        <v>114</v>
      </c>
      <c r="R1310" t="s">
        <v>67</v>
      </c>
      <c r="S1310">
        <v>250000000</v>
      </c>
      <c r="T1310">
        <v>159417758.06</v>
      </c>
      <c r="U1310" t="s">
        <v>68</v>
      </c>
      <c r="V1310" t="s">
        <v>3895</v>
      </c>
      <c r="W1310" s="9">
        <v>60604034</v>
      </c>
      <c r="X1310" t="s">
        <v>4069</v>
      </c>
      <c r="Y1310" s="1">
        <v>45940</v>
      </c>
      <c r="Z1310" s="1">
        <v>46120</v>
      </c>
      <c r="AA1310" s="2">
        <v>431818.64</v>
      </c>
      <c r="AB1310" s="2">
        <v>365948</v>
      </c>
      <c r="AC1310" s="2">
        <v>65870.64</v>
      </c>
      <c r="AD1310" s="2">
        <v>395223.59</v>
      </c>
      <c r="AE1310" t="s">
        <v>4070</v>
      </c>
      <c r="AF1310" t="s">
        <v>72</v>
      </c>
      <c r="AG1310">
        <v>-42</v>
      </c>
      <c r="AH1310" t="s">
        <v>117</v>
      </c>
      <c r="AI1310" t="s">
        <v>74</v>
      </c>
      <c r="AJ1310" t="s">
        <v>75</v>
      </c>
      <c r="AK1310" t="s">
        <v>76</v>
      </c>
      <c r="AL1310" t="s">
        <v>118</v>
      </c>
      <c r="AM1310" t="s">
        <v>78</v>
      </c>
      <c r="AN1310" t="s">
        <v>979</v>
      </c>
      <c r="AO1310" t="s">
        <v>119</v>
      </c>
      <c r="AP1310" t="e">
        <v>#N/A</v>
      </c>
      <c r="AQ1310" t="s">
        <v>81</v>
      </c>
      <c r="AR1310" t="str">
        <f t="shared" si="40"/>
        <v>60604034.STATAM</v>
      </c>
      <c r="AS1310">
        <f t="shared" si="41"/>
        <v>21743401.179999996</v>
      </c>
      <c r="AT1310" t="s">
        <v>82</v>
      </c>
    </row>
    <row r="1311" spans="1:46" x14ac:dyDescent="0.35">
      <c r="A1311" t="s">
        <v>52</v>
      </c>
      <c r="B1311" t="s">
        <v>53</v>
      </c>
      <c r="C1311" t="s">
        <v>54</v>
      </c>
      <c r="D1311" t="s">
        <v>55</v>
      </c>
      <c r="E1311" t="s">
        <v>56</v>
      </c>
      <c r="F1311" t="s">
        <v>3900</v>
      </c>
      <c r="G1311" t="s">
        <v>4017</v>
      </c>
      <c r="H1311" t="s">
        <v>56</v>
      </c>
      <c r="I1311" t="s">
        <v>4068</v>
      </c>
      <c r="J1311" t="s">
        <v>56</v>
      </c>
      <c r="K1311" t="s">
        <v>62</v>
      </c>
      <c r="L1311" t="s">
        <v>56</v>
      </c>
      <c r="M1311" t="s">
        <v>56</v>
      </c>
      <c r="N1311" t="s">
        <v>1727</v>
      </c>
      <c r="O1311" t="s">
        <v>974</v>
      </c>
      <c r="P1311" t="s">
        <v>975</v>
      </c>
      <c r="Q1311" t="s">
        <v>114</v>
      </c>
      <c r="R1311" t="s">
        <v>67</v>
      </c>
      <c r="S1311">
        <v>250000000</v>
      </c>
      <c r="T1311">
        <v>159417758.06</v>
      </c>
      <c r="U1311" t="s">
        <v>68</v>
      </c>
      <c r="V1311" t="s">
        <v>3895</v>
      </c>
      <c r="W1311" s="9">
        <v>60604034</v>
      </c>
      <c r="X1311" t="s">
        <v>4069</v>
      </c>
      <c r="Y1311" s="1">
        <v>45940</v>
      </c>
      <c r="Z1311" s="1">
        <v>46120</v>
      </c>
      <c r="AA1311" s="2">
        <v>51640.25</v>
      </c>
      <c r="AB1311" s="2">
        <v>43762.92</v>
      </c>
      <c r="AC1311" s="2">
        <v>7877.33</v>
      </c>
      <c r="AD1311" s="2">
        <v>47263.92</v>
      </c>
      <c r="AE1311" t="s">
        <v>4071</v>
      </c>
      <c r="AF1311" t="s">
        <v>72</v>
      </c>
      <c r="AG1311">
        <v>-42</v>
      </c>
      <c r="AH1311" t="s">
        <v>117</v>
      </c>
      <c r="AI1311" t="s">
        <v>74</v>
      </c>
      <c r="AJ1311" t="s">
        <v>127</v>
      </c>
      <c r="AK1311" t="s">
        <v>334</v>
      </c>
      <c r="AL1311" t="s">
        <v>118</v>
      </c>
      <c r="AM1311" t="s">
        <v>78</v>
      </c>
      <c r="AN1311" t="s">
        <v>979</v>
      </c>
      <c r="AO1311" t="s">
        <v>119</v>
      </c>
      <c r="AP1311" t="e">
        <v>#N/A</v>
      </c>
      <c r="AQ1311" t="s">
        <v>335</v>
      </c>
      <c r="AR1311" t="str">
        <f t="shared" si="40"/>
        <v>60604034.SPMINAM</v>
      </c>
      <c r="AS1311">
        <f t="shared" si="41"/>
        <v>22834340.790000007</v>
      </c>
      <c r="AT1311" t="s">
        <v>82</v>
      </c>
    </row>
    <row r="1312" spans="1:46" x14ac:dyDescent="0.35">
      <c r="A1312" t="s">
        <v>52</v>
      </c>
      <c r="B1312" t="s">
        <v>53</v>
      </c>
      <c r="C1312" t="s">
        <v>54</v>
      </c>
      <c r="D1312" t="s">
        <v>55</v>
      </c>
      <c r="E1312" t="s">
        <v>56</v>
      </c>
      <c r="F1312" t="s">
        <v>3900</v>
      </c>
      <c r="G1312" t="s">
        <v>4017</v>
      </c>
      <c r="H1312" t="s">
        <v>56</v>
      </c>
      <c r="I1312" t="s">
        <v>4068</v>
      </c>
      <c r="J1312" t="s">
        <v>56</v>
      </c>
      <c r="K1312" t="s">
        <v>62</v>
      </c>
      <c r="L1312" t="s">
        <v>56</v>
      </c>
      <c r="M1312" t="s">
        <v>56</v>
      </c>
      <c r="N1312" t="s">
        <v>682</v>
      </c>
      <c r="O1312" t="s">
        <v>974</v>
      </c>
      <c r="P1312" t="s">
        <v>975</v>
      </c>
      <c r="Q1312" t="s">
        <v>114</v>
      </c>
      <c r="R1312" t="s">
        <v>67</v>
      </c>
      <c r="S1312">
        <v>250000000</v>
      </c>
      <c r="T1312">
        <v>159417758.06</v>
      </c>
      <c r="U1312" t="s">
        <v>68</v>
      </c>
      <c r="V1312" t="s">
        <v>3895</v>
      </c>
      <c r="W1312" s="9">
        <v>60604034</v>
      </c>
      <c r="X1312" t="s">
        <v>4069</v>
      </c>
      <c r="Y1312" s="1">
        <v>45940</v>
      </c>
      <c r="Z1312" s="1">
        <v>46120</v>
      </c>
      <c r="AA1312" s="2">
        <v>139848.29999999999</v>
      </c>
      <c r="AB1312" s="2">
        <v>118515.51</v>
      </c>
      <c r="AC1312" s="2">
        <v>21332.79</v>
      </c>
      <c r="AD1312" s="2">
        <v>127996.67</v>
      </c>
      <c r="AE1312" t="s">
        <v>4072</v>
      </c>
      <c r="AF1312" t="s">
        <v>72</v>
      </c>
      <c r="AG1312">
        <v>-42</v>
      </c>
      <c r="AH1312" t="s">
        <v>117</v>
      </c>
      <c r="AI1312" t="s">
        <v>74</v>
      </c>
      <c r="AJ1312" t="s">
        <v>127</v>
      </c>
      <c r="AK1312" t="s">
        <v>334</v>
      </c>
      <c r="AL1312" t="s">
        <v>118</v>
      </c>
      <c r="AM1312" t="s">
        <v>78</v>
      </c>
      <c r="AN1312" t="s">
        <v>979</v>
      </c>
      <c r="AO1312" t="s">
        <v>119</v>
      </c>
      <c r="AP1312" t="e">
        <v>#N/A</v>
      </c>
      <c r="AQ1312" t="s">
        <v>335</v>
      </c>
      <c r="AR1312" t="str">
        <f t="shared" si="40"/>
        <v>60604034.SPMINAM</v>
      </c>
      <c r="AS1312">
        <f t="shared" si="41"/>
        <v>22834340.790000007</v>
      </c>
      <c r="AT1312" t="s">
        <v>82</v>
      </c>
    </row>
    <row r="1313" spans="1:46" x14ac:dyDescent="0.35">
      <c r="A1313" t="s">
        <v>52</v>
      </c>
      <c r="B1313" t="s">
        <v>53</v>
      </c>
      <c r="C1313" t="s">
        <v>54</v>
      </c>
      <c r="D1313" t="s">
        <v>55</v>
      </c>
      <c r="E1313" t="s">
        <v>56</v>
      </c>
      <c r="F1313" t="s">
        <v>3900</v>
      </c>
      <c r="G1313" t="s">
        <v>4017</v>
      </c>
      <c r="H1313" t="s">
        <v>56</v>
      </c>
      <c r="I1313" t="s">
        <v>4073</v>
      </c>
      <c r="J1313" t="s">
        <v>56</v>
      </c>
      <c r="K1313" t="s">
        <v>62</v>
      </c>
      <c r="L1313" t="s">
        <v>4007</v>
      </c>
      <c r="M1313" t="s">
        <v>56</v>
      </c>
      <c r="N1313" t="s">
        <v>252</v>
      </c>
      <c r="O1313" t="s">
        <v>974</v>
      </c>
      <c r="P1313" t="s">
        <v>975</v>
      </c>
      <c r="Q1313" t="s">
        <v>114</v>
      </c>
      <c r="R1313" t="s">
        <v>67</v>
      </c>
      <c r="S1313">
        <v>250000000</v>
      </c>
      <c r="T1313">
        <v>159417758.06</v>
      </c>
      <c r="U1313" t="s">
        <v>68</v>
      </c>
      <c r="V1313" t="s">
        <v>3895</v>
      </c>
      <c r="W1313" s="9">
        <v>60604034</v>
      </c>
      <c r="X1313" t="s">
        <v>4074</v>
      </c>
      <c r="Y1313" s="1">
        <v>45940</v>
      </c>
      <c r="Z1313" s="1">
        <v>46120</v>
      </c>
      <c r="AA1313" s="2">
        <v>13000480.49</v>
      </c>
      <c r="AB1313" s="2">
        <v>11017356.34</v>
      </c>
      <c r="AC1313" s="2">
        <v>1983124.15</v>
      </c>
      <c r="AD1313" s="2">
        <v>11898744.74</v>
      </c>
      <c r="AE1313" t="s">
        <v>4075</v>
      </c>
      <c r="AF1313" t="s">
        <v>72</v>
      </c>
      <c r="AG1313">
        <v>-42</v>
      </c>
      <c r="AH1313" t="s">
        <v>117</v>
      </c>
      <c r="AI1313" t="s">
        <v>74</v>
      </c>
      <c r="AJ1313" t="s">
        <v>75</v>
      </c>
      <c r="AK1313" t="s">
        <v>76</v>
      </c>
      <c r="AL1313" t="s">
        <v>118</v>
      </c>
      <c r="AM1313" t="s">
        <v>78</v>
      </c>
      <c r="AN1313" t="s">
        <v>979</v>
      </c>
      <c r="AO1313" t="s">
        <v>119</v>
      </c>
      <c r="AP1313" t="e">
        <v>#N/A</v>
      </c>
      <c r="AQ1313" t="s">
        <v>81</v>
      </c>
      <c r="AR1313" t="str">
        <f t="shared" si="40"/>
        <v>60604034.STATAM</v>
      </c>
      <c r="AS1313">
        <f t="shared" si="41"/>
        <v>21743401.179999996</v>
      </c>
      <c r="AT1313" t="s">
        <v>82</v>
      </c>
    </row>
    <row r="1314" spans="1:46" x14ac:dyDescent="0.35">
      <c r="A1314" t="s">
        <v>52</v>
      </c>
      <c r="B1314" t="s">
        <v>53</v>
      </c>
      <c r="C1314" t="s">
        <v>54</v>
      </c>
      <c r="D1314" t="s">
        <v>55</v>
      </c>
      <c r="E1314" t="s">
        <v>56</v>
      </c>
      <c r="F1314" t="s">
        <v>3900</v>
      </c>
      <c r="G1314" t="s">
        <v>4017</v>
      </c>
      <c r="H1314" t="s">
        <v>56</v>
      </c>
      <c r="I1314" t="s">
        <v>4073</v>
      </c>
      <c r="J1314" t="s">
        <v>56</v>
      </c>
      <c r="K1314" t="s">
        <v>62</v>
      </c>
      <c r="L1314" t="s">
        <v>4007</v>
      </c>
      <c r="M1314" t="s">
        <v>56</v>
      </c>
      <c r="N1314" t="s">
        <v>477</v>
      </c>
      <c r="O1314" t="s">
        <v>974</v>
      </c>
      <c r="P1314" t="s">
        <v>975</v>
      </c>
      <c r="Q1314" t="s">
        <v>114</v>
      </c>
      <c r="R1314" t="s">
        <v>67</v>
      </c>
      <c r="S1314">
        <v>250000000</v>
      </c>
      <c r="T1314">
        <v>159417758.06</v>
      </c>
      <c r="U1314" t="s">
        <v>68</v>
      </c>
      <c r="V1314" t="s">
        <v>3895</v>
      </c>
      <c r="W1314" s="9">
        <v>60604034</v>
      </c>
      <c r="X1314" t="s">
        <v>4074</v>
      </c>
      <c r="Y1314" s="1">
        <v>45940</v>
      </c>
      <c r="Z1314" s="1">
        <v>46120</v>
      </c>
      <c r="AA1314" s="2">
        <v>52552.43</v>
      </c>
      <c r="AB1314" s="2">
        <v>44535.96</v>
      </c>
      <c r="AC1314" s="2">
        <v>8016.47</v>
      </c>
      <c r="AD1314" s="2">
        <v>48098.84</v>
      </c>
      <c r="AE1314" t="s">
        <v>4076</v>
      </c>
      <c r="AF1314" t="s">
        <v>72</v>
      </c>
      <c r="AG1314">
        <v>-42</v>
      </c>
      <c r="AH1314" t="s">
        <v>117</v>
      </c>
      <c r="AI1314" t="s">
        <v>74</v>
      </c>
      <c r="AJ1314" t="s">
        <v>237</v>
      </c>
      <c r="AK1314" t="s">
        <v>383</v>
      </c>
      <c r="AL1314" t="s">
        <v>118</v>
      </c>
      <c r="AM1314" t="s">
        <v>78</v>
      </c>
      <c r="AN1314" t="s">
        <v>979</v>
      </c>
      <c r="AO1314" t="s">
        <v>119</v>
      </c>
      <c r="AP1314" t="e">
        <v>#N/A</v>
      </c>
      <c r="AQ1314" t="s">
        <v>383</v>
      </c>
      <c r="AR1314" t="str">
        <f t="shared" si="40"/>
        <v>60604034.MOBILAM</v>
      </c>
      <c r="AS1314">
        <f t="shared" si="41"/>
        <v>48098.84</v>
      </c>
      <c r="AT1314" t="s">
        <v>82</v>
      </c>
    </row>
    <row r="1315" spans="1:46" x14ac:dyDescent="0.35">
      <c r="A1315" t="s">
        <v>52</v>
      </c>
      <c r="B1315" t="s">
        <v>53</v>
      </c>
      <c r="C1315" t="s">
        <v>54</v>
      </c>
      <c r="D1315" t="s">
        <v>55</v>
      </c>
      <c r="E1315" t="s">
        <v>56</v>
      </c>
      <c r="F1315" t="s">
        <v>3900</v>
      </c>
      <c r="G1315" t="s">
        <v>4017</v>
      </c>
      <c r="H1315" t="s">
        <v>56</v>
      </c>
      <c r="I1315" t="s">
        <v>4073</v>
      </c>
      <c r="J1315" t="s">
        <v>56</v>
      </c>
      <c r="K1315" t="s">
        <v>62</v>
      </c>
      <c r="L1315" t="s">
        <v>4007</v>
      </c>
      <c r="M1315" t="s">
        <v>56</v>
      </c>
      <c r="N1315" t="s">
        <v>682</v>
      </c>
      <c r="O1315" t="s">
        <v>974</v>
      </c>
      <c r="P1315" t="s">
        <v>975</v>
      </c>
      <c r="Q1315" t="s">
        <v>114</v>
      </c>
      <c r="R1315" t="s">
        <v>67</v>
      </c>
      <c r="S1315">
        <v>250000000</v>
      </c>
      <c r="T1315">
        <v>159417758.06</v>
      </c>
      <c r="U1315" t="s">
        <v>68</v>
      </c>
      <c r="V1315" t="s">
        <v>3895</v>
      </c>
      <c r="W1315" s="9">
        <v>60604034</v>
      </c>
      <c r="X1315" t="s">
        <v>4074</v>
      </c>
      <c r="Y1315" s="1">
        <v>45940</v>
      </c>
      <c r="Z1315" s="1">
        <v>46120</v>
      </c>
      <c r="AA1315" s="2">
        <v>2653728.94</v>
      </c>
      <c r="AB1315" s="2">
        <v>2248922.83</v>
      </c>
      <c r="AC1315" s="2">
        <v>404806.11</v>
      </c>
      <c r="AD1315" s="2">
        <v>2428836.64</v>
      </c>
      <c r="AE1315" t="s">
        <v>4077</v>
      </c>
      <c r="AF1315" t="s">
        <v>72</v>
      </c>
      <c r="AG1315">
        <v>-42</v>
      </c>
      <c r="AH1315" t="s">
        <v>117</v>
      </c>
      <c r="AI1315" t="s">
        <v>74</v>
      </c>
      <c r="AJ1315" t="s">
        <v>127</v>
      </c>
      <c r="AK1315" t="s">
        <v>334</v>
      </c>
      <c r="AL1315" t="s">
        <v>118</v>
      </c>
      <c r="AM1315" t="s">
        <v>78</v>
      </c>
      <c r="AN1315" t="s">
        <v>979</v>
      </c>
      <c r="AO1315" t="s">
        <v>119</v>
      </c>
      <c r="AP1315" t="e">
        <v>#N/A</v>
      </c>
      <c r="AQ1315" t="s">
        <v>335</v>
      </c>
      <c r="AR1315" t="str">
        <f t="shared" si="40"/>
        <v>60604034.SPMINAM</v>
      </c>
      <c r="AS1315">
        <f t="shared" si="41"/>
        <v>22834340.790000007</v>
      </c>
      <c r="AT1315" t="s">
        <v>82</v>
      </c>
    </row>
    <row r="1316" spans="1:46" x14ac:dyDescent="0.35">
      <c r="A1316" t="s">
        <v>52</v>
      </c>
      <c r="B1316" t="s">
        <v>53</v>
      </c>
      <c r="C1316" t="s">
        <v>54</v>
      </c>
      <c r="D1316" t="s">
        <v>55</v>
      </c>
      <c r="E1316" t="s">
        <v>56</v>
      </c>
      <c r="F1316" t="s">
        <v>3900</v>
      </c>
      <c r="G1316" t="s">
        <v>4017</v>
      </c>
      <c r="H1316" t="s">
        <v>56</v>
      </c>
      <c r="I1316" t="s">
        <v>4073</v>
      </c>
      <c r="J1316" t="s">
        <v>56</v>
      </c>
      <c r="K1316" t="s">
        <v>62</v>
      </c>
      <c r="L1316" t="s">
        <v>4007</v>
      </c>
      <c r="M1316" t="s">
        <v>56</v>
      </c>
      <c r="N1316" t="s">
        <v>1183</v>
      </c>
      <c r="O1316" t="s">
        <v>974</v>
      </c>
      <c r="P1316" t="s">
        <v>975</v>
      </c>
      <c r="Q1316" t="s">
        <v>114</v>
      </c>
      <c r="R1316" t="s">
        <v>67</v>
      </c>
      <c r="S1316">
        <v>250000000</v>
      </c>
      <c r="T1316">
        <v>159417758.06</v>
      </c>
      <c r="U1316" t="s">
        <v>68</v>
      </c>
      <c r="V1316" t="s">
        <v>3895</v>
      </c>
      <c r="W1316" s="9">
        <v>60604034</v>
      </c>
      <c r="X1316" t="s">
        <v>4074</v>
      </c>
      <c r="Y1316" s="1">
        <v>45940</v>
      </c>
      <c r="Z1316" s="1">
        <v>46120</v>
      </c>
      <c r="AA1316" s="2">
        <v>116678.39999999999</v>
      </c>
      <c r="AB1316" s="2">
        <v>98880</v>
      </c>
      <c r="AC1316" s="2">
        <v>17798.400000000001</v>
      </c>
      <c r="AD1316" s="2">
        <v>106790.39999999999</v>
      </c>
      <c r="AE1316" t="s">
        <v>4078</v>
      </c>
      <c r="AF1316" t="s">
        <v>72</v>
      </c>
      <c r="AG1316">
        <v>-42</v>
      </c>
      <c r="AH1316" t="s">
        <v>117</v>
      </c>
      <c r="AI1316" t="s">
        <v>74</v>
      </c>
      <c r="AJ1316" t="s">
        <v>75</v>
      </c>
      <c r="AK1316" t="s">
        <v>76</v>
      </c>
      <c r="AL1316" t="s">
        <v>118</v>
      </c>
      <c r="AM1316" t="s">
        <v>78</v>
      </c>
      <c r="AN1316" t="s">
        <v>979</v>
      </c>
      <c r="AO1316" t="s">
        <v>119</v>
      </c>
      <c r="AP1316" t="e">
        <v>#N/A</v>
      </c>
      <c r="AQ1316" t="s">
        <v>81</v>
      </c>
      <c r="AR1316" t="str">
        <f t="shared" si="40"/>
        <v>60604034.STATAM</v>
      </c>
      <c r="AS1316">
        <f t="shared" si="41"/>
        <v>21743401.179999996</v>
      </c>
      <c r="AT1316" t="s">
        <v>82</v>
      </c>
    </row>
    <row r="1317" spans="1:46" x14ac:dyDescent="0.35">
      <c r="A1317" t="s">
        <v>52</v>
      </c>
      <c r="B1317" t="s">
        <v>53</v>
      </c>
      <c r="C1317" t="s">
        <v>54</v>
      </c>
      <c r="D1317" t="s">
        <v>55</v>
      </c>
      <c r="E1317" t="s">
        <v>56</v>
      </c>
      <c r="F1317" t="s">
        <v>3900</v>
      </c>
      <c r="G1317" t="s">
        <v>4017</v>
      </c>
      <c r="H1317" t="s">
        <v>56</v>
      </c>
      <c r="I1317" t="s">
        <v>4073</v>
      </c>
      <c r="J1317" t="s">
        <v>56</v>
      </c>
      <c r="K1317" t="s">
        <v>62</v>
      </c>
      <c r="L1317" t="s">
        <v>4007</v>
      </c>
      <c r="M1317" t="s">
        <v>56</v>
      </c>
      <c r="N1317" t="s">
        <v>254</v>
      </c>
      <c r="O1317" t="s">
        <v>974</v>
      </c>
      <c r="P1317" t="s">
        <v>975</v>
      </c>
      <c r="Q1317" t="s">
        <v>114</v>
      </c>
      <c r="R1317" t="s">
        <v>67</v>
      </c>
      <c r="S1317">
        <v>250000000</v>
      </c>
      <c r="T1317">
        <v>159417758.06</v>
      </c>
      <c r="U1317" t="s">
        <v>68</v>
      </c>
      <c r="V1317" t="s">
        <v>3895</v>
      </c>
      <c r="W1317" s="9">
        <v>60604034</v>
      </c>
      <c r="X1317" t="s">
        <v>4074</v>
      </c>
      <c r="Y1317" s="1">
        <v>45940</v>
      </c>
      <c r="Z1317" s="1">
        <v>46120</v>
      </c>
      <c r="AA1317" s="2">
        <v>325646.96000000002</v>
      </c>
      <c r="AB1317" s="2">
        <v>275972</v>
      </c>
      <c r="AC1317" s="2">
        <v>49674.96</v>
      </c>
      <c r="AD1317" s="2">
        <v>298049.76</v>
      </c>
      <c r="AE1317" t="s">
        <v>4079</v>
      </c>
      <c r="AF1317" t="s">
        <v>72</v>
      </c>
      <c r="AG1317">
        <v>-42</v>
      </c>
      <c r="AH1317" t="s">
        <v>117</v>
      </c>
      <c r="AI1317" t="s">
        <v>74</v>
      </c>
      <c r="AJ1317" t="s">
        <v>75</v>
      </c>
      <c r="AK1317" t="s">
        <v>76</v>
      </c>
      <c r="AL1317" t="s">
        <v>118</v>
      </c>
      <c r="AM1317" t="s">
        <v>78</v>
      </c>
      <c r="AN1317" t="s">
        <v>979</v>
      </c>
      <c r="AO1317" t="s">
        <v>119</v>
      </c>
      <c r="AP1317" t="e">
        <v>#N/A</v>
      </c>
      <c r="AQ1317" t="s">
        <v>81</v>
      </c>
      <c r="AR1317" t="str">
        <f t="shared" si="40"/>
        <v>60604034.STATAM</v>
      </c>
      <c r="AS1317">
        <f t="shared" si="41"/>
        <v>21743401.179999996</v>
      </c>
      <c r="AT1317" t="s">
        <v>82</v>
      </c>
    </row>
    <row r="1318" spans="1:46" x14ac:dyDescent="0.35">
      <c r="A1318" t="s">
        <v>52</v>
      </c>
      <c r="B1318" t="s">
        <v>53</v>
      </c>
      <c r="C1318" t="s">
        <v>54</v>
      </c>
      <c r="D1318" t="s">
        <v>55</v>
      </c>
      <c r="E1318" t="s">
        <v>56</v>
      </c>
      <c r="F1318" t="s">
        <v>3900</v>
      </c>
      <c r="G1318" t="s">
        <v>4017</v>
      </c>
      <c r="H1318" t="s">
        <v>56</v>
      </c>
      <c r="I1318" t="s">
        <v>4073</v>
      </c>
      <c r="J1318" t="s">
        <v>56</v>
      </c>
      <c r="K1318" t="s">
        <v>62</v>
      </c>
      <c r="L1318" t="s">
        <v>4007</v>
      </c>
      <c r="M1318" t="s">
        <v>56</v>
      </c>
      <c r="N1318" t="s">
        <v>295</v>
      </c>
      <c r="O1318" t="s">
        <v>974</v>
      </c>
      <c r="P1318" t="s">
        <v>975</v>
      </c>
      <c r="Q1318" t="s">
        <v>114</v>
      </c>
      <c r="R1318" t="s">
        <v>67</v>
      </c>
      <c r="S1318">
        <v>250000000</v>
      </c>
      <c r="T1318">
        <v>159417758.06</v>
      </c>
      <c r="U1318" t="s">
        <v>68</v>
      </c>
      <c r="V1318" t="s">
        <v>3895</v>
      </c>
      <c r="W1318" s="9">
        <v>60604034</v>
      </c>
      <c r="X1318" t="s">
        <v>4074</v>
      </c>
      <c r="Y1318" s="1">
        <v>45940</v>
      </c>
      <c r="Z1318" s="1">
        <v>46120</v>
      </c>
      <c r="AA1318" s="2">
        <v>565833.6</v>
      </c>
      <c r="AB1318" s="2">
        <v>479520</v>
      </c>
      <c r="AC1318" s="2">
        <v>86313.600000000006</v>
      </c>
      <c r="AD1318" s="2">
        <v>517881.59999999998</v>
      </c>
      <c r="AE1318" t="s">
        <v>4080</v>
      </c>
      <c r="AF1318" t="s">
        <v>72</v>
      </c>
      <c r="AG1318">
        <v>-42</v>
      </c>
      <c r="AH1318" t="s">
        <v>117</v>
      </c>
      <c r="AI1318" t="s">
        <v>74</v>
      </c>
      <c r="AJ1318" t="s">
        <v>75</v>
      </c>
      <c r="AK1318" t="s">
        <v>76</v>
      </c>
      <c r="AL1318" t="s">
        <v>118</v>
      </c>
      <c r="AM1318" t="s">
        <v>78</v>
      </c>
      <c r="AN1318" t="s">
        <v>979</v>
      </c>
      <c r="AO1318" t="s">
        <v>119</v>
      </c>
      <c r="AP1318" t="e">
        <v>#N/A</v>
      </c>
      <c r="AQ1318" t="s">
        <v>81</v>
      </c>
      <c r="AR1318" t="str">
        <f t="shared" si="40"/>
        <v>60604034.STATAM</v>
      </c>
      <c r="AS1318">
        <f t="shared" si="41"/>
        <v>21743401.179999996</v>
      </c>
      <c r="AT1318" t="s">
        <v>82</v>
      </c>
    </row>
    <row r="1319" spans="1:46" x14ac:dyDescent="0.35">
      <c r="A1319" t="s">
        <v>52</v>
      </c>
      <c r="B1319" t="s">
        <v>53</v>
      </c>
      <c r="C1319" t="s">
        <v>54</v>
      </c>
      <c r="D1319" t="s">
        <v>55</v>
      </c>
      <c r="E1319" t="s">
        <v>56</v>
      </c>
      <c r="F1319" t="s">
        <v>3900</v>
      </c>
      <c r="G1319" t="s">
        <v>4017</v>
      </c>
      <c r="H1319" t="s">
        <v>56</v>
      </c>
      <c r="I1319" t="s">
        <v>4073</v>
      </c>
      <c r="J1319" t="s">
        <v>56</v>
      </c>
      <c r="K1319" t="s">
        <v>62</v>
      </c>
      <c r="L1319" t="s">
        <v>4007</v>
      </c>
      <c r="M1319" t="s">
        <v>56</v>
      </c>
      <c r="N1319" t="s">
        <v>1189</v>
      </c>
      <c r="O1319" t="s">
        <v>974</v>
      </c>
      <c r="P1319" t="s">
        <v>975</v>
      </c>
      <c r="Q1319" t="s">
        <v>114</v>
      </c>
      <c r="R1319" t="s">
        <v>67</v>
      </c>
      <c r="S1319">
        <v>250000000</v>
      </c>
      <c r="T1319">
        <v>159417758.06</v>
      </c>
      <c r="U1319" t="s">
        <v>68</v>
      </c>
      <c r="V1319" t="s">
        <v>3895</v>
      </c>
      <c r="W1319" s="9">
        <v>60604034</v>
      </c>
      <c r="X1319" t="s">
        <v>4074</v>
      </c>
      <c r="Y1319" s="1">
        <v>45940</v>
      </c>
      <c r="Z1319" s="1">
        <v>46120</v>
      </c>
      <c r="AA1319" s="2">
        <v>147227.42000000001</v>
      </c>
      <c r="AB1319" s="2">
        <v>124769</v>
      </c>
      <c r="AC1319" s="2">
        <v>22458.42</v>
      </c>
      <c r="AD1319" s="2">
        <v>134750.51999999999</v>
      </c>
      <c r="AE1319" t="s">
        <v>4081</v>
      </c>
      <c r="AF1319" t="s">
        <v>72</v>
      </c>
      <c r="AG1319">
        <v>-42</v>
      </c>
      <c r="AH1319" t="s">
        <v>117</v>
      </c>
      <c r="AI1319" t="s">
        <v>74</v>
      </c>
      <c r="AJ1319" t="s">
        <v>75</v>
      </c>
      <c r="AK1319" t="s">
        <v>76</v>
      </c>
      <c r="AL1319" t="s">
        <v>118</v>
      </c>
      <c r="AM1319" t="s">
        <v>78</v>
      </c>
      <c r="AN1319" t="s">
        <v>979</v>
      </c>
      <c r="AO1319" t="s">
        <v>119</v>
      </c>
      <c r="AP1319" t="e">
        <v>#N/A</v>
      </c>
      <c r="AQ1319" t="s">
        <v>81</v>
      </c>
      <c r="AR1319" t="str">
        <f t="shared" si="40"/>
        <v>60604034.STATAM</v>
      </c>
      <c r="AS1319">
        <f t="shared" si="41"/>
        <v>21743401.179999996</v>
      </c>
      <c r="AT1319" t="s">
        <v>82</v>
      </c>
    </row>
    <row r="1320" spans="1:46" x14ac:dyDescent="0.35">
      <c r="A1320" t="s">
        <v>52</v>
      </c>
      <c r="B1320" t="s">
        <v>53</v>
      </c>
      <c r="C1320" t="s">
        <v>54</v>
      </c>
      <c r="D1320" t="s">
        <v>55</v>
      </c>
      <c r="E1320" t="s">
        <v>56</v>
      </c>
      <c r="F1320" t="s">
        <v>3900</v>
      </c>
      <c r="G1320" t="s">
        <v>4017</v>
      </c>
      <c r="H1320" t="s">
        <v>56</v>
      </c>
      <c r="I1320" t="s">
        <v>4073</v>
      </c>
      <c r="J1320" t="s">
        <v>56</v>
      </c>
      <c r="K1320" t="s">
        <v>62</v>
      </c>
      <c r="L1320" t="s">
        <v>4007</v>
      </c>
      <c r="M1320" t="s">
        <v>56</v>
      </c>
      <c r="N1320" t="s">
        <v>261</v>
      </c>
      <c r="O1320" t="s">
        <v>974</v>
      </c>
      <c r="P1320" t="s">
        <v>975</v>
      </c>
      <c r="Q1320" t="s">
        <v>114</v>
      </c>
      <c r="R1320" t="s">
        <v>67</v>
      </c>
      <c r="S1320">
        <v>250000000</v>
      </c>
      <c r="T1320">
        <v>159417758.06</v>
      </c>
      <c r="U1320" t="s">
        <v>68</v>
      </c>
      <c r="V1320" t="s">
        <v>3895</v>
      </c>
      <c r="W1320" s="9">
        <v>60604034</v>
      </c>
      <c r="X1320" t="s">
        <v>4074</v>
      </c>
      <c r="Y1320" s="1">
        <v>45940</v>
      </c>
      <c r="Z1320" s="1">
        <v>46120</v>
      </c>
      <c r="AA1320" s="2">
        <v>78403.92</v>
      </c>
      <c r="AB1320" s="2">
        <v>66444</v>
      </c>
      <c r="AC1320" s="2">
        <v>11959.92</v>
      </c>
      <c r="AD1320" s="2">
        <v>71759.520000000004</v>
      </c>
      <c r="AE1320" t="s">
        <v>4082</v>
      </c>
      <c r="AF1320" t="s">
        <v>72</v>
      </c>
      <c r="AG1320">
        <v>-42</v>
      </c>
      <c r="AH1320" t="s">
        <v>117</v>
      </c>
      <c r="AI1320" t="s">
        <v>74</v>
      </c>
      <c r="AJ1320" t="s">
        <v>75</v>
      </c>
      <c r="AK1320" t="s">
        <v>76</v>
      </c>
      <c r="AL1320" t="s">
        <v>118</v>
      </c>
      <c r="AM1320" t="s">
        <v>78</v>
      </c>
      <c r="AN1320" t="s">
        <v>979</v>
      </c>
      <c r="AO1320" t="s">
        <v>119</v>
      </c>
      <c r="AP1320" t="e">
        <v>#N/A</v>
      </c>
      <c r="AQ1320" t="s">
        <v>81</v>
      </c>
      <c r="AR1320" t="str">
        <f t="shared" si="40"/>
        <v>60604034.STATAM</v>
      </c>
      <c r="AS1320">
        <f t="shared" si="41"/>
        <v>21743401.179999996</v>
      </c>
      <c r="AT1320" t="s">
        <v>82</v>
      </c>
    </row>
    <row r="1321" spans="1:46" x14ac:dyDescent="0.35">
      <c r="A1321" t="s">
        <v>52</v>
      </c>
      <c r="B1321" t="s">
        <v>53</v>
      </c>
      <c r="C1321" t="s">
        <v>54</v>
      </c>
      <c r="D1321" t="s">
        <v>55</v>
      </c>
      <c r="E1321" t="s">
        <v>56</v>
      </c>
      <c r="F1321" t="s">
        <v>3900</v>
      </c>
      <c r="G1321" t="s">
        <v>4017</v>
      </c>
      <c r="H1321" t="s">
        <v>56</v>
      </c>
      <c r="I1321" t="s">
        <v>4073</v>
      </c>
      <c r="J1321" t="s">
        <v>56</v>
      </c>
      <c r="K1321" t="s">
        <v>62</v>
      </c>
      <c r="L1321" t="s">
        <v>4007</v>
      </c>
      <c r="M1321" t="s">
        <v>56</v>
      </c>
      <c r="N1321" t="s">
        <v>680</v>
      </c>
      <c r="O1321" t="s">
        <v>974</v>
      </c>
      <c r="P1321" t="s">
        <v>975</v>
      </c>
      <c r="Q1321" t="s">
        <v>114</v>
      </c>
      <c r="R1321" t="s">
        <v>67</v>
      </c>
      <c r="S1321">
        <v>250000000</v>
      </c>
      <c r="T1321">
        <v>159417758.06</v>
      </c>
      <c r="U1321" t="s">
        <v>68</v>
      </c>
      <c r="V1321" t="s">
        <v>3895</v>
      </c>
      <c r="W1321" s="9">
        <v>60604034</v>
      </c>
      <c r="X1321" t="s">
        <v>4074</v>
      </c>
      <c r="Y1321" s="1">
        <v>45940</v>
      </c>
      <c r="Z1321" s="1">
        <v>46120</v>
      </c>
      <c r="AA1321" s="2">
        <v>51582.52</v>
      </c>
      <c r="AB1321" s="2">
        <v>43714</v>
      </c>
      <c r="AC1321" s="2">
        <v>7868.52</v>
      </c>
      <c r="AD1321" s="2">
        <v>47211.12</v>
      </c>
      <c r="AE1321" t="s">
        <v>4083</v>
      </c>
      <c r="AF1321" t="s">
        <v>72</v>
      </c>
      <c r="AG1321">
        <v>-42</v>
      </c>
      <c r="AH1321" t="s">
        <v>117</v>
      </c>
      <c r="AI1321" t="s">
        <v>74</v>
      </c>
      <c r="AJ1321" t="s">
        <v>127</v>
      </c>
      <c r="AK1321" t="s">
        <v>334</v>
      </c>
      <c r="AL1321" t="s">
        <v>118</v>
      </c>
      <c r="AM1321" t="s">
        <v>78</v>
      </c>
      <c r="AN1321" t="s">
        <v>979</v>
      </c>
      <c r="AO1321" t="s">
        <v>119</v>
      </c>
      <c r="AP1321" t="e">
        <v>#N/A</v>
      </c>
      <c r="AQ1321" t="s">
        <v>335</v>
      </c>
      <c r="AR1321" t="str">
        <f t="shared" si="40"/>
        <v>60604034.SPMINAM</v>
      </c>
      <c r="AS1321">
        <f t="shared" si="41"/>
        <v>22834340.790000007</v>
      </c>
      <c r="AT1321" t="s">
        <v>82</v>
      </c>
    </row>
    <row r="1322" spans="1:46" x14ac:dyDescent="0.35">
      <c r="A1322" t="s">
        <v>52</v>
      </c>
      <c r="B1322" t="s">
        <v>53</v>
      </c>
      <c r="C1322" t="s">
        <v>54</v>
      </c>
      <c r="D1322" t="s">
        <v>55</v>
      </c>
      <c r="E1322" t="s">
        <v>56</v>
      </c>
      <c r="F1322" t="s">
        <v>3900</v>
      </c>
      <c r="G1322" t="s">
        <v>4017</v>
      </c>
      <c r="H1322" t="s">
        <v>56</v>
      </c>
      <c r="I1322" t="s">
        <v>4073</v>
      </c>
      <c r="J1322" t="s">
        <v>56</v>
      </c>
      <c r="K1322" t="s">
        <v>62</v>
      </c>
      <c r="L1322" t="s">
        <v>4007</v>
      </c>
      <c r="M1322" t="s">
        <v>56</v>
      </c>
      <c r="N1322" t="s">
        <v>1727</v>
      </c>
      <c r="O1322" t="s">
        <v>974</v>
      </c>
      <c r="P1322" t="s">
        <v>975</v>
      </c>
      <c r="Q1322" t="s">
        <v>114</v>
      </c>
      <c r="R1322" t="s">
        <v>67</v>
      </c>
      <c r="S1322">
        <v>250000000</v>
      </c>
      <c r="T1322">
        <v>159417758.06</v>
      </c>
      <c r="U1322" t="s">
        <v>68</v>
      </c>
      <c r="V1322" t="s">
        <v>3895</v>
      </c>
      <c r="W1322" s="9">
        <v>60604034</v>
      </c>
      <c r="X1322" t="s">
        <v>4074</v>
      </c>
      <c r="Y1322" s="1">
        <v>45940</v>
      </c>
      <c r="Z1322" s="1">
        <v>46120</v>
      </c>
      <c r="AA1322" s="2">
        <v>2004022.6</v>
      </c>
      <c r="AB1322" s="2">
        <v>1698324.24</v>
      </c>
      <c r="AC1322" s="2">
        <v>305698.36</v>
      </c>
      <c r="AD1322" s="2">
        <v>1834190.16</v>
      </c>
      <c r="AE1322" t="s">
        <v>4084</v>
      </c>
      <c r="AF1322" t="s">
        <v>72</v>
      </c>
      <c r="AG1322">
        <v>-42</v>
      </c>
      <c r="AH1322" t="s">
        <v>117</v>
      </c>
      <c r="AI1322" t="s">
        <v>74</v>
      </c>
      <c r="AJ1322" t="s">
        <v>127</v>
      </c>
      <c r="AK1322" t="s">
        <v>334</v>
      </c>
      <c r="AL1322" t="s">
        <v>118</v>
      </c>
      <c r="AM1322" t="s">
        <v>78</v>
      </c>
      <c r="AN1322" t="s">
        <v>979</v>
      </c>
      <c r="AO1322" t="s">
        <v>119</v>
      </c>
      <c r="AP1322" t="e">
        <v>#N/A</v>
      </c>
      <c r="AQ1322" t="s">
        <v>335</v>
      </c>
      <c r="AR1322" t="str">
        <f t="shared" si="40"/>
        <v>60604034.SPMINAM</v>
      </c>
      <c r="AS1322">
        <f t="shared" si="41"/>
        <v>22834340.790000007</v>
      </c>
      <c r="AT1322" t="s">
        <v>82</v>
      </c>
    </row>
    <row r="1323" spans="1:46" x14ac:dyDescent="0.35">
      <c r="A1323" t="s">
        <v>52</v>
      </c>
      <c r="B1323" t="s">
        <v>53</v>
      </c>
      <c r="C1323" t="s">
        <v>54</v>
      </c>
      <c r="D1323" t="s">
        <v>55</v>
      </c>
      <c r="E1323" t="s">
        <v>56</v>
      </c>
      <c r="F1323" t="s">
        <v>3900</v>
      </c>
      <c r="G1323" t="s">
        <v>4017</v>
      </c>
      <c r="H1323" t="s">
        <v>56</v>
      </c>
      <c r="I1323" t="s">
        <v>4085</v>
      </c>
      <c r="J1323" t="s">
        <v>56</v>
      </c>
      <c r="K1323" t="s">
        <v>62</v>
      </c>
      <c r="L1323" t="s">
        <v>4007</v>
      </c>
      <c r="M1323" t="s">
        <v>56</v>
      </c>
      <c r="N1323" t="s">
        <v>252</v>
      </c>
      <c r="O1323" t="s">
        <v>974</v>
      </c>
      <c r="P1323" t="s">
        <v>975</v>
      </c>
      <c r="Q1323" t="s">
        <v>114</v>
      </c>
      <c r="R1323" t="s">
        <v>67</v>
      </c>
      <c r="S1323">
        <v>250000000</v>
      </c>
      <c r="T1323">
        <v>159417758.06</v>
      </c>
      <c r="U1323" t="s">
        <v>68</v>
      </c>
      <c r="V1323" t="s">
        <v>3895</v>
      </c>
      <c r="W1323" s="9">
        <v>60604034</v>
      </c>
      <c r="X1323" t="s">
        <v>4086</v>
      </c>
      <c r="Y1323" s="1">
        <v>45940</v>
      </c>
      <c r="Z1323" s="1">
        <v>46120</v>
      </c>
      <c r="AA1323" s="2">
        <v>180811.4</v>
      </c>
      <c r="AB1323" s="2">
        <v>153230</v>
      </c>
      <c r="AC1323" s="2">
        <v>27581.4</v>
      </c>
      <c r="AD1323" s="2">
        <v>165488.4</v>
      </c>
      <c r="AE1323" t="s">
        <v>4087</v>
      </c>
      <c r="AF1323" t="s">
        <v>72</v>
      </c>
      <c r="AG1323">
        <v>-42</v>
      </c>
      <c r="AH1323" t="s">
        <v>117</v>
      </c>
      <c r="AI1323" t="s">
        <v>74</v>
      </c>
      <c r="AJ1323" t="s">
        <v>75</v>
      </c>
      <c r="AK1323" t="s">
        <v>76</v>
      </c>
      <c r="AL1323" t="s">
        <v>118</v>
      </c>
      <c r="AM1323" t="s">
        <v>78</v>
      </c>
      <c r="AN1323" t="s">
        <v>979</v>
      </c>
      <c r="AO1323" t="s">
        <v>119</v>
      </c>
      <c r="AP1323" t="e">
        <v>#N/A</v>
      </c>
      <c r="AQ1323" t="s">
        <v>81</v>
      </c>
      <c r="AR1323" t="str">
        <f t="shared" si="40"/>
        <v>60604034.STATAM</v>
      </c>
      <c r="AS1323">
        <f t="shared" si="41"/>
        <v>21743401.179999996</v>
      </c>
      <c r="AT1323" t="s">
        <v>82</v>
      </c>
    </row>
    <row r="1324" spans="1:46" x14ac:dyDescent="0.35">
      <c r="A1324" t="s">
        <v>52</v>
      </c>
      <c r="B1324" t="s">
        <v>53</v>
      </c>
      <c r="C1324" t="s">
        <v>54</v>
      </c>
      <c r="D1324" t="s">
        <v>55</v>
      </c>
      <c r="E1324" t="s">
        <v>56</v>
      </c>
      <c r="F1324" t="s">
        <v>3900</v>
      </c>
      <c r="G1324" t="s">
        <v>4017</v>
      </c>
      <c r="H1324" t="s">
        <v>56</v>
      </c>
      <c r="I1324" t="s">
        <v>4088</v>
      </c>
      <c r="J1324" t="s">
        <v>56</v>
      </c>
      <c r="K1324" t="s">
        <v>62</v>
      </c>
      <c r="L1324" t="s">
        <v>4007</v>
      </c>
      <c r="M1324" t="s">
        <v>56</v>
      </c>
      <c r="N1324" t="s">
        <v>682</v>
      </c>
      <c r="O1324" t="s">
        <v>974</v>
      </c>
      <c r="P1324" t="s">
        <v>975</v>
      </c>
      <c r="Q1324" t="s">
        <v>114</v>
      </c>
      <c r="R1324" t="s">
        <v>67</v>
      </c>
      <c r="S1324">
        <v>250000000</v>
      </c>
      <c r="T1324">
        <v>159417758.06</v>
      </c>
      <c r="U1324" t="s">
        <v>68</v>
      </c>
      <c r="V1324" t="s">
        <v>3895</v>
      </c>
      <c r="W1324" s="9">
        <v>60604034</v>
      </c>
      <c r="X1324" t="s">
        <v>4089</v>
      </c>
      <c r="Y1324" s="1">
        <v>45941</v>
      </c>
      <c r="Z1324" s="1">
        <v>46121</v>
      </c>
      <c r="AA1324" s="2">
        <v>535434.43999999994</v>
      </c>
      <c r="AB1324" s="2">
        <v>453758</v>
      </c>
      <c r="AC1324" s="2">
        <v>81676.44</v>
      </c>
      <c r="AD1324" s="2">
        <v>490058.44</v>
      </c>
      <c r="AE1324" t="s">
        <v>4090</v>
      </c>
      <c r="AF1324" t="s">
        <v>72</v>
      </c>
      <c r="AG1324">
        <v>-43</v>
      </c>
      <c r="AH1324" t="s">
        <v>117</v>
      </c>
      <c r="AI1324" t="s">
        <v>74</v>
      </c>
      <c r="AJ1324" t="s">
        <v>127</v>
      </c>
      <c r="AK1324" t="s">
        <v>334</v>
      </c>
      <c r="AL1324" t="s">
        <v>118</v>
      </c>
      <c r="AM1324" t="s">
        <v>78</v>
      </c>
      <c r="AN1324" t="s">
        <v>979</v>
      </c>
      <c r="AO1324" t="s">
        <v>119</v>
      </c>
      <c r="AP1324" t="e">
        <v>#N/A</v>
      </c>
      <c r="AQ1324" t="s">
        <v>335</v>
      </c>
      <c r="AR1324" t="str">
        <f t="shared" si="40"/>
        <v>60604034.SPMINAM</v>
      </c>
      <c r="AS1324">
        <f t="shared" si="41"/>
        <v>22834340.790000007</v>
      </c>
      <c r="AT1324" t="s">
        <v>82</v>
      </c>
    </row>
    <row r="1325" spans="1:46" x14ac:dyDescent="0.35">
      <c r="A1325" t="s">
        <v>52</v>
      </c>
      <c r="B1325" t="s">
        <v>53</v>
      </c>
      <c r="C1325" t="s">
        <v>54</v>
      </c>
      <c r="D1325" t="s">
        <v>55</v>
      </c>
      <c r="E1325" t="s">
        <v>56</v>
      </c>
      <c r="F1325" t="s">
        <v>3900</v>
      </c>
      <c r="G1325" t="s">
        <v>4017</v>
      </c>
      <c r="H1325" t="s">
        <v>56</v>
      </c>
      <c r="I1325" t="s">
        <v>4091</v>
      </c>
      <c r="J1325" t="s">
        <v>56</v>
      </c>
      <c r="K1325" t="s">
        <v>62</v>
      </c>
      <c r="L1325" t="s">
        <v>4007</v>
      </c>
      <c r="M1325" t="s">
        <v>56</v>
      </c>
      <c r="N1325" t="s">
        <v>682</v>
      </c>
      <c r="O1325" t="s">
        <v>974</v>
      </c>
      <c r="P1325" t="s">
        <v>975</v>
      </c>
      <c r="Q1325" t="s">
        <v>114</v>
      </c>
      <c r="R1325" t="s">
        <v>67</v>
      </c>
      <c r="S1325">
        <v>250000000</v>
      </c>
      <c r="T1325">
        <v>159417758.06</v>
      </c>
      <c r="U1325" t="s">
        <v>68</v>
      </c>
      <c r="V1325" t="s">
        <v>3895</v>
      </c>
      <c r="W1325" s="9">
        <v>60604034</v>
      </c>
      <c r="X1325" t="s">
        <v>4092</v>
      </c>
      <c r="Y1325" s="1">
        <v>45959</v>
      </c>
      <c r="Z1325" s="1">
        <v>45989</v>
      </c>
      <c r="AA1325" s="2">
        <v>84542.28</v>
      </c>
      <c r="AB1325" s="2">
        <v>71646</v>
      </c>
      <c r="AC1325" s="2">
        <v>12896.28</v>
      </c>
      <c r="AD1325" s="2">
        <v>77377.279999999999</v>
      </c>
      <c r="AE1325" t="s">
        <v>4093</v>
      </c>
      <c r="AF1325" t="s">
        <v>72</v>
      </c>
      <c r="AG1325">
        <v>89</v>
      </c>
      <c r="AH1325" t="s">
        <v>260</v>
      </c>
      <c r="AI1325" t="s">
        <v>74</v>
      </c>
      <c r="AJ1325" t="s">
        <v>127</v>
      </c>
      <c r="AK1325" t="s">
        <v>334</v>
      </c>
      <c r="AL1325" t="s">
        <v>77</v>
      </c>
      <c r="AM1325" t="s">
        <v>78</v>
      </c>
      <c r="AN1325" t="s">
        <v>979</v>
      </c>
      <c r="AO1325" t="s">
        <v>80</v>
      </c>
      <c r="AP1325" t="e">
        <v>#N/A</v>
      </c>
      <c r="AQ1325" t="s">
        <v>335</v>
      </c>
      <c r="AR1325" t="str">
        <f t="shared" si="40"/>
        <v>60604034.SPMINAM</v>
      </c>
      <c r="AS1325">
        <f t="shared" si="41"/>
        <v>22834340.790000007</v>
      </c>
      <c r="AT1325" t="s">
        <v>82</v>
      </c>
    </row>
    <row r="1326" spans="1:46" x14ac:dyDescent="0.35">
      <c r="A1326" t="s">
        <v>52</v>
      </c>
      <c r="B1326" t="s">
        <v>53</v>
      </c>
      <c r="C1326" t="s">
        <v>54</v>
      </c>
      <c r="D1326" t="s">
        <v>55</v>
      </c>
      <c r="E1326" t="s">
        <v>56</v>
      </c>
      <c r="F1326" t="s">
        <v>4094</v>
      </c>
      <c r="G1326" t="s">
        <v>4095</v>
      </c>
      <c r="H1326" t="s">
        <v>56</v>
      </c>
      <c r="I1326" t="s">
        <v>4096</v>
      </c>
      <c r="J1326" t="s">
        <v>56</v>
      </c>
      <c r="K1326" t="s">
        <v>62</v>
      </c>
      <c r="L1326" t="s">
        <v>4097</v>
      </c>
      <c r="M1326" t="s">
        <v>56</v>
      </c>
      <c r="N1326" t="s">
        <v>682</v>
      </c>
      <c r="O1326" t="s">
        <v>1122</v>
      </c>
      <c r="P1326" t="s">
        <v>1123</v>
      </c>
      <c r="Q1326" t="s">
        <v>114</v>
      </c>
      <c r="R1326" t="s">
        <v>88</v>
      </c>
      <c r="T1326">
        <v>-710.04</v>
      </c>
      <c r="U1326" t="s">
        <v>68</v>
      </c>
      <c r="V1326" t="s">
        <v>4098</v>
      </c>
      <c r="W1326" s="9">
        <v>20000007</v>
      </c>
      <c r="X1326" t="s">
        <v>4099</v>
      </c>
      <c r="Y1326" s="1">
        <v>46070</v>
      </c>
      <c r="Z1326" s="1">
        <v>46070</v>
      </c>
      <c r="AA1326" s="2">
        <v>170382.32</v>
      </c>
      <c r="AB1326" s="2">
        <v>144391.79999999999</v>
      </c>
      <c r="AC1326" s="2">
        <v>25990.52</v>
      </c>
      <c r="AD1326" s="2">
        <v>138.84</v>
      </c>
      <c r="AE1326" t="s">
        <v>4100</v>
      </c>
      <c r="AF1326" t="s">
        <v>72</v>
      </c>
      <c r="AG1326">
        <v>8</v>
      </c>
      <c r="AH1326" t="s">
        <v>73</v>
      </c>
      <c r="AI1326" t="s">
        <v>74</v>
      </c>
      <c r="AJ1326" t="s">
        <v>127</v>
      </c>
      <c r="AK1326" t="s">
        <v>334</v>
      </c>
      <c r="AL1326" t="s">
        <v>77</v>
      </c>
      <c r="AM1326" t="s">
        <v>78</v>
      </c>
      <c r="AN1326" t="s">
        <v>795</v>
      </c>
      <c r="AO1326" t="s">
        <v>80</v>
      </c>
      <c r="AP1326" t="e">
        <v>#N/A</v>
      </c>
      <c r="AQ1326" t="s">
        <v>335</v>
      </c>
      <c r="AR1326" t="str">
        <f t="shared" si="40"/>
        <v>20000007.SPMINAM</v>
      </c>
      <c r="AS1326">
        <f t="shared" si="41"/>
        <v>710.04000000000008</v>
      </c>
      <c r="AT1326" t="s">
        <v>82</v>
      </c>
    </row>
    <row r="1327" spans="1:46" x14ac:dyDescent="0.35">
      <c r="A1327" t="s">
        <v>52</v>
      </c>
      <c r="B1327" t="s">
        <v>53</v>
      </c>
      <c r="C1327" t="s">
        <v>54</v>
      </c>
      <c r="D1327" t="s">
        <v>55</v>
      </c>
      <c r="E1327" t="s">
        <v>56</v>
      </c>
      <c r="F1327" t="s">
        <v>4094</v>
      </c>
      <c r="G1327" t="s">
        <v>4095</v>
      </c>
      <c r="H1327" t="s">
        <v>56</v>
      </c>
      <c r="I1327" t="s">
        <v>4096</v>
      </c>
      <c r="J1327" t="s">
        <v>56</v>
      </c>
      <c r="K1327" t="s">
        <v>62</v>
      </c>
      <c r="L1327" t="s">
        <v>4097</v>
      </c>
      <c r="M1327" t="s">
        <v>56</v>
      </c>
      <c r="N1327" t="s">
        <v>789</v>
      </c>
      <c r="O1327" t="s">
        <v>1122</v>
      </c>
      <c r="P1327" t="s">
        <v>1123</v>
      </c>
      <c r="Q1327" t="s">
        <v>114</v>
      </c>
      <c r="R1327" t="s">
        <v>88</v>
      </c>
      <c r="T1327">
        <v>-710.04</v>
      </c>
      <c r="U1327" t="s">
        <v>68</v>
      </c>
      <c r="V1327" t="s">
        <v>4098</v>
      </c>
      <c r="W1327" s="9">
        <v>20000007</v>
      </c>
      <c r="X1327" t="s">
        <v>4099</v>
      </c>
      <c r="Y1327" s="1">
        <v>46070</v>
      </c>
      <c r="Z1327" s="1">
        <v>46070</v>
      </c>
      <c r="AA1327" s="2">
        <v>700983.72</v>
      </c>
      <c r="AB1327" s="2">
        <v>594054</v>
      </c>
      <c r="AC1327" s="2">
        <v>106929.72</v>
      </c>
      <c r="AD1327" s="2">
        <v>571.20000000000005</v>
      </c>
      <c r="AE1327" t="s">
        <v>4101</v>
      </c>
      <c r="AF1327" t="s">
        <v>72</v>
      </c>
      <c r="AG1327">
        <v>8</v>
      </c>
      <c r="AH1327" t="s">
        <v>73</v>
      </c>
      <c r="AI1327" t="s">
        <v>74</v>
      </c>
      <c r="AJ1327" t="s">
        <v>127</v>
      </c>
      <c r="AK1327" t="s">
        <v>334</v>
      </c>
      <c r="AL1327" t="s">
        <v>77</v>
      </c>
      <c r="AM1327" t="s">
        <v>78</v>
      </c>
      <c r="AN1327" t="s">
        <v>795</v>
      </c>
      <c r="AO1327" t="s">
        <v>80</v>
      </c>
      <c r="AP1327" t="e">
        <v>#N/A</v>
      </c>
      <c r="AQ1327" t="s">
        <v>335</v>
      </c>
      <c r="AR1327" t="str">
        <f t="shared" si="40"/>
        <v>20000007.SPMINAM</v>
      </c>
      <c r="AS1327">
        <f t="shared" si="41"/>
        <v>710.04000000000008</v>
      </c>
      <c r="AT1327" t="s">
        <v>82</v>
      </c>
    </row>
    <row r="1328" spans="1:46" x14ac:dyDescent="0.35">
      <c r="A1328" t="s">
        <v>52</v>
      </c>
      <c r="B1328" t="s">
        <v>53</v>
      </c>
      <c r="C1328" t="s">
        <v>54</v>
      </c>
      <c r="D1328" t="s">
        <v>55</v>
      </c>
      <c r="E1328" t="s">
        <v>56</v>
      </c>
      <c r="F1328" t="s">
        <v>4102</v>
      </c>
      <c r="G1328" t="s">
        <v>56</v>
      </c>
      <c r="H1328" t="s">
        <v>56</v>
      </c>
      <c r="I1328" t="s">
        <v>4103</v>
      </c>
      <c r="J1328" t="s">
        <v>61</v>
      </c>
      <c r="K1328" t="s">
        <v>62</v>
      </c>
      <c r="L1328" t="s">
        <v>56</v>
      </c>
      <c r="M1328" t="s">
        <v>56</v>
      </c>
      <c r="N1328" t="s">
        <v>56</v>
      </c>
      <c r="O1328" t="s">
        <v>974</v>
      </c>
      <c r="P1328" t="s">
        <v>975</v>
      </c>
      <c r="Q1328" t="s">
        <v>87</v>
      </c>
      <c r="R1328" t="s">
        <v>67</v>
      </c>
      <c r="S1328">
        <v>1000000</v>
      </c>
      <c r="T1328">
        <v>1100000</v>
      </c>
      <c r="U1328" t="s">
        <v>68</v>
      </c>
      <c r="V1328" t="s">
        <v>4104</v>
      </c>
      <c r="W1328" s="9">
        <v>60601175</v>
      </c>
      <c r="X1328" t="s">
        <v>4105</v>
      </c>
      <c r="Y1328" s="1">
        <v>46052</v>
      </c>
      <c r="Z1328" s="1">
        <v>46052</v>
      </c>
      <c r="AA1328" s="2">
        <v>-100000</v>
      </c>
      <c r="AB1328" s="2">
        <v>-100000</v>
      </c>
      <c r="AC1328" s="2">
        <v>0</v>
      </c>
      <c r="AD1328" s="2">
        <v>-100000</v>
      </c>
      <c r="AE1328" t="s">
        <v>4105</v>
      </c>
      <c r="AF1328" t="s">
        <v>72</v>
      </c>
      <c r="AG1328">
        <v>26</v>
      </c>
      <c r="AH1328" t="s">
        <v>73</v>
      </c>
      <c r="AI1328" t="s">
        <v>74</v>
      </c>
      <c r="AJ1328" t="s">
        <v>75</v>
      </c>
      <c r="AK1328" t="s">
        <v>76</v>
      </c>
      <c r="AL1328" t="s">
        <v>77</v>
      </c>
      <c r="AM1328" t="s">
        <v>78</v>
      </c>
      <c r="AN1328" t="s">
        <v>979</v>
      </c>
      <c r="AO1328" t="s">
        <v>80</v>
      </c>
      <c r="AP1328" t="e">
        <v>#N/A</v>
      </c>
      <c r="AQ1328" t="s">
        <v>81</v>
      </c>
      <c r="AR1328" t="str">
        <f t="shared" si="40"/>
        <v>60601175.STATAM</v>
      </c>
      <c r="AS1328">
        <f t="shared" si="41"/>
        <v>-100000</v>
      </c>
      <c r="AT1328" t="s">
        <v>93</v>
      </c>
    </row>
    <row r="1329" spans="1:46" x14ac:dyDescent="0.35">
      <c r="A1329" t="s">
        <v>52</v>
      </c>
      <c r="B1329" t="s">
        <v>53</v>
      </c>
      <c r="C1329" t="s">
        <v>54</v>
      </c>
      <c r="D1329" t="s">
        <v>55</v>
      </c>
      <c r="E1329" t="s">
        <v>56</v>
      </c>
      <c r="F1329" t="s">
        <v>4106</v>
      </c>
      <c r="G1329" t="s">
        <v>4107</v>
      </c>
      <c r="H1329" t="s">
        <v>59</v>
      </c>
      <c r="I1329" t="s">
        <v>4108</v>
      </c>
      <c r="J1329" t="s">
        <v>56</v>
      </c>
      <c r="K1329" t="s">
        <v>62</v>
      </c>
      <c r="L1329" t="s">
        <v>56</v>
      </c>
      <c r="M1329" t="s">
        <v>56</v>
      </c>
      <c r="N1329" t="s">
        <v>63</v>
      </c>
      <c r="O1329" t="s">
        <v>64</v>
      </c>
      <c r="P1329" t="s">
        <v>65</v>
      </c>
      <c r="Q1329" t="s">
        <v>4109</v>
      </c>
      <c r="R1329" t="s">
        <v>248</v>
      </c>
      <c r="S1329">
        <v>500000</v>
      </c>
      <c r="T1329">
        <v>432925.45</v>
      </c>
      <c r="U1329" t="s">
        <v>68</v>
      </c>
      <c r="V1329" t="s">
        <v>4110</v>
      </c>
      <c r="W1329" s="9">
        <v>60602115</v>
      </c>
      <c r="X1329" t="s">
        <v>4111</v>
      </c>
      <c r="Y1329" s="1">
        <v>44881</v>
      </c>
      <c r="Z1329" s="1">
        <v>44941</v>
      </c>
      <c r="AA1329" s="2">
        <v>79873.77</v>
      </c>
      <c r="AB1329" s="2">
        <v>67689.63</v>
      </c>
      <c r="AC1329" s="2">
        <v>12184.14</v>
      </c>
      <c r="AD1329" s="2">
        <v>67074.55</v>
      </c>
      <c r="AE1329" t="s">
        <v>4112</v>
      </c>
      <c r="AF1329" t="s">
        <v>72</v>
      </c>
      <c r="AG1329">
        <v>1137</v>
      </c>
      <c r="AH1329" t="s">
        <v>473</v>
      </c>
      <c r="AI1329" t="s">
        <v>74</v>
      </c>
      <c r="AJ1329" t="s">
        <v>75</v>
      </c>
      <c r="AK1329" t="s">
        <v>76</v>
      </c>
      <c r="AL1329" t="s">
        <v>77</v>
      </c>
      <c r="AM1329" t="s">
        <v>78</v>
      </c>
      <c r="AN1329" t="s">
        <v>79</v>
      </c>
      <c r="AO1329" t="s">
        <v>80</v>
      </c>
      <c r="AP1329" t="e">
        <v>#N/A</v>
      </c>
      <c r="AQ1329" t="s">
        <v>81</v>
      </c>
      <c r="AR1329" t="str">
        <f t="shared" si="40"/>
        <v>60602115.STATAM</v>
      </c>
      <c r="AS1329">
        <f t="shared" si="41"/>
        <v>67074.55</v>
      </c>
      <c r="AT1329" t="s">
        <v>82</v>
      </c>
    </row>
    <row r="1330" spans="1:46" x14ac:dyDescent="0.35">
      <c r="A1330" t="s">
        <v>52</v>
      </c>
      <c r="B1330" t="s">
        <v>53</v>
      </c>
      <c r="C1330" t="s">
        <v>54</v>
      </c>
      <c r="D1330" t="s">
        <v>55</v>
      </c>
      <c r="E1330" t="s">
        <v>56</v>
      </c>
      <c r="F1330" t="s">
        <v>4113</v>
      </c>
      <c r="G1330" t="s">
        <v>56</v>
      </c>
      <c r="H1330" t="s">
        <v>56</v>
      </c>
      <c r="I1330" t="s">
        <v>4114</v>
      </c>
      <c r="J1330" t="s">
        <v>61</v>
      </c>
      <c r="K1330" t="s">
        <v>62</v>
      </c>
      <c r="L1330" t="s">
        <v>56</v>
      </c>
      <c r="M1330" t="s">
        <v>56</v>
      </c>
      <c r="N1330" t="s">
        <v>56</v>
      </c>
      <c r="O1330" t="s">
        <v>64</v>
      </c>
      <c r="P1330" t="s">
        <v>65</v>
      </c>
      <c r="Q1330" t="s">
        <v>87</v>
      </c>
      <c r="R1330" t="s">
        <v>88</v>
      </c>
      <c r="T1330">
        <v>-595190.38</v>
      </c>
      <c r="U1330" t="s">
        <v>68</v>
      </c>
      <c r="V1330" t="s">
        <v>4115</v>
      </c>
      <c r="W1330" s="9">
        <v>60604387</v>
      </c>
      <c r="X1330" t="s">
        <v>4116</v>
      </c>
      <c r="Y1330" s="1">
        <v>46044</v>
      </c>
      <c r="Z1330" s="1">
        <v>46044</v>
      </c>
      <c r="AA1330" s="2">
        <v>-300000</v>
      </c>
      <c r="AB1330" s="2">
        <v>-300000</v>
      </c>
      <c r="AC1330" s="2">
        <v>0</v>
      </c>
      <c r="AD1330" s="2">
        <v>-53797.06</v>
      </c>
      <c r="AE1330" t="s">
        <v>4116</v>
      </c>
      <c r="AF1330" t="s">
        <v>72</v>
      </c>
      <c r="AG1330">
        <v>34</v>
      </c>
      <c r="AH1330" t="s">
        <v>236</v>
      </c>
      <c r="AI1330" t="s">
        <v>74</v>
      </c>
      <c r="AJ1330" t="s">
        <v>75</v>
      </c>
      <c r="AK1330" t="s">
        <v>76</v>
      </c>
      <c r="AL1330" t="s">
        <v>77</v>
      </c>
      <c r="AM1330" t="s">
        <v>78</v>
      </c>
      <c r="AN1330" t="s">
        <v>79</v>
      </c>
      <c r="AO1330" t="s">
        <v>80</v>
      </c>
      <c r="AP1330" t="e">
        <v>#N/A</v>
      </c>
      <c r="AQ1330" t="s">
        <v>81</v>
      </c>
      <c r="AR1330" t="str">
        <f t="shared" si="40"/>
        <v>60604387.STATAM</v>
      </c>
      <c r="AS1330">
        <f t="shared" si="41"/>
        <v>-203797.06</v>
      </c>
      <c r="AT1330" t="s">
        <v>93</v>
      </c>
    </row>
    <row r="1331" spans="1:46" x14ac:dyDescent="0.35">
      <c r="A1331" t="s">
        <v>52</v>
      </c>
      <c r="B1331" t="s">
        <v>53</v>
      </c>
      <c r="C1331" t="s">
        <v>54</v>
      </c>
      <c r="D1331" t="s">
        <v>55</v>
      </c>
      <c r="E1331" t="s">
        <v>56</v>
      </c>
      <c r="F1331" t="s">
        <v>4113</v>
      </c>
      <c r="G1331" t="s">
        <v>56</v>
      </c>
      <c r="H1331" t="s">
        <v>56</v>
      </c>
      <c r="I1331" t="s">
        <v>4117</v>
      </c>
      <c r="J1331" t="s">
        <v>61</v>
      </c>
      <c r="K1331" t="s">
        <v>62</v>
      </c>
      <c r="L1331" t="s">
        <v>56</v>
      </c>
      <c r="M1331" t="s">
        <v>56</v>
      </c>
      <c r="N1331" t="s">
        <v>56</v>
      </c>
      <c r="O1331" t="s">
        <v>64</v>
      </c>
      <c r="P1331" t="s">
        <v>65</v>
      </c>
      <c r="Q1331" t="s">
        <v>87</v>
      </c>
      <c r="R1331" t="s">
        <v>88</v>
      </c>
      <c r="T1331">
        <v>-595190.38</v>
      </c>
      <c r="U1331" t="s">
        <v>68</v>
      </c>
      <c r="V1331" t="s">
        <v>4115</v>
      </c>
      <c r="W1331" s="9">
        <v>60604387</v>
      </c>
      <c r="X1331" t="s">
        <v>4118</v>
      </c>
      <c r="Y1331" s="1">
        <v>46071</v>
      </c>
      <c r="Z1331" s="1">
        <v>46071</v>
      </c>
      <c r="AA1331" s="2">
        <v>-150000</v>
      </c>
      <c r="AB1331" s="2">
        <v>-150000</v>
      </c>
      <c r="AC1331" s="2">
        <v>0</v>
      </c>
      <c r="AD1331" s="2">
        <v>-150000</v>
      </c>
      <c r="AE1331" t="s">
        <v>4118</v>
      </c>
      <c r="AF1331" t="s">
        <v>72</v>
      </c>
      <c r="AG1331">
        <v>7</v>
      </c>
      <c r="AH1331" t="s">
        <v>73</v>
      </c>
      <c r="AI1331" t="s">
        <v>74</v>
      </c>
      <c r="AJ1331" t="s">
        <v>75</v>
      </c>
      <c r="AK1331" t="s">
        <v>76</v>
      </c>
      <c r="AL1331" t="s">
        <v>77</v>
      </c>
      <c r="AM1331" t="s">
        <v>78</v>
      </c>
      <c r="AN1331" t="s">
        <v>79</v>
      </c>
      <c r="AO1331" t="s">
        <v>80</v>
      </c>
      <c r="AP1331" t="e">
        <v>#N/A</v>
      </c>
      <c r="AQ1331" t="s">
        <v>81</v>
      </c>
      <c r="AR1331" t="str">
        <f t="shared" si="40"/>
        <v>60604387.STATAM</v>
      </c>
      <c r="AS1331">
        <f t="shared" si="41"/>
        <v>-203797.06</v>
      </c>
      <c r="AT1331" t="s">
        <v>93</v>
      </c>
    </row>
    <row r="1332" spans="1:46" x14ac:dyDescent="0.35">
      <c r="A1332" t="s">
        <v>52</v>
      </c>
      <c r="B1332" t="s">
        <v>53</v>
      </c>
      <c r="C1332" t="s">
        <v>54</v>
      </c>
      <c r="D1332" t="s">
        <v>55</v>
      </c>
      <c r="E1332" t="s">
        <v>56</v>
      </c>
      <c r="F1332" t="s">
        <v>4119</v>
      </c>
      <c r="G1332" t="s">
        <v>4120</v>
      </c>
      <c r="H1332" t="s">
        <v>56</v>
      </c>
      <c r="I1332" t="s">
        <v>4121</v>
      </c>
      <c r="J1332" t="s">
        <v>61</v>
      </c>
      <c r="K1332" t="s">
        <v>62</v>
      </c>
      <c r="L1332" t="s">
        <v>56</v>
      </c>
      <c r="M1332" t="s">
        <v>56</v>
      </c>
      <c r="N1332" t="s">
        <v>254</v>
      </c>
      <c r="O1332" t="s">
        <v>974</v>
      </c>
      <c r="P1332" t="s">
        <v>975</v>
      </c>
      <c r="Q1332" t="s">
        <v>87</v>
      </c>
      <c r="R1332" t="s">
        <v>248</v>
      </c>
      <c r="S1332">
        <v>600000</v>
      </c>
      <c r="T1332">
        <v>-1557791.86</v>
      </c>
      <c r="U1332" t="s">
        <v>68</v>
      </c>
      <c r="V1332" t="s">
        <v>4122</v>
      </c>
      <c r="W1332" s="9">
        <v>60602868</v>
      </c>
      <c r="X1332" t="s">
        <v>4123</v>
      </c>
      <c r="Y1332" s="1">
        <v>44925</v>
      </c>
      <c r="Z1332" s="1">
        <v>44985</v>
      </c>
      <c r="AA1332" s="2">
        <v>108702.54</v>
      </c>
      <c r="AB1332" s="2">
        <v>92120.8</v>
      </c>
      <c r="AC1332" s="2">
        <v>16581.740000000002</v>
      </c>
      <c r="AD1332" s="2">
        <v>56956.44</v>
      </c>
      <c r="AE1332" t="s">
        <v>4124</v>
      </c>
      <c r="AF1332" t="s">
        <v>72</v>
      </c>
      <c r="AG1332">
        <v>1093</v>
      </c>
      <c r="AH1332" t="s">
        <v>473</v>
      </c>
      <c r="AI1332" t="s">
        <v>74</v>
      </c>
      <c r="AJ1332" t="s">
        <v>75</v>
      </c>
      <c r="AK1332" t="s">
        <v>76</v>
      </c>
      <c r="AL1332" t="s">
        <v>77</v>
      </c>
      <c r="AM1332" t="s">
        <v>78</v>
      </c>
      <c r="AN1332" t="s">
        <v>979</v>
      </c>
      <c r="AO1332" t="s">
        <v>80</v>
      </c>
      <c r="AP1332" t="e">
        <v>#N/A</v>
      </c>
      <c r="AQ1332" t="s">
        <v>81</v>
      </c>
      <c r="AR1332" t="str">
        <f t="shared" si="40"/>
        <v>60602868.STATAM</v>
      </c>
      <c r="AS1332">
        <f t="shared" si="41"/>
        <v>2157791.86</v>
      </c>
      <c r="AT1332" t="s">
        <v>82</v>
      </c>
    </row>
    <row r="1333" spans="1:46" x14ac:dyDescent="0.35">
      <c r="A1333" t="s">
        <v>52</v>
      </c>
      <c r="B1333" t="s">
        <v>53</v>
      </c>
      <c r="C1333" t="s">
        <v>54</v>
      </c>
      <c r="D1333" t="s">
        <v>55</v>
      </c>
      <c r="E1333" t="s">
        <v>56</v>
      </c>
      <c r="F1333" t="s">
        <v>4119</v>
      </c>
      <c r="G1333" t="s">
        <v>4120</v>
      </c>
      <c r="H1333" t="s">
        <v>56</v>
      </c>
      <c r="I1333" t="s">
        <v>4121</v>
      </c>
      <c r="J1333" t="s">
        <v>61</v>
      </c>
      <c r="K1333" t="s">
        <v>62</v>
      </c>
      <c r="L1333" t="s">
        <v>56</v>
      </c>
      <c r="M1333" t="s">
        <v>56</v>
      </c>
      <c r="N1333" t="s">
        <v>252</v>
      </c>
      <c r="O1333" t="s">
        <v>974</v>
      </c>
      <c r="P1333" t="s">
        <v>975</v>
      </c>
      <c r="Q1333" t="s">
        <v>87</v>
      </c>
      <c r="R1333" t="s">
        <v>248</v>
      </c>
      <c r="S1333">
        <v>600000</v>
      </c>
      <c r="T1333">
        <v>-1557791.86</v>
      </c>
      <c r="U1333" t="s">
        <v>68</v>
      </c>
      <c r="V1333" t="s">
        <v>4122</v>
      </c>
      <c r="W1333" s="9">
        <v>60602868</v>
      </c>
      <c r="X1333" t="s">
        <v>4123</v>
      </c>
      <c r="Y1333" s="1">
        <v>44925</v>
      </c>
      <c r="Z1333" s="1">
        <v>44985</v>
      </c>
      <c r="AA1333" s="2">
        <v>3647325.26</v>
      </c>
      <c r="AB1333" s="2">
        <v>3090953.6</v>
      </c>
      <c r="AC1333" s="2">
        <v>556371.66</v>
      </c>
      <c r="AD1333" s="2">
        <v>1911074.43</v>
      </c>
      <c r="AE1333" t="s">
        <v>4125</v>
      </c>
      <c r="AF1333" t="s">
        <v>72</v>
      </c>
      <c r="AG1333">
        <v>1093</v>
      </c>
      <c r="AH1333" t="s">
        <v>473</v>
      </c>
      <c r="AI1333" t="s">
        <v>74</v>
      </c>
      <c r="AJ1333" t="s">
        <v>75</v>
      </c>
      <c r="AK1333" t="s">
        <v>76</v>
      </c>
      <c r="AL1333" t="s">
        <v>77</v>
      </c>
      <c r="AM1333" t="s">
        <v>78</v>
      </c>
      <c r="AN1333" t="s">
        <v>979</v>
      </c>
      <c r="AO1333" t="s">
        <v>80</v>
      </c>
      <c r="AP1333" t="e">
        <v>#N/A</v>
      </c>
      <c r="AQ1333" t="s">
        <v>81</v>
      </c>
      <c r="AR1333" t="str">
        <f t="shared" si="40"/>
        <v>60602868.STATAM</v>
      </c>
      <c r="AS1333">
        <f t="shared" si="41"/>
        <v>2157791.86</v>
      </c>
      <c r="AT1333" t="s">
        <v>82</v>
      </c>
    </row>
    <row r="1334" spans="1:46" x14ac:dyDescent="0.35">
      <c r="A1334" t="s">
        <v>52</v>
      </c>
      <c r="B1334" t="s">
        <v>53</v>
      </c>
      <c r="C1334" t="s">
        <v>54</v>
      </c>
      <c r="D1334" t="s">
        <v>55</v>
      </c>
      <c r="E1334" t="s">
        <v>56</v>
      </c>
      <c r="F1334" t="s">
        <v>4119</v>
      </c>
      <c r="G1334" t="s">
        <v>4120</v>
      </c>
      <c r="H1334" t="s">
        <v>56</v>
      </c>
      <c r="I1334" t="s">
        <v>4126</v>
      </c>
      <c r="J1334" t="s">
        <v>61</v>
      </c>
      <c r="K1334" t="s">
        <v>62</v>
      </c>
      <c r="L1334" t="s">
        <v>56</v>
      </c>
      <c r="M1334" t="s">
        <v>56</v>
      </c>
      <c r="N1334" t="s">
        <v>252</v>
      </c>
      <c r="O1334" t="s">
        <v>974</v>
      </c>
      <c r="P1334" t="s">
        <v>975</v>
      </c>
      <c r="Q1334" t="s">
        <v>87</v>
      </c>
      <c r="R1334" t="s">
        <v>248</v>
      </c>
      <c r="S1334">
        <v>600000</v>
      </c>
      <c r="T1334">
        <v>-1557791.86</v>
      </c>
      <c r="U1334" t="s">
        <v>68</v>
      </c>
      <c r="V1334" t="s">
        <v>4122</v>
      </c>
      <c r="W1334" s="9">
        <v>60602868</v>
      </c>
      <c r="X1334" t="s">
        <v>4127</v>
      </c>
      <c r="Y1334" s="1">
        <v>44938</v>
      </c>
      <c r="Z1334" s="1">
        <v>44998</v>
      </c>
      <c r="AA1334" s="2">
        <v>189760.99</v>
      </c>
      <c r="AB1334" s="2">
        <v>160814.39999999999</v>
      </c>
      <c r="AC1334" s="2">
        <v>28946.59</v>
      </c>
      <c r="AD1334" s="2">
        <v>189760.99</v>
      </c>
      <c r="AE1334" t="s">
        <v>4128</v>
      </c>
      <c r="AF1334" t="s">
        <v>72</v>
      </c>
      <c r="AG1334">
        <v>1080</v>
      </c>
      <c r="AH1334" t="s">
        <v>473</v>
      </c>
      <c r="AI1334" t="s">
        <v>74</v>
      </c>
      <c r="AJ1334" t="s">
        <v>75</v>
      </c>
      <c r="AK1334" t="s">
        <v>76</v>
      </c>
      <c r="AL1334" t="s">
        <v>77</v>
      </c>
      <c r="AM1334" t="s">
        <v>78</v>
      </c>
      <c r="AN1334" t="s">
        <v>979</v>
      </c>
      <c r="AO1334" t="s">
        <v>80</v>
      </c>
      <c r="AP1334" t="e">
        <v>#N/A</v>
      </c>
      <c r="AQ1334" t="s">
        <v>81</v>
      </c>
      <c r="AR1334" t="str">
        <f t="shared" si="40"/>
        <v>60602868.STATAM</v>
      </c>
      <c r="AS1334">
        <f t="shared" si="41"/>
        <v>2157791.86</v>
      </c>
      <c r="AT1334" t="s">
        <v>82</v>
      </c>
    </row>
    <row r="1335" spans="1:46" x14ac:dyDescent="0.35">
      <c r="A1335" t="s">
        <v>52</v>
      </c>
      <c r="B1335" t="s">
        <v>53</v>
      </c>
      <c r="C1335" t="s">
        <v>54</v>
      </c>
      <c r="D1335" t="s">
        <v>55</v>
      </c>
      <c r="E1335" t="s">
        <v>56</v>
      </c>
      <c r="F1335" t="s">
        <v>4129</v>
      </c>
      <c r="G1335" t="s">
        <v>4130</v>
      </c>
      <c r="H1335" t="s">
        <v>59</v>
      </c>
      <c r="I1335" t="s">
        <v>4131</v>
      </c>
      <c r="J1335" t="s">
        <v>4132</v>
      </c>
      <c r="K1335" t="s">
        <v>62</v>
      </c>
      <c r="L1335" t="s">
        <v>56</v>
      </c>
      <c r="M1335" t="s">
        <v>56</v>
      </c>
      <c r="N1335" t="s">
        <v>63</v>
      </c>
      <c r="O1335" t="s">
        <v>1199</v>
      </c>
      <c r="P1335" t="s">
        <v>1200</v>
      </c>
      <c r="Q1335" t="s">
        <v>4133</v>
      </c>
      <c r="R1335" t="s">
        <v>379</v>
      </c>
      <c r="S1335">
        <v>8500000</v>
      </c>
      <c r="T1335">
        <v>1205942.1200000001</v>
      </c>
      <c r="U1335" t="s">
        <v>68</v>
      </c>
      <c r="V1335" t="s">
        <v>4134</v>
      </c>
      <c r="W1335" s="9">
        <v>60603018</v>
      </c>
      <c r="X1335" t="s">
        <v>4135</v>
      </c>
      <c r="Y1335" s="1">
        <v>45881</v>
      </c>
      <c r="Z1335" s="1">
        <v>45926</v>
      </c>
      <c r="AA1335" s="2">
        <v>1501069.24</v>
      </c>
      <c r="AB1335" s="2">
        <v>1272092.58</v>
      </c>
      <c r="AC1335" s="2">
        <v>228976.66</v>
      </c>
      <c r="AD1335" s="2">
        <v>858271.15</v>
      </c>
      <c r="AE1335" t="s">
        <v>4136</v>
      </c>
      <c r="AF1335" t="s">
        <v>72</v>
      </c>
      <c r="AG1335">
        <v>152</v>
      </c>
      <c r="AH1335" t="s">
        <v>91</v>
      </c>
      <c r="AI1335" t="s">
        <v>74</v>
      </c>
      <c r="AJ1335" t="s">
        <v>75</v>
      </c>
      <c r="AK1335" t="s">
        <v>76</v>
      </c>
      <c r="AL1335" t="s">
        <v>77</v>
      </c>
      <c r="AM1335" t="s">
        <v>78</v>
      </c>
      <c r="AN1335" t="s">
        <v>79</v>
      </c>
      <c r="AO1335" t="s">
        <v>80</v>
      </c>
      <c r="AP1335" t="e">
        <v>#N/A</v>
      </c>
      <c r="AQ1335" t="s">
        <v>81</v>
      </c>
      <c r="AR1335" t="str">
        <f t="shared" si="40"/>
        <v>60603018.STATAM</v>
      </c>
      <c r="AS1335">
        <f t="shared" si="41"/>
        <v>7294057.879999999</v>
      </c>
      <c r="AT1335" t="s">
        <v>82</v>
      </c>
    </row>
    <row r="1336" spans="1:46" x14ac:dyDescent="0.35">
      <c r="A1336" t="s">
        <v>52</v>
      </c>
      <c r="B1336" t="s">
        <v>53</v>
      </c>
      <c r="C1336" t="s">
        <v>54</v>
      </c>
      <c r="D1336" t="s">
        <v>55</v>
      </c>
      <c r="E1336" t="s">
        <v>56</v>
      </c>
      <c r="F1336" t="s">
        <v>4129</v>
      </c>
      <c r="G1336" t="s">
        <v>4130</v>
      </c>
      <c r="H1336" t="s">
        <v>59</v>
      </c>
      <c r="I1336" t="s">
        <v>4131</v>
      </c>
      <c r="J1336" t="s">
        <v>4132</v>
      </c>
      <c r="K1336" t="s">
        <v>62</v>
      </c>
      <c r="L1336" t="s">
        <v>56</v>
      </c>
      <c r="M1336" t="s">
        <v>56</v>
      </c>
      <c r="N1336" t="s">
        <v>63</v>
      </c>
      <c r="O1336" t="s">
        <v>1199</v>
      </c>
      <c r="P1336" t="s">
        <v>1200</v>
      </c>
      <c r="Q1336" t="s">
        <v>4133</v>
      </c>
      <c r="R1336" t="s">
        <v>379</v>
      </c>
      <c r="S1336">
        <v>8500000</v>
      </c>
      <c r="T1336">
        <v>1205942.1200000001</v>
      </c>
      <c r="U1336" t="s">
        <v>68</v>
      </c>
      <c r="V1336" t="s">
        <v>4134</v>
      </c>
      <c r="W1336" s="9">
        <v>60603018</v>
      </c>
      <c r="X1336" t="s">
        <v>4137</v>
      </c>
      <c r="Y1336" s="1">
        <v>45908</v>
      </c>
      <c r="Z1336" s="1">
        <v>45953</v>
      </c>
      <c r="AA1336" s="2">
        <v>1209067.1499999999</v>
      </c>
      <c r="AB1336" s="2">
        <v>1024633.17</v>
      </c>
      <c r="AC1336" s="2">
        <v>184433.98</v>
      </c>
      <c r="AD1336" s="2">
        <v>1209067.1499999999</v>
      </c>
      <c r="AE1336" t="s">
        <v>4138</v>
      </c>
      <c r="AF1336" t="s">
        <v>72</v>
      </c>
      <c r="AG1336">
        <v>125</v>
      </c>
      <c r="AH1336" t="s">
        <v>91</v>
      </c>
      <c r="AI1336" t="s">
        <v>74</v>
      </c>
      <c r="AJ1336" t="s">
        <v>75</v>
      </c>
      <c r="AK1336" t="s">
        <v>76</v>
      </c>
      <c r="AL1336" t="s">
        <v>77</v>
      </c>
      <c r="AM1336" t="s">
        <v>78</v>
      </c>
      <c r="AN1336" t="s">
        <v>79</v>
      </c>
      <c r="AO1336" t="s">
        <v>80</v>
      </c>
      <c r="AP1336" t="e">
        <v>#N/A</v>
      </c>
      <c r="AQ1336" t="s">
        <v>81</v>
      </c>
      <c r="AR1336" t="str">
        <f t="shared" si="40"/>
        <v>60603018.STATAM</v>
      </c>
      <c r="AS1336">
        <f t="shared" si="41"/>
        <v>7294057.879999999</v>
      </c>
      <c r="AT1336" t="s">
        <v>82</v>
      </c>
    </row>
    <row r="1337" spans="1:46" x14ac:dyDescent="0.35">
      <c r="A1337" t="s">
        <v>52</v>
      </c>
      <c r="B1337" t="s">
        <v>53</v>
      </c>
      <c r="C1337" t="s">
        <v>54</v>
      </c>
      <c r="D1337" t="s">
        <v>55</v>
      </c>
      <c r="E1337" t="s">
        <v>56</v>
      </c>
      <c r="F1337" t="s">
        <v>4129</v>
      </c>
      <c r="G1337" t="s">
        <v>4130</v>
      </c>
      <c r="H1337" t="s">
        <v>59</v>
      </c>
      <c r="I1337" t="s">
        <v>4131</v>
      </c>
      <c r="J1337" t="s">
        <v>4132</v>
      </c>
      <c r="K1337" t="s">
        <v>62</v>
      </c>
      <c r="L1337" t="s">
        <v>56</v>
      </c>
      <c r="M1337" t="s">
        <v>56</v>
      </c>
      <c r="N1337" t="s">
        <v>63</v>
      </c>
      <c r="O1337" t="s">
        <v>1199</v>
      </c>
      <c r="P1337" t="s">
        <v>1200</v>
      </c>
      <c r="Q1337" t="s">
        <v>4133</v>
      </c>
      <c r="R1337" t="s">
        <v>379</v>
      </c>
      <c r="S1337">
        <v>8500000</v>
      </c>
      <c r="T1337">
        <v>1205942.1200000001</v>
      </c>
      <c r="U1337" t="s">
        <v>68</v>
      </c>
      <c r="V1337" t="s">
        <v>4134</v>
      </c>
      <c r="W1337" s="9">
        <v>60603018</v>
      </c>
      <c r="X1337" t="s">
        <v>4139</v>
      </c>
      <c r="Y1337" s="1">
        <v>45939</v>
      </c>
      <c r="Z1337" s="1">
        <v>45984</v>
      </c>
      <c r="AA1337" s="2">
        <v>1418233.35</v>
      </c>
      <c r="AB1337" s="2">
        <v>1201892.67</v>
      </c>
      <c r="AC1337" s="2">
        <v>216340.68</v>
      </c>
      <c r="AD1337" s="2">
        <v>1418233.35</v>
      </c>
      <c r="AE1337" t="s">
        <v>4140</v>
      </c>
      <c r="AF1337" t="s">
        <v>72</v>
      </c>
      <c r="AG1337">
        <v>94</v>
      </c>
      <c r="AH1337" t="s">
        <v>91</v>
      </c>
      <c r="AI1337" t="s">
        <v>74</v>
      </c>
      <c r="AJ1337" t="s">
        <v>75</v>
      </c>
      <c r="AK1337" t="s">
        <v>76</v>
      </c>
      <c r="AL1337" t="s">
        <v>77</v>
      </c>
      <c r="AM1337" t="s">
        <v>78</v>
      </c>
      <c r="AN1337" t="s">
        <v>79</v>
      </c>
      <c r="AO1337" t="s">
        <v>80</v>
      </c>
      <c r="AP1337" t="e">
        <v>#N/A</v>
      </c>
      <c r="AQ1337" t="s">
        <v>81</v>
      </c>
      <c r="AR1337" t="str">
        <f t="shared" si="40"/>
        <v>60603018.STATAM</v>
      </c>
      <c r="AS1337">
        <f t="shared" si="41"/>
        <v>7294057.879999999</v>
      </c>
      <c r="AT1337" t="s">
        <v>82</v>
      </c>
    </row>
    <row r="1338" spans="1:46" x14ac:dyDescent="0.35">
      <c r="A1338" t="s">
        <v>52</v>
      </c>
      <c r="B1338" t="s">
        <v>53</v>
      </c>
      <c r="C1338" t="s">
        <v>54</v>
      </c>
      <c r="D1338" t="s">
        <v>55</v>
      </c>
      <c r="E1338" t="s">
        <v>56</v>
      </c>
      <c r="F1338" t="s">
        <v>4129</v>
      </c>
      <c r="G1338" t="s">
        <v>4130</v>
      </c>
      <c r="H1338" t="s">
        <v>59</v>
      </c>
      <c r="I1338" t="s">
        <v>4131</v>
      </c>
      <c r="J1338" t="s">
        <v>4132</v>
      </c>
      <c r="K1338" t="s">
        <v>62</v>
      </c>
      <c r="L1338" t="s">
        <v>56</v>
      </c>
      <c r="M1338" t="s">
        <v>56</v>
      </c>
      <c r="N1338" t="s">
        <v>63</v>
      </c>
      <c r="O1338" t="s">
        <v>1199</v>
      </c>
      <c r="P1338" t="s">
        <v>1200</v>
      </c>
      <c r="Q1338" t="s">
        <v>4133</v>
      </c>
      <c r="R1338" t="s">
        <v>379</v>
      </c>
      <c r="S1338">
        <v>8500000</v>
      </c>
      <c r="T1338">
        <v>1205942.1200000001</v>
      </c>
      <c r="U1338" t="s">
        <v>68</v>
      </c>
      <c r="V1338" t="s">
        <v>4134</v>
      </c>
      <c r="W1338" s="9">
        <v>60603018</v>
      </c>
      <c r="X1338" t="s">
        <v>4141</v>
      </c>
      <c r="Y1338" s="1">
        <v>45973</v>
      </c>
      <c r="Z1338" s="1">
        <v>46018</v>
      </c>
      <c r="AA1338" s="2">
        <v>1220885.82</v>
      </c>
      <c r="AB1338" s="2">
        <v>1034649</v>
      </c>
      <c r="AC1338" s="2">
        <v>186236.82</v>
      </c>
      <c r="AD1338" s="2">
        <v>1220885.82</v>
      </c>
      <c r="AE1338" t="s">
        <v>4142</v>
      </c>
      <c r="AF1338" t="s">
        <v>72</v>
      </c>
      <c r="AG1338">
        <v>60</v>
      </c>
      <c r="AH1338" t="s">
        <v>236</v>
      </c>
      <c r="AI1338" t="s">
        <v>74</v>
      </c>
      <c r="AJ1338" t="s">
        <v>75</v>
      </c>
      <c r="AK1338" t="s">
        <v>76</v>
      </c>
      <c r="AL1338" t="s">
        <v>77</v>
      </c>
      <c r="AM1338" t="s">
        <v>78</v>
      </c>
      <c r="AN1338" t="s">
        <v>79</v>
      </c>
      <c r="AO1338" t="s">
        <v>80</v>
      </c>
      <c r="AP1338" t="e">
        <v>#N/A</v>
      </c>
      <c r="AQ1338" t="s">
        <v>81</v>
      </c>
      <c r="AR1338" t="str">
        <f t="shared" si="40"/>
        <v>60603018.STATAM</v>
      </c>
      <c r="AS1338">
        <f t="shared" si="41"/>
        <v>7294057.879999999</v>
      </c>
      <c r="AT1338" t="s">
        <v>82</v>
      </c>
    </row>
    <row r="1339" spans="1:46" x14ac:dyDescent="0.35">
      <c r="A1339" t="s">
        <v>52</v>
      </c>
      <c r="B1339" t="s">
        <v>53</v>
      </c>
      <c r="C1339" t="s">
        <v>54</v>
      </c>
      <c r="D1339" t="s">
        <v>55</v>
      </c>
      <c r="E1339" t="s">
        <v>56</v>
      </c>
      <c r="F1339" t="s">
        <v>4129</v>
      </c>
      <c r="G1339" t="s">
        <v>4130</v>
      </c>
      <c r="H1339" t="s">
        <v>59</v>
      </c>
      <c r="I1339" t="s">
        <v>4131</v>
      </c>
      <c r="J1339" t="s">
        <v>4132</v>
      </c>
      <c r="K1339" t="s">
        <v>62</v>
      </c>
      <c r="L1339" t="s">
        <v>56</v>
      </c>
      <c r="M1339" t="s">
        <v>56</v>
      </c>
      <c r="N1339" t="s">
        <v>63</v>
      </c>
      <c r="O1339" t="s">
        <v>1199</v>
      </c>
      <c r="P1339" t="s">
        <v>1200</v>
      </c>
      <c r="Q1339" t="s">
        <v>4133</v>
      </c>
      <c r="R1339" t="s">
        <v>379</v>
      </c>
      <c r="S1339">
        <v>8500000</v>
      </c>
      <c r="T1339">
        <v>1205942.1200000001</v>
      </c>
      <c r="U1339" t="s">
        <v>68</v>
      </c>
      <c r="V1339" t="s">
        <v>4134</v>
      </c>
      <c r="W1339" s="9">
        <v>60603018</v>
      </c>
      <c r="X1339" t="s">
        <v>4143</v>
      </c>
      <c r="Y1339" s="1">
        <v>46000</v>
      </c>
      <c r="Z1339" s="1">
        <v>46045</v>
      </c>
      <c r="AA1339" s="2">
        <v>1394830.23</v>
      </c>
      <c r="AB1339" s="2">
        <v>1182059.51</v>
      </c>
      <c r="AC1339" s="2">
        <v>212770.72</v>
      </c>
      <c r="AD1339" s="2">
        <v>1394830.23</v>
      </c>
      <c r="AE1339" t="s">
        <v>4144</v>
      </c>
      <c r="AF1339" t="s">
        <v>72</v>
      </c>
      <c r="AG1339">
        <v>33</v>
      </c>
      <c r="AH1339" t="s">
        <v>236</v>
      </c>
      <c r="AI1339" t="s">
        <v>74</v>
      </c>
      <c r="AJ1339" t="s">
        <v>75</v>
      </c>
      <c r="AK1339" t="s">
        <v>76</v>
      </c>
      <c r="AL1339" t="s">
        <v>77</v>
      </c>
      <c r="AM1339" t="s">
        <v>78</v>
      </c>
      <c r="AN1339" t="s">
        <v>79</v>
      </c>
      <c r="AO1339" t="s">
        <v>80</v>
      </c>
      <c r="AP1339" t="e">
        <v>#N/A</v>
      </c>
      <c r="AQ1339" t="s">
        <v>81</v>
      </c>
      <c r="AR1339" t="str">
        <f t="shared" si="40"/>
        <v>60603018.STATAM</v>
      </c>
      <c r="AS1339">
        <f t="shared" si="41"/>
        <v>7294057.879999999</v>
      </c>
      <c r="AT1339" t="s">
        <v>82</v>
      </c>
    </row>
    <row r="1340" spans="1:46" x14ac:dyDescent="0.35">
      <c r="A1340" t="s">
        <v>52</v>
      </c>
      <c r="B1340" t="s">
        <v>53</v>
      </c>
      <c r="C1340" t="s">
        <v>54</v>
      </c>
      <c r="D1340" t="s">
        <v>55</v>
      </c>
      <c r="E1340" t="s">
        <v>56</v>
      </c>
      <c r="F1340" t="s">
        <v>4129</v>
      </c>
      <c r="G1340" t="s">
        <v>4130</v>
      </c>
      <c r="H1340" t="s">
        <v>59</v>
      </c>
      <c r="I1340" t="s">
        <v>4131</v>
      </c>
      <c r="J1340" t="s">
        <v>4132</v>
      </c>
      <c r="K1340" t="s">
        <v>62</v>
      </c>
      <c r="L1340" t="s">
        <v>56</v>
      </c>
      <c r="M1340" t="s">
        <v>56</v>
      </c>
      <c r="N1340" t="s">
        <v>63</v>
      </c>
      <c r="O1340" t="s">
        <v>1199</v>
      </c>
      <c r="P1340" t="s">
        <v>1200</v>
      </c>
      <c r="Q1340" t="s">
        <v>4133</v>
      </c>
      <c r="R1340" t="s">
        <v>379</v>
      </c>
      <c r="S1340">
        <v>8500000</v>
      </c>
      <c r="T1340">
        <v>1205942.1200000001</v>
      </c>
      <c r="U1340" t="s">
        <v>68</v>
      </c>
      <c r="V1340" t="s">
        <v>4134</v>
      </c>
      <c r="W1340" s="9">
        <v>60603018</v>
      </c>
      <c r="X1340" t="s">
        <v>4145</v>
      </c>
      <c r="Y1340" s="1">
        <v>46067</v>
      </c>
      <c r="Z1340" s="1">
        <v>46112</v>
      </c>
      <c r="AA1340" s="2">
        <v>1192770.18</v>
      </c>
      <c r="AB1340" s="2">
        <v>1010822.18</v>
      </c>
      <c r="AC1340" s="2">
        <v>181948</v>
      </c>
      <c r="AD1340" s="2">
        <v>1192770.18</v>
      </c>
      <c r="AE1340" t="s">
        <v>4146</v>
      </c>
      <c r="AF1340" t="s">
        <v>72</v>
      </c>
      <c r="AG1340">
        <v>-34</v>
      </c>
      <c r="AH1340" t="s">
        <v>117</v>
      </c>
      <c r="AI1340" t="s">
        <v>74</v>
      </c>
      <c r="AJ1340" t="s">
        <v>75</v>
      </c>
      <c r="AK1340" t="s">
        <v>76</v>
      </c>
      <c r="AL1340" t="s">
        <v>118</v>
      </c>
      <c r="AM1340" t="s">
        <v>78</v>
      </c>
      <c r="AN1340" t="s">
        <v>79</v>
      </c>
      <c r="AO1340" t="s">
        <v>119</v>
      </c>
      <c r="AP1340" t="e">
        <v>#N/A</v>
      </c>
      <c r="AQ1340" t="s">
        <v>81</v>
      </c>
      <c r="AR1340" t="str">
        <f t="shared" si="40"/>
        <v>60603018.STATAM</v>
      </c>
      <c r="AS1340">
        <f t="shared" si="41"/>
        <v>7294057.879999999</v>
      </c>
      <c r="AT1340" t="s">
        <v>82</v>
      </c>
    </row>
    <row r="1341" spans="1:46" x14ac:dyDescent="0.35">
      <c r="A1341" t="s">
        <v>52</v>
      </c>
      <c r="B1341" t="s">
        <v>53</v>
      </c>
      <c r="C1341" t="s">
        <v>54</v>
      </c>
      <c r="D1341" t="s">
        <v>55</v>
      </c>
      <c r="E1341" t="s">
        <v>56</v>
      </c>
      <c r="F1341" t="s">
        <v>4147</v>
      </c>
      <c r="G1341" t="s">
        <v>56</v>
      </c>
      <c r="H1341" t="s">
        <v>56</v>
      </c>
      <c r="I1341" t="s">
        <v>4148</v>
      </c>
      <c r="J1341" t="s">
        <v>61</v>
      </c>
      <c r="K1341" t="s">
        <v>62</v>
      </c>
      <c r="L1341" t="s">
        <v>56</v>
      </c>
      <c r="M1341" t="s">
        <v>56</v>
      </c>
      <c r="N1341" t="s">
        <v>56</v>
      </c>
      <c r="O1341" t="s">
        <v>222</v>
      </c>
      <c r="P1341" t="s">
        <v>223</v>
      </c>
      <c r="Q1341" t="s">
        <v>87</v>
      </c>
      <c r="R1341" t="s">
        <v>88</v>
      </c>
      <c r="S1341">
        <v>500000</v>
      </c>
      <c r="T1341">
        <v>503075.58</v>
      </c>
      <c r="U1341" t="s">
        <v>68</v>
      </c>
      <c r="V1341" t="s">
        <v>4149</v>
      </c>
      <c r="W1341" s="9">
        <v>60602729</v>
      </c>
      <c r="X1341" t="s">
        <v>4150</v>
      </c>
      <c r="Y1341" s="1">
        <v>46057</v>
      </c>
      <c r="Z1341" s="1">
        <v>46057</v>
      </c>
      <c r="AA1341" s="2">
        <v>-259140</v>
      </c>
      <c r="AB1341" s="2">
        <v>-259140</v>
      </c>
      <c r="AC1341" s="2">
        <v>0</v>
      </c>
      <c r="AD1341" s="2">
        <v>-3075.58</v>
      </c>
      <c r="AE1341" t="s">
        <v>4150</v>
      </c>
      <c r="AF1341" t="s">
        <v>72</v>
      </c>
      <c r="AG1341">
        <v>21</v>
      </c>
      <c r="AH1341" t="s">
        <v>73</v>
      </c>
      <c r="AI1341" t="s">
        <v>74</v>
      </c>
      <c r="AJ1341" t="s">
        <v>75</v>
      </c>
      <c r="AK1341" t="s">
        <v>76</v>
      </c>
      <c r="AL1341" t="s">
        <v>77</v>
      </c>
      <c r="AM1341" t="s">
        <v>78</v>
      </c>
      <c r="AN1341" t="s">
        <v>104</v>
      </c>
      <c r="AO1341" t="s">
        <v>80</v>
      </c>
      <c r="AP1341" t="e">
        <v>#N/A</v>
      </c>
      <c r="AQ1341" t="s">
        <v>81</v>
      </c>
      <c r="AR1341" t="str">
        <f t="shared" si="40"/>
        <v>60602729.STATAM</v>
      </c>
      <c r="AS1341">
        <f t="shared" si="41"/>
        <v>-3075.58</v>
      </c>
      <c r="AT1341" t="s">
        <v>93</v>
      </c>
    </row>
    <row r="1342" spans="1:46" x14ac:dyDescent="0.35">
      <c r="A1342" t="s">
        <v>52</v>
      </c>
      <c r="B1342" t="s">
        <v>53</v>
      </c>
      <c r="C1342" t="s">
        <v>54</v>
      </c>
      <c r="D1342" t="s">
        <v>55</v>
      </c>
      <c r="E1342" t="s">
        <v>56</v>
      </c>
      <c r="F1342" t="s">
        <v>4151</v>
      </c>
      <c r="G1342" t="s">
        <v>4152</v>
      </c>
      <c r="H1342" t="s">
        <v>56</v>
      </c>
      <c r="I1342" t="s">
        <v>4153</v>
      </c>
      <c r="J1342" t="s">
        <v>61</v>
      </c>
      <c r="K1342" t="s">
        <v>62</v>
      </c>
      <c r="L1342" t="s">
        <v>56</v>
      </c>
      <c r="M1342" t="s">
        <v>56</v>
      </c>
      <c r="N1342" t="s">
        <v>261</v>
      </c>
      <c r="O1342" t="s">
        <v>64</v>
      </c>
      <c r="P1342" t="s">
        <v>65</v>
      </c>
      <c r="Q1342" t="s">
        <v>87</v>
      </c>
      <c r="R1342" t="s">
        <v>67</v>
      </c>
      <c r="S1342">
        <v>500000</v>
      </c>
      <c r="T1342">
        <v>-196296.82</v>
      </c>
      <c r="U1342" t="s">
        <v>68</v>
      </c>
      <c r="V1342" t="s">
        <v>4154</v>
      </c>
      <c r="W1342" s="9">
        <v>60602696</v>
      </c>
      <c r="X1342" t="s">
        <v>4155</v>
      </c>
      <c r="Y1342" s="1">
        <v>44622</v>
      </c>
      <c r="Z1342" s="1">
        <v>44682</v>
      </c>
      <c r="AA1342" s="2">
        <v>76129.41</v>
      </c>
      <c r="AB1342" s="2">
        <v>64452</v>
      </c>
      <c r="AC1342" s="2">
        <v>11677.41</v>
      </c>
      <c r="AD1342" s="2">
        <v>10392.379999999999</v>
      </c>
      <c r="AE1342" t="s">
        <v>4156</v>
      </c>
      <c r="AF1342" t="s">
        <v>72</v>
      </c>
      <c r="AG1342">
        <v>1396</v>
      </c>
      <c r="AH1342" t="s">
        <v>473</v>
      </c>
      <c r="AI1342" t="s">
        <v>74</v>
      </c>
      <c r="AJ1342" t="s">
        <v>75</v>
      </c>
      <c r="AK1342" t="s">
        <v>76</v>
      </c>
      <c r="AL1342" t="s">
        <v>77</v>
      </c>
      <c r="AM1342" t="s">
        <v>78</v>
      </c>
      <c r="AN1342" t="s">
        <v>79</v>
      </c>
      <c r="AO1342" t="s">
        <v>80</v>
      </c>
      <c r="AP1342" t="e">
        <v>#N/A</v>
      </c>
      <c r="AQ1342" t="s">
        <v>81</v>
      </c>
      <c r="AR1342" t="str">
        <f t="shared" si="40"/>
        <v>60602696.STATAM</v>
      </c>
      <c r="AS1342">
        <f t="shared" si="41"/>
        <v>696296.82</v>
      </c>
      <c r="AT1342" t="s">
        <v>82</v>
      </c>
    </row>
    <row r="1343" spans="1:46" x14ac:dyDescent="0.35">
      <c r="A1343" t="s">
        <v>52</v>
      </c>
      <c r="B1343" t="s">
        <v>53</v>
      </c>
      <c r="C1343" t="s">
        <v>54</v>
      </c>
      <c r="D1343" t="s">
        <v>55</v>
      </c>
      <c r="E1343" t="s">
        <v>56</v>
      </c>
      <c r="F1343" t="s">
        <v>4151</v>
      </c>
      <c r="G1343" t="s">
        <v>4152</v>
      </c>
      <c r="H1343" t="s">
        <v>56</v>
      </c>
      <c r="I1343" t="s">
        <v>4153</v>
      </c>
      <c r="J1343" t="s">
        <v>61</v>
      </c>
      <c r="K1343" t="s">
        <v>62</v>
      </c>
      <c r="L1343" t="s">
        <v>56</v>
      </c>
      <c r="M1343" t="s">
        <v>56</v>
      </c>
      <c r="N1343" t="s">
        <v>254</v>
      </c>
      <c r="O1343" t="s">
        <v>64</v>
      </c>
      <c r="P1343" t="s">
        <v>65</v>
      </c>
      <c r="Q1343" t="s">
        <v>87</v>
      </c>
      <c r="R1343" t="s">
        <v>67</v>
      </c>
      <c r="S1343">
        <v>500000</v>
      </c>
      <c r="T1343">
        <v>-196296.82</v>
      </c>
      <c r="U1343" t="s">
        <v>68</v>
      </c>
      <c r="V1343" t="s">
        <v>4154</v>
      </c>
      <c r="W1343" s="9">
        <v>60602696</v>
      </c>
      <c r="X1343" t="s">
        <v>4155</v>
      </c>
      <c r="Y1343" s="1">
        <v>44622</v>
      </c>
      <c r="Z1343" s="1">
        <v>44682</v>
      </c>
      <c r="AA1343" s="2">
        <v>272656.5</v>
      </c>
      <c r="AB1343" s="2">
        <v>230834</v>
      </c>
      <c r="AC1343" s="2">
        <v>41822.5</v>
      </c>
      <c r="AD1343" s="2">
        <v>37220.17</v>
      </c>
      <c r="AE1343" t="s">
        <v>4157</v>
      </c>
      <c r="AF1343" t="s">
        <v>72</v>
      </c>
      <c r="AG1343">
        <v>1396</v>
      </c>
      <c r="AH1343" t="s">
        <v>473</v>
      </c>
      <c r="AI1343" t="s">
        <v>74</v>
      </c>
      <c r="AJ1343" t="s">
        <v>75</v>
      </c>
      <c r="AK1343" t="s">
        <v>76</v>
      </c>
      <c r="AL1343" t="s">
        <v>77</v>
      </c>
      <c r="AM1343" t="s">
        <v>78</v>
      </c>
      <c r="AN1343" t="s">
        <v>79</v>
      </c>
      <c r="AO1343" t="s">
        <v>80</v>
      </c>
      <c r="AP1343" t="e">
        <v>#N/A</v>
      </c>
      <c r="AQ1343" t="s">
        <v>81</v>
      </c>
      <c r="AR1343" t="str">
        <f t="shared" si="40"/>
        <v>60602696.STATAM</v>
      </c>
      <c r="AS1343">
        <f t="shared" si="41"/>
        <v>696296.82</v>
      </c>
      <c r="AT1343" t="s">
        <v>82</v>
      </c>
    </row>
    <row r="1344" spans="1:46" x14ac:dyDescent="0.35">
      <c r="A1344" t="s">
        <v>52</v>
      </c>
      <c r="B1344" t="s">
        <v>53</v>
      </c>
      <c r="C1344" t="s">
        <v>54</v>
      </c>
      <c r="D1344" t="s">
        <v>55</v>
      </c>
      <c r="E1344" t="s">
        <v>56</v>
      </c>
      <c r="F1344" t="s">
        <v>4151</v>
      </c>
      <c r="G1344" t="s">
        <v>4152</v>
      </c>
      <c r="H1344" t="s">
        <v>56</v>
      </c>
      <c r="I1344" t="s">
        <v>4153</v>
      </c>
      <c r="J1344" t="s">
        <v>61</v>
      </c>
      <c r="K1344" t="s">
        <v>62</v>
      </c>
      <c r="L1344" t="s">
        <v>56</v>
      </c>
      <c r="M1344" t="s">
        <v>56</v>
      </c>
      <c r="N1344" t="s">
        <v>252</v>
      </c>
      <c r="O1344" t="s">
        <v>64</v>
      </c>
      <c r="P1344" t="s">
        <v>65</v>
      </c>
      <c r="Q1344" t="s">
        <v>87</v>
      </c>
      <c r="R1344" t="s">
        <v>67</v>
      </c>
      <c r="S1344">
        <v>500000</v>
      </c>
      <c r="T1344">
        <v>-196296.82</v>
      </c>
      <c r="U1344" t="s">
        <v>68</v>
      </c>
      <c r="V1344" t="s">
        <v>4154</v>
      </c>
      <c r="W1344" s="9">
        <v>60602696</v>
      </c>
      <c r="X1344" t="s">
        <v>4155</v>
      </c>
      <c r="Y1344" s="1">
        <v>44622</v>
      </c>
      <c r="Z1344" s="1">
        <v>44682</v>
      </c>
      <c r="AA1344" s="2">
        <v>114417.36</v>
      </c>
      <c r="AB1344" s="2">
        <v>96867</v>
      </c>
      <c r="AC1344" s="2">
        <v>17550.36</v>
      </c>
      <c r="AD1344" s="2">
        <v>15619.04</v>
      </c>
      <c r="AE1344" t="s">
        <v>4158</v>
      </c>
      <c r="AF1344" t="s">
        <v>72</v>
      </c>
      <c r="AG1344">
        <v>1396</v>
      </c>
      <c r="AH1344" t="s">
        <v>473</v>
      </c>
      <c r="AI1344" t="s">
        <v>74</v>
      </c>
      <c r="AJ1344" t="s">
        <v>75</v>
      </c>
      <c r="AK1344" t="s">
        <v>76</v>
      </c>
      <c r="AL1344" t="s">
        <v>77</v>
      </c>
      <c r="AM1344" t="s">
        <v>78</v>
      </c>
      <c r="AN1344" t="s">
        <v>79</v>
      </c>
      <c r="AO1344" t="s">
        <v>80</v>
      </c>
      <c r="AP1344" t="e">
        <v>#N/A</v>
      </c>
      <c r="AQ1344" t="s">
        <v>81</v>
      </c>
      <c r="AR1344" t="str">
        <f t="shared" si="40"/>
        <v>60602696.STATAM</v>
      </c>
      <c r="AS1344">
        <f t="shared" si="41"/>
        <v>696296.82</v>
      </c>
      <c r="AT1344" t="s">
        <v>82</v>
      </c>
    </row>
    <row r="1345" spans="1:46" x14ac:dyDescent="0.35">
      <c r="A1345" t="s">
        <v>52</v>
      </c>
      <c r="B1345" t="s">
        <v>53</v>
      </c>
      <c r="C1345" t="s">
        <v>54</v>
      </c>
      <c r="D1345" t="s">
        <v>55</v>
      </c>
      <c r="E1345" t="s">
        <v>56</v>
      </c>
      <c r="F1345" t="s">
        <v>4151</v>
      </c>
      <c r="G1345" t="s">
        <v>4159</v>
      </c>
      <c r="H1345" t="s">
        <v>56</v>
      </c>
      <c r="I1345" t="s">
        <v>4160</v>
      </c>
      <c r="J1345" t="s">
        <v>61</v>
      </c>
      <c r="K1345" t="s">
        <v>62</v>
      </c>
      <c r="L1345" t="s">
        <v>56</v>
      </c>
      <c r="M1345" t="s">
        <v>56</v>
      </c>
      <c r="N1345" t="s">
        <v>261</v>
      </c>
      <c r="O1345" t="s">
        <v>64</v>
      </c>
      <c r="P1345" t="s">
        <v>65</v>
      </c>
      <c r="Q1345" t="s">
        <v>87</v>
      </c>
      <c r="R1345" t="s">
        <v>67</v>
      </c>
      <c r="S1345">
        <v>500000</v>
      </c>
      <c r="T1345">
        <v>-196296.82</v>
      </c>
      <c r="U1345" t="s">
        <v>68</v>
      </c>
      <c r="V1345" t="s">
        <v>4154</v>
      </c>
      <c r="W1345" s="9">
        <v>60602696</v>
      </c>
      <c r="X1345" t="s">
        <v>4161</v>
      </c>
      <c r="Y1345" s="1">
        <v>44622</v>
      </c>
      <c r="Z1345" s="1">
        <v>44682</v>
      </c>
      <c r="AA1345" s="2">
        <v>123766.39999999999</v>
      </c>
      <c r="AB1345" s="2">
        <v>104782</v>
      </c>
      <c r="AC1345" s="2">
        <v>18984.400000000001</v>
      </c>
      <c r="AD1345" s="2">
        <v>123766.39999999999</v>
      </c>
      <c r="AE1345" t="s">
        <v>4162</v>
      </c>
      <c r="AF1345" t="s">
        <v>72</v>
      </c>
      <c r="AG1345">
        <v>1396</v>
      </c>
      <c r="AH1345" t="s">
        <v>473</v>
      </c>
      <c r="AI1345" t="s">
        <v>74</v>
      </c>
      <c r="AJ1345" t="s">
        <v>75</v>
      </c>
      <c r="AK1345" t="s">
        <v>76</v>
      </c>
      <c r="AL1345" t="s">
        <v>77</v>
      </c>
      <c r="AM1345" t="s">
        <v>78</v>
      </c>
      <c r="AN1345" t="s">
        <v>79</v>
      </c>
      <c r="AO1345" t="s">
        <v>80</v>
      </c>
      <c r="AP1345" t="e">
        <v>#N/A</v>
      </c>
      <c r="AQ1345" t="s">
        <v>81</v>
      </c>
      <c r="AR1345" t="str">
        <f t="shared" si="40"/>
        <v>60602696.STATAM</v>
      </c>
      <c r="AS1345">
        <f t="shared" si="41"/>
        <v>696296.82</v>
      </c>
      <c r="AT1345" t="s">
        <v>82</v>
      </c>
    </row>
    <row r="1346" spans="1:46" x14ac:dyDescent="0.35">
      <c r="A1346" t="s">
        <v>52</v>
      </c>
      <c r="B1346" t="s">
        <v>53</v>
      </c>
      <c r="C1346" t="s">
        <v>54</v>
      </c>
      <c r="D1346" t="s">
        <v>55</v>
      </c>
      <c r="E1346" t="s">
        <v>56</v>
      </c>
      <c r="F1346" t="s">
        <v>4151</v>
      </c>
      <c r="G1346" t="s">
        <v>4159</v>
      </c>
      <c r="H1346" t="s">
        <v>56</v>
      </c>
      <c r="I1346" t="s">
        <v>4160</v>
      </c>
      <c r="J1346" t="s">
        <v>61</v>
      </c>
      <c r="K1346" t="s">
        <v>62</v>
      </c>
      <c r="L1346" t="s">
        <v>56</v>
      </c>
      <c r="M1346" t="s">
        <v>56</v>
      </c>
      <c r="N1346" t="s">
        <v>252</v>
      </c>
      <c r="O1346" t="s">
        <v>64</v>
      </c>
      <c r="P1346" t="s">
        <v>65</v>
      </c>
      <c r="Q1346" t="s">
        <v>87</v>
      </c>
      <c r="R1346" t="s">
        <v>67</v>
      </c>
      <c r="S1346">
        <v>500000</v>
      </c>
      <c r="T1346">
        <v>-196296.82</v>
      </c>
      <c r="U1346" t="s">
        <v>68</v>
      </c>
      <c r="V1346" t="s">
        <v>4154</v>
      </c>
      <c r="W1346" s="9">
        <v>60602696</v>
      </c>
      <c r="X1346" t="s">
        <v>4161</v>
      </c>
      <c r="Y1346" s="1">
        <v>44622</v>
      </c>
      <c r="Z1346" s="1">
        <v>44682</v>
      </c>
      <c r="AA1346" s="2">
        <v>101843.7</v>
      </c>
      <c r="AB1346" s="2">
        <v>86222</v>
      </c>
      <c r="AC1346" s="2">
        <v>15621.7</v>
      </c>
      <c r="AD1346" s="2">
        <v>101843.7</v>
      </c>
      <c r="AE1346" t="s">
        <v>4163</v>
      </c>
      <c r="AF1346" t="s">
        <v>72</v>
      </c>
      <c r="AG1346">
        <v>1396</v>
      </c>
      <c r="AH1346" t="s">
        <v>473</v>
      </c>
      <c r="AI1346" t="s">
        <v>74</v>
      </c>
      <c r="AJ1346" t="s">
        <v>75</v>
      </c>
      <c r="AK1346" t="s">
        <v>76</v>
      </c>
      <c r="AL1346" t="s">
        <v>77</v>
      </c>
      <c r="AM1346" t="s">
        <v>78</v>
      </c>
      <c r="AN1346" t="s">
        <v>79</v>
      </c>
      <c r="AO1346" t="s">
        <v>80</v>
      </c>
      <c r="AP1346" t="e">
        <v>#N/A</v>
      </c>
      <c r="AQ1346" t="s">
        <v>81</v>
      </c>
      <c r="AR1346" t="str">
        <f t="shared" si="40"/>
        <v>60602696.STATAM</v>
      </c>
      <c r="AS1346">
        <f t="shared" si="41"/>
        <v>696296.82</v>
      </c>
      <c r="AT1346" t="s">
        <v>82</v>
      </c>
    </row>
    <row r="1347" spans="1:46" x14ac:dyDescent="0.35">
      <c r="A1347" t="s">
        <v>52</v>
      </c>
      <c r="B1347" t="s">
        <v>53</v>
      </c>
      <c r="C1347" t="s">
        <v>54</v>
      </c>
      <c r="D1347" t="s">
        <v>55</v>
      </c>
      <c r="E1347" t="s">
        <v>56</v>
      </c>
      <c r="F1347" t="s">
        <v>4151</v>
      </c>
      <c r="G1347" t="s">
        <v>4164</v>
      </c>
      <c r="H1347" t="s">
        <v>56</v>
      </c>
      <c r="I1347" t="s">
        <v>4165</v>
      </c>
      <c r="J1347" t="s">
        <v>61</v>
      </c>
      <c r="K1347" t="s">
        <v>62</v>
      </c>
      <c r="L1347" t="s">
        <v>56</v>
      </c>
      <c r="M1347" t="s">
        <v>56</v>
      </c>
      <c r="N1347" t="s">
        <v>254</v>
      </c>
      <c r="O1347" t="s">
        <v>64</v>
      </c>
      <c r="P1347" t="s">
        <v>65</v>
      </c>
      <c r="Q1347" t="s">
        <v>87</v>
      </c>
      <c r="R1347" t="s">
        <v>67</v>
      </c>
      <c r="S1347">
        <v>500000</v>
      </c>
      <c r="T1347">
        <v>-196296.82</v>
      </c>
      <c r="U1347" t="s">
        <v>68</v>
      </c>
      <c r="V1347" t="s">
        <v>4154</v>
      </c>
      <c r="W1347" s="9">
        <v>60602696</v>
      </c>
      <c r="X1347" t="s">
        <v>4166</v>
      </c>
      <c r="Y1347" s="1">
        <v>44677</v>
      </c>
      <c r="Z1347" s="1">
        <v>44737</v>
      </c>
      <c r="AA1347" s="2">
        <v>287006.65999999997</v>
      </c>
      <c r="AB1347" s="2">
        <v>242983</v>
      </c>
      <c r="AC1347" s="2">
        <v>44023.66</v>
      </c>
      <c r="AD1347" s="2">
        <v>287006.65999999997</v>
      </c>
      <c r="AE1347" t="s">
        <v>4167</v>
      </c>
      <c r="AF1347" t="s">
        <v>72</v>
      </c>
      <c r="AG1347">
        <v>1341</v>
      </c>
      <c r="AH1347" t="s">
        <v>473</v>
      </c>
      <c r="AI1347" t="s">
        <v>74</v>
      </c>
      <c r="AJ1347" t="s">
        <v>75</v>
      </c>
      <c r="AK1347" t="s">
        <v>76</v>
      </c>
      <c r="AL1347" t="s">
        <v>77</v>
      </c>
      <c r="AM1347" t="s">
        <v>78</v>
      </c>
      <c r="AN1347" t="s">
        <v>79</v>
      </c>
      <c r="AO1347" t="s">
        <v>80</v>
      </c>
      <c r="AP1347" t="e">
        <v>#N/A</v>
      </c>
      <c r="AQ1347" t="s">
        <v>81</v>
      </c>
      <c r="AR1347" t="str">
        <f t="shared" si="40"/>
        <v>60602696.STATAM</v>
      </c>
      <c r="AS1347">
        <f t="shared" si="41"/>
        <v>696296.82</v>
      </c>
      <c r="AT1347" t="s">
        <v>82</v>
      </c>
    </row>
    <row r="1348" spans="1:46" x14ac:dyDescent="0.35">
      <c r="A1348" t="s">
        <v>52</v>
      </c>
      <c r="B1348" t="s">
        <v>53</v>
      </c>
      <c r="C1348" t="s">
        <v>54</v>
      </c>
      <c r="D1348" t="s">
        <v>55</v>
      </c>
      <c r="E1348" t="s">
        <v>56</v>
      </c>
      <c r="F1348" t="s">
        <v>4151</v>
      </c>
      <c r="G1348" t="s">
        <v>4164</v>
      </c>
      <c r="H1348" t="s">
        <v>56</v>
      </c>
      <c r="I1348" t="s">
        <v>4168</v>
      </c>
      <c r="J1348" t="s">
        <v>61</v>
      </c>
      <c r="K1348" t="s">
        <v>62</v>
      </c>
      <c r="L1348" t="s">
        <v>56</v>
      </c>
      <c r="M1348" t="s">
        <v>56</v>
      </c>
      <c r="N1348" t="s">
        <v>252</v>
      </c>
      <c r="O1348" t="s">
        <v>64</v>
      </c>
      <c r="P1348" t="s">
        <v>65</v>
      </c>
      <c r="Q1348" t="s">
        <v>87</v>
      </c>
      <c r="R1348" t="s">
        <v>67</v>
      </c>
      <c r="S1348">
        <v>500000</v>
      </c>
      <c r="T1348">
        <v>-196296.82</v>
      </c>
      <c r="U1348" t="s">
        <v>68</v>
      </c>
      <c r="V1348" t="s">
        <v>4154</v>
      </c>
      <c r="W1348" s="9">
        <v>60602696</v>
      </c>
      <c r="X1348" t="s">
        <v>4169</v>
      </c>
      <c r="Y1348" s="1">
        <v>44677</v>
      </c>
      <c r="Z1348" s="1">
        <v>44737</v>
      </c>
      <c r="AA1348" s="2">
        <v>120448.47</v>
      </c>
      <c r="AB1348" s="2">
        <v>101973</v>
      </c>
      <c r="AC1348" s="2">
        <v>18475.47</v>
      </c>
      <c r="AD1348" s="2">
        <v>120448.47</v>
      </c>
      <c r="AE1348" t="s">
        <v>4170</v>
      </c>
      <c r="AF1348" t="s">
        <v>72</v>
      </c>
      <c r="AG1348">
        <v>1341</v>
      </c>
      <c r="AH1348" t="s">
        <v>473</v>
      </c>
      <c r="AI1348" t="s">
        <v>74</v>
      </c>
      <c r="AJ1348" t="s">
        <v>75</v>
      </c>
      <c r="AK1348" t="s">
        <v>76</v>
      </c>
      <c r="AL1348" t="s">
        <v>77</v>
      </c>
      <c r="AM1348" t="s">
        <v>78</v>
      </c>
      <c r="AN1348" t="s">
        <v>79</v>
      </c>
      <c r="AO1348" t="s">
        <v>80</v>
      </c>
      <c r="AP1348" t="e">
        <v>#N/A</v>
      </c>
      <c r="AQ1348" t="s">
        <v>81</v>
      </c>
      <c r="AR1348" t="str">
        <f t="shared" si="40"/>
        <v>60602696.STATAM</v>
      </c>
      <c r="AS1348">
        <f t="shared" si="41"/>
        <v>696296.82</v>
      </c>
      <c r="AT1348" t="s">
        <v>82</v>
      </c>
    </row>
    <row r="1349" spans="1:46" x14ac:dyDescent="0.35">
      <c r="A1349" t="s">
        <v>52</v>
      </c>
      <c r="B1349" t="s">
        <v>53</v>
      </c>
      <c r="C1349" t="s">
        <v>54</v>
      </c>
      <c r="D1349" t="s">
        <v>55</v>
      </c>
      <c r="E1349" t="s">
        <v>56</v>
      </c>
      <c r="F1349" t="s">
        <v>4171</v>
      </c>
      <c r="G1349" t="s">
        <v>56</v>
      </c>
      <c r="H1349" t="s">
        <v>56</v>
      </c>
      <c r="I1349" t="s">
        <v>4172</v>
      </c>
      <c r="J1349" t="s">
        <v>61</v>
      </c>
      <c r="K1349" t="s">
        <v>62</v>
      </c>
      <c r="L1349" t="s">
        <v>56</v>
      </c>
      <c r="M1349" t="s">
        <v>56</v>
      </c>
      <c r="N1349" t="s">
        <v>56</v>
      </c>
      <c r="O1349" t="s">
        <v>1122</v>
      </c>
      <c r="P1349" t="s">
        <v>1123</v>
      </c>
      <c r="Q1349" t="s">
        <v>87</v>
      </c>
      <c r="R1349" t="s">
        <v>67</v>
      </c>
      <c r="S1349">
        <v>5000000</v>
      </c>
      <c r="T1349">
        <v>-2557629.92</v>
      </c>
      <c r="U1349" t="s">
        <v>68</v>
      </c>
      <c r="V1349" t="s">
        <v>4173</v>
      </c>
      <c r="W1349" s="9">
        <v>60601657</v>
      </c>
      <c r="X1349" t="s">
        <v>4174</v>
      </c>
      <c r="Y1349" s="1">
        <v>41773</v>
      </c>
      <c r="Z1349" s="1">
        <v>41773</v>
      </c>
      <c r="AA1349" s="2">
        <v>247500</v>
      </c>
      <c r="AB1349" s="2">
        <v>247500</v>
      </c>
      <c r="AC1349" s="2">
        <v>0</v>
      </c>
      <c r="AD1349" s="2">
        <v>247500</v>
      </c>
      <c r="AE1349" t="s">
        <v>4174</v>
      </c>
      <c r="AF1349" t="s">
        <v>72</v>
      </c>
      <c r="AG1349">
        <v>4305</v>
      </c>
      <c r="AH1349" t="s">
        <v>473</v>
      </c>
      <c r="AI1349" t="s">
        <v>74</v>
      </c>
      <c r="AJ1349" t="s">
        <v>75</v>
      </c>
      <c r="AK1349" t="s">
        <v>102</v>
      </c>
      <c r="AL1349" t="s">
        <v>77</v>
      </c>
      <c r="AM1349" t="s">
        <v>103</v>
      </c>
      <c r="AN1349" t="s">
        <v>2346</v>
      </c>
      <c r="AO1349" t="s">
        <v>80</v>
      </c>
      <c r="AP1349" t="e">
        <v>#N/A</v>
      </c>
      <c r="AQ1349" t="s">
        <v>105</v>
      </c>
      <c r="AR1349" t="str">
        <f t="shared" si="40"/>
        <v>60601657.STATEQ</v>
      </c>
      <c r="AS1349">
        <f t="shared" si="41"/>
        <v>5869625.1599999992</v>
      </c>
      <c r="AT1349" t="s">
        <v>82</v>
      </c>
    </row>
    <row r="1350" spans="1:46" x14ac:dyDescent="0.35">
      <c r="A1350" t="s">
        <v>52</v>
      </c>
      <c r="B1350" t="s">
        <v>53</v>
      </c>
      <c r="C1350" t="s">
        <v>54</v>
      </c>
      <c r="D1350" t="s">
        <v>55</v>
      </c>
      <c r="E1350" t="s">
        <v>56</v>
      </c>
      <c r="F1350" t="s">
        <v>4171</v>
      </c>
      <c r="G1350" t="s">
        <v>56</v>
      </c>
      <c r="H1350" t="s">
        <v>56</v>
      </c>
      <c r="I1350" t="s">
        <v>4175</v>
      </c>
      <c r="J1350" t="s">
        <v>61</v>
      </c>
      <c r="K1350" t="s">
        <v>62</v>
      </c>
      <c r="L1350" t="s">
        <v>56</v>
      </c>
      <c r="M1350" t="s">
        <v>56</v>
      </c>
      <c r="N1350" t="s">
        <v>56</v>
      </c>
      <c r="O1350" t="s">
        <v>1122</v>
      </c>
      <c r="P1350" t="s">
        <v>1123</v>
      </c>
      <c r="Q1350" t="s">
        <v>87</v>
      </c>
      <c r="R1350" t="s">
        <v>67</v>
      </c>
      <c r="S1350">
        <v>5000000</v>
      </c>
      <c r="T1350">
        <v>-2557629.92</v>
      </c>
      <c r="U1350" t="s">
        <v>68</v>
      </c>
      <c r="V1350" t="s">
        <v>4173</v>
      </c>
      <c r="W1350" s="9">
        <v>60601657</v>
      </c>
      <c r="X1350" t="s">
        <v>4176</v>
      </c>
      <c r="Y1350" s="1">
        <v>42102</v>
      </c>
      <c r="Z1350" s="1">
        <v>42102</v>
      </c>
      <c r="AA1350" s="2">
        <v>444375</v>
      </c>
      <c r="AB1350" s="2">
        <v>444375</v>
      </c>
      <c r="AC1350" s="2">
        <v>0</v>
      </c>
      <c r="AD1350" s="2">
        <v>444375</v>
      </c>
      <c r="AE1350" t="s">
        <v>4176</v>
      </c>
      <c r="AF1350" t="s">
        <v>72</v>
      </c>
      <c r="AG1350">
        <v>3976</v>
      </c>
      <c r="AH1350" t="s">
        <v>473</v>
      </c>
      <c r="AI1350" t="s">
        <v>74</v>
      </c>
      <c r="AJ1350" t="s">
        <v>75</v>
      </c>
      <c r="AK1350" t="s">
        <v>102</v>
      </c>
      <c r="AL1350" t="s">
        <v>77</v>
      </c>
      <c r="AM1350" t="s">
        <v>103</v>
      </c>
      <c r="AN1350" t="s">
        <v>2346</v>
      </c>
      <c r="AO1350" t="s">
        <v>80</v>
      </c>
      <c r="AP1350" t="e">
        <v>#N/A</v>
      </c>
      <c r="AQ1350" t="s">
        <v>105</v>
      </c>
      <c r="AR1350" t="str">
        <f t="shared" si="40"/>
        <v>60601657.STATEQ</v>
      </c>
      <c r="AS1350">
        <f t="shared" si="41"/>
        <v>5869625.1599999992</v>
      </c>
      <c r="AT1350" t="s">
        <v>82</v>
      </c>
    </row>
    <row r="1351" spans="1:46" x14ac:dyDescent="0.35">
      <c r="A1351" t="s">
        <v>52</v>
      </c>
      <c r="B1351" t="s">
        <v>53</v>
      </c>
      <c r="C1351" t="s">
        <v>54</v>
      </c>
      <c r="D1351" t="s">
        <v>55</v>
      </c>
      <c r="E1351" t="s">
        <v>56</v>
      </c>
      <c r="F1351" t="s">
        <v>4171</v>
      </c>
      <c r="G1351" t="s">
        <v>56</v>
      </c>
      <c r="H1351" t="s">
        <v>56</v>
      </c>
      <c r="I1351" t="s">
        <v>4177</v>
      </c>
      <c r="J1351" t="s">
        <v>61</v>
      </c>
      <c r="K1351" t="s">
        <v>62</v>
      </c>
      <c r="L1351" t="s">
        <v>56</v>
      </c>
      <c r="M1351" t="s">
        <v>56</v>
      </c>
      <c r="N1351" t="s">
        <v>56</v>
      </c>
      <c r="O1351" t="s">
        <v>1122</v>
      </c>
      <c r="P1351" t="s">
        <v>1123</v>
      </c>
      <c r="Q1351" t="s">
        <v>87</v>
      </c>
      <c r="R1351" t="s">
        <v>67</v>
      </c>
      <c r="S1351">
        <v>5000000</v>
      </c>
      <c r="T1351">
        <v>-2557629.92</v>
      </c>
      <c r="U1351" t="s">
        <v>68</v>
      </c>
      <c r="V1351" t="s">
        <v>4173</v>
      </c>
      <c r="W1351" s="9">
        <v>60601657</v>
      </c>
      <c r="X1351" t="s">
        <v>4178</v>
      </c>
      <c r="Y1351" s="1">
        <v>42170</v>
      </c>
      <c r="Z1351" s="1">
        <v>42170</v>
      </c>
      <c r="AA1351" s="2">
        <v>1052150.3999999999</v>
      </c>
      <c r="AB1351" s="2">
        <v>1052150.3999999999</v>
      </c>
      <c r="AC1351" s="2">
        <v>0</v>
      </c>
      <c r="AD1351" s="2">
        <v>1052150.3999999999</v>
      </c>
      <c r="AE1351" t="s">
        <v>4178</v>
      </c>
      <c r="AF1351" t="s">
        <v>72</v>
      </c>
      <c r="AG1351">
        <v>3908</v>
      </c>
      <c r="AH1351" t="s">
        <v>473</v>
      </c>
      <c r="AI1351" t="s">
        <v>74</v>
      </c>
      <c r="AJ1351" t="s">
        <v>75</v>
      </c>
      <c r="AK1351" t="s">
        <v>102</v>
      </c>
      <c r="AL1351" t="s">
        <v>77</v>
      </c>
      <c r="AM1351" t="s">
        <v>103</v>
      </c>
      <c r="AN1351" t="s">
        <v>2346</v>
      </c>
      <c r="AO1351" t="s">
        <v>80</v>
      </c>
      <c r="AP1351" t="e">
        <v>#N/A</v>
      </c>
      <c r="AQ1351" t="s">
        <v>105</v>
      </c>
      <c r="AR1351" t="str">
        <f t="shared" si="40"/>
        <v>60601657.STATEQ</v>
      </c>
      <c r="AS1351">
        <f t="shared" si="41"/>
        <v>5869625.1599999992</v>
      </c>
      <c r="AT1351" t="s">
        <v>82</v>
      </c>
    </row>
    <row r="1352" spans="1:46" x14ac:dyDescent="0.35">
      <c r="A1352" t="s">
        <v>52</v>
      </c>
      <c r="B1352" t="s">
        <v>53</v>
      </c>
      <c r="C1352" t="s">
        <v>54</v>
      </c>
      <c r="D1352" t="s">
        <v>55</v>
      </c>
      <c r="E1352" t="s">
        <v>56</v>
      </c>
      <c r="F1352" t="s">
        <v>4171</v>
      </c>
      <c r="G1352" t="s">
        <v>56</v>
      </c>
      <c r="H1352" t="s">
        <v>56</v>
      </c>
      <c r="I1352" t="s">
        <v>4179</v>
      </c>
      <c r="J1352" t="s">
        <v>61</v>
      </c>
      <c r="K1352" t="s">
        <v>62</v>
      </c>
      <c r="L1352" t="s">
        <v>56</v>
      </c>
      <c r="M1352" t="s">
        <v>56</v>
      </c>
      <c r="N1352" t="s">
        <v>56</v>
      </c>
      <c r="O1352" t="s">
        <v>1122</v>
      </c>
      <c r="P1352" t="s">
        <v>1123</v>
      </c>
      <c r="Q1352" t="s">
        <v>87</v>
      </c>
      <c r="R1352" t="s">
        <v>67</v>
      </c>
      <c r="S1352">
        <v>5000000</v>
      </c>
      <c r="T1352">
        <v>-2557629.92</v>
      </c>
      <c r="U1352" t="s">
        <v>68</v>
      </c>
      <c r="V1352" t="s">
        <v>4173</v>
      </c>
      <c r="W1352" s="9">
        <v>60601657</v>
      </c>
      <c r="X1352" t="s">
        <v>4180</v>
      </c>
      <c r="Y1352" s="1">
        <v>42170</v>
      </c>
      <c r="Z1352" s="1">
        <v>42170</v>
      </c>
      <c r="AA1352" s="2">
        <v>229500</v>
      </c>
      <c r="AB1352" s="2">
        <v>229500</v>
      </c>
      <c r="AC1352" s="2">
        <v>0</v>
      </c>
      <c r="AD1352" s="2">
        <v>229500</v>
      </c>
      <c r="AE1352" t="s">
        <v>4180</v>
      </c>
      <c r="AF1352" t="s">
        <v>72</v>
      </c>
      <c r="AG1352">
        <v>3908</v>
      </c>
      <c r="AH1352" t="s">
        <v>473</v>
      </c>
      <c r="AI1352" t="s">
        <v>74</v>
      </c>
      <c r="AJ1352" t="s">
        <v>75</v>
      </c>
      <c r="AK1352" t="s">
        <v>102</v>
      </c>
      <c r="AL1352" t="s">
        <v>77</v>
      </c>
      <c r="AM1352" t="s">
        <v>103</v>
      </c>
      <c r="AN1352" t="s">
        <v>2346</v>
      </c>
      <c r="AO1352" t="s">
        <v>80</v>
      </c>
      <c r="AP1352" t="e">
        <v>#N/A</v>
      </c>
      <c r="AQ1352" t="s">
        <v>105</v>
      </c>
      <c r="AR1352" t="str">
        <f t="shared" ref="AR1352:AR1415" si="42">W1352&amp;"."&amp;AQ1352</f>
        <v>60601657.STATEQ</v>
      </c>
      <c r="AS1352">
        <f t="shared" ref="AS1352:AS1415" si="43">SUMIFS(AD:AD,AQ:AQ,AQ1352,W:W,W1352)</f>
        <v>5869625.1599999992</v>
      </c>
      <c r="AT1352" t="s">
        <v>82</v>
      </c>
    </row>
    <row r="1353" spans="1:46" x14ac:dyDescent="0.35">
      <c r="A1353" t="s">
        <v>52</v>
      </c>
      <c r="B1353" t="s">
        <v>53</v>
      </c>
      <c r="C1353" t="s">
        <v>54</v>
      </c>
      <c r="D1353" t="s">
        <v>55</v>
      </c>
      <c r="E1353" t="s">
        <v>56</v>
      </c>
      <c r="F1353" t="s">
        <v>4171</v>
      </c>
      <c r="G1353" t="s">
        <v>56</v>
      </c>
      <c r="H1353" t="s">
        <v>56</v>
      </c>
      <c r="I1353" t="s">
        <v>4181</v>
      </c>
      <c r="J1353" t="s">
        <v>61</v>
      </c>
      <c r="K1353" t="s">
        <v>62</v>
      </c>
      <c r="L1353" t="s">
        <v>56</v>
      </c>
      <c r="M1353" t="s">
        <v>56</v>
      </c>
      <c r="N1353" t="s">
        <v>56</v>
      </c>
      <c r="O1353" t="s">
        <v>1122</v>
      </c>
      <c r="P1353" t="s">
        <v>1123</v>
      </c>
      <c r="Q1353" t="s">
        <v>87</v>
      </c>
      <c r="R1353" t="s">
        <v>67</v>
      </c>
      <c r="S1353">
        <v>5000000</v>
      </c>
      <c r="T1353">
        <v>-2557629.92</v>
      </c>
      <c r="U1353" t="s">
        <v>68</v>
      </c>
      <c r="V1353" t="s">
        <v>4173</v>
      </c>
      <c r="W1353" s="9">
        <v>60601657</v>
      </c>
      <c r="X1353" t="s">
        <v>4182</v>
      </c>
      <c r="Y1353" s="1">
        <v>44138</v>
      </c>
      <c r="Z1353" s="1">
        <v>44168</v>
      </c>
      <c r="AA1353" s="2">
        <v>1668</v>
      </c>
      <c r="AB1353" s="2">
        <v>1668</v>
      </c>
      <c r="AC1353" s="2">
        <v>0</v>
      </c>
      <c r="AD1353" s="2">
        <v>1668</v>
      </c>
      <c r="AE1353" t="s">
        <v>4182</v>
      </c>
      <c r="AF1353" t="s">
        <v>72</v>
      </c>
      <c r="AG1353">
        <v>1910</v>
      </c>
      <c r="AH1353" t="s">
        <v>473</v>
      </c>
      <c r="AI1353" t="s">
        <v>74</v>
      </c>
      <c r="AJ1353" t="s">
        <v>75</v>
      </c>
      <c r="AK1353" t="s">
        <v>102</v>
      </c>
      <c r="AL1353" t="s">
        <v>77</v>
      </c>
      <c r="AM1353" t="s">
        <v>103</v>
      </c>
      <c r="AN1353" t="s">
        <v>2346</v>
      </c>
      <c r="AO1353" t="s">
        <v>80</v>
      </c>
      <c r="AP1353" t="e">
        <v>#N/A</v>
      </c>
      <c r="AQ1353" t="s">
        <v>105</v>
      </c>
      <c r="AR1353" t="str">
        <f t="shared" si="42"/>
        <v>60601657.STATEQ</v>
      </c>
      <c r="AS1353">
        <f t="shared" si="43"/>
        <v>5869625.1599999992</v>
      </c>
      <c r="AT1353" t="s">
        <v>82</v>
      </c>
    </row>
    <row r="1354" spans="1:46" x14ac:dyDescent="0.35">
      <c r="A1354" t="s">
        <v>52</v>
      </c>
      <c r="B1354" t="s">
        <v>53</v>
      </c>
      <c r="C1354" t="s">
        <v>54</v>
      </c>
      <c r="D1354" t="s">
        <v>55</v>
      </c>
      <c r="E1354" t="s">
        <v>56</v>
      </c>
      <c r="F1354" t="s">
        <v>4171</v>
      </c>
      <c r="G1354" t="s">
        <v>4183</v>
      </c>
      <c r="H1354" t="s">
        <v>153</v>
      </c>
      <c r="I1354" t="s">
        <v>4184</v>
      </c>
      <c r="J1354" t="s">
        <v>56</v>
      </c>
      <c r="K1354" t="s">
        <v>62</v>
      </c>
      <c r="L1354" t="s">
        <v>56</v>
      </c>
      <c r="M1354" t="s">
        <v>56</v>
      </c>
      <c r="N1354" t="s">
        <v>4185</v>
      </c>
      <c r="O1354" t="s">
        <v>4186</v>
      </c>
      <c r="P1354" t="s">
        <v>4187</v>
      </c>
      <c r="Q1354" t="s">
        <v>114</v>
      </c>
      <c r="R1354" t="s">
        <v>67</v>
      </c>
      <c r="S1354">
        <v>5000000</v>
      </c>
      <c r="T1354">
        <v>-2557629.92</v>
      </c>
      <c r="U1354" t="s">
        <v>68</v>
      </c>
      <c r="V1354" t="s">
        <v>4173</v>
      </c>
      <c r="W1354" s="9">
        <v>60601657</v>
      </c>
      <c r="X1354" t="s">
        <v>4188</v>
      </c>
      <c r="Y1354" s="1">
        <v>44162</v>
      </c>
      <c r="Z1354" s="1">
        <v>44192</v>
      </c>
      <c r="AA1354" s="2">
        <v>893044.3</v>
      </c>
      <c r="AB1354" s="2">
        <v>756250</v>
      </c>
      <c r="AC1354" s="2">
        <v>136794.29999999999</v>
      </c>
      <c r="AD1354" s="2">
        <v>320406.3</v>
      </c>
      <c r="AE1354" t="s">
        <v>4189</v>
      </c>
      <c r="AF1354" t="s">
        <v>72</v>
      </c>
      <c r="AG1354">
        <v>1886</v>
      </c>
      <c r="AH1354" t="s">
        <v>473</v>
      </c>
      <c r="AI1354" t="s">
        <v>74</v>
      </c>
      <c r="AJ1354" t="s">
        <v>75</v>
      </c>
      <c r="AK1354" t="s">
        <v>102</v>
      </c>
      <c r="AL1354" t="s">
        <v>77</v>
      </c>
      <c r="AM1354" t="s">
        <v>103</v>
      </c>
      <c r="AN1354" t="s">
        <v>2346</v>
      </c>
      <c r="AO1354" t="s">
        <v>80</v>
      </c>
      <c r="AP1354" t="e">
        <v>#N/A</v>
      </c>
      <c r="AQ1354" t="s">
        <v>105</v>
      </c>
      <c r="AR1354" t="str">
        <f t="shared" si="42"/>
        <v>60601657.STATEQ</v>
      </c>
      <c r="AS1354">
        <f t="shared" si="43"/>
        <v>5869625.1599999992</v>
      </c>
      <c r="AT1354" t="s">
        <v>82</v>
      </c>
    </row>
    <row r="1355" spans="1:46" x14ac:dyDescent="0.35">
      <c r="A1355" t="s">
        <v>52</v>
      </c>
      <c r="B1355" t="s">
        <v>53</v>
      </c>
      <c r="C1355" t="s">
        <v>54</v>
      </c>
      <c r="D1355" t="s">
        <v>55</v>
      </c>
      <c r="E1355" t="s">
        <v>56</v>
      </c>
      <c r="F1355" t="s">
        <v>4171</v>
      </c>
      <c r="G1355" t="s">
        <v>4183</v>
      </c>
      <c r="H1355" t="s">
        <v>153</v>
      </c>
      <c r="I1355" t="s">
        <v>4184</v>
      </c>
      <c r="J1355" t="s">
        <v>56</v>
      </c>
      <c r="K1355" t="s">
        <v>62</v>
      </c>
      <c r="L1355" t="s">
        <v>56</v>
      </c>
      <c r="M1355" t="s">
        <v>56</v>
      </c>
      <c r="N1355" t="s">
        <v>4185</v>
      </c>
      <c r="O1355" t="s">
        <v>4186</v>
      </c>
      <c r="P1355" t="s">
        <v>4187</v>
      </c>
      <c r="Q1355" t="s">
        <v>114</v>
      </c>
      <c r="R1355" t="s">
        <v>67</v>
      </c>
      <c r="S1355">
        <v>5000000</v>
      </c>
      <c r="T1355">
        <v>-2557629.92</v>
      </c>
      <c r="U1355" t="s">
        <v>68</v>
      </c>
      <c r="V1355" t="s">
        <v>4173</v>
      </c>
      <c r="W1355" s="9">
        <v>60601657</v>
      </c>
      <c r="X1355" t="s">
        <v>4190</v>
      </c>
      <c r="Y1355" s="1">
        <v>44196</v>
      </c>
      <c r="Z1355" s="1">
        <v>44226</v>
      </c>
      <c r="AA1355" s="2">
        <v>1151141.92</v>
      </c>
      <c r="AB1355" s="2">
        <v>975544</v>
      </c>
      <c r="AC1355" s="2">
        <v>175597.92</v>
      </c>
      <c r="AD1355" s="2">
        <v>1151141.92</v>
      </c>
      <c r="AE1355" t="s">
        <v>4191</v>
      </c>
      <c r="AF1355" t="s">
        <v>72</v>
      </c>
      <c r="AG1355">
        <v>1852</v>
      </c>
      <c r="AH1355" t="s">
        <v>473</v>
      </c>
      <c r="AI1355" t="s">
        <v>74</v>
      </c>
      <c r="AJ1355" t="s">
        <v>75</v>
      </c>
      <c r="AK1355" t="s">
        <v>102</v>
      </c>
      <c r="AL1355" t="s">
        <v>77</v>
      </c>
      <c r="AM1355" t="s">
        <v>103</v>
      </c>
      <c r="AN1355" t="s">
        <v>2346</v>
      </c>
      <c r="AO1355" t="s">
        <v>80</v>
      </c>
      <c r="AP1355" t="e">
        <v>#N/A</v>
      </c>
      <c r="AQ1355" t="s">
        <v>105</v>
      </c>
      <c r="AR1355" t="str">
        <f t="shared" si="42"/>
        <v>60601657.STATEQ</v>
      </c>
      <c r="AS1355">
        <f t="shared" si="43"/>
        <v>5869625.1599999992</v>
      </c>
      <c r="AT1355" t="s">
        <v>82</v>
      </c>
    </row>
    <row r="1356" spans="1:46" x14ac:dyDescent="0.35">
      <c r="A1356" t="s">
        <v>52</v>
      </c>
      <c r="B1356" t="s">
        <v>53</v>
      </c>
      <c r="C1356" t="s">
        <v>54</v>
      </c>
      <c r="D1356" t="s">
        <v>55</v>
      </c>
      <c r="E1356" t="s">
        <v>56</v>
      </c>
      <c r="F1356" t="s">
        <v>4171</v>
      </c>
      <c r="G1356" t="s">
        <v>4183</v>
      </c>
      <c r="H1356" t="s">
        <v>153</v>
      </c>
      <c r="I1356" t="s">
        <v>4184</v>
      </c>
      <c r="J1356" t="s">
        <v>56</v>
      </c>
      <c r="K1356" t="s">
        <v>62</v>
      </c>
      <c r="L1356" t="s">
        <v>56</v>
      </c>
      <c r="M1356" t="s">
        <v>56</v>
      </c>
      <c r="N1356" t="s">
        <v>155</v>
      </c>
      <c r="O1356" t="s">
        <v>4186</v>
      </c>
      <c r="P1356" t="s">
        <v>4187</v>
      </c>
      <c r="Q1356" t="s">
        <v>114</v>
      </c>
      <c r="R1356" t="s">
        <v>67</v>
      </c>
      <c r="S1356">
        <v>5000000</v>
      </c>
      <c r="T1356">
        <v>-2557629.92</v>
      </c>
      <c r="U1356" t="s">
        <v>68</v>
      </c>
      <c r="V1356" t="s">
        <v>4173</v>
      </c>
      <c r="W1356" s="9">
        <v>60601657</v>
      </c>
      <c r="X1356" t="s">
        <v>4192</v>
      </c>
      <c r="Y1356" s="1">
        <v>44487</v>
      </c>
      <c r="Z1356" s="1">
        <v>44517</v>
      </c>
      <c r="AA1356" s="2">
        <v>59000</v>
      </c>
      <c r="AB1356" s="2">
        <v>50000</v>
      </c>
      <c r="AC1356" s="2">
        <v>9000</v>
      </c>
      <c r="AD1356" s="2">
        <v>13250</v>
      </c>
      <c r="AE1356" t="s">
        <v>4193</v>
      </c>
      <c r="AF1356" t="s">
        <v>72</v>
      </c>
      <c r="AG1356">
        <v>1561</v>
      </c>
      <c r="AH1356" t="s">
        <v>473</v>
      </c>
      <c r="AI1356" t="s">
        <v>74</v>
      </c>
      <c r="AJ1356" t="s">
        <v>75</v>
      </c>
      <c r="AK1356" t="s">
        <v>102</v>
      </c>
      <c r="AL1356" t="s">
        <v>77</v>
      </c>
      <c r="AM1356" t="s">
        <v>103</v>
      </c>
      <c r="AN1356" t="s">
        <v>2346</v>
      </c>
      <c r="AO1356" t="s">
        <v>80</v>
      </c>
      <c r="AP1356" t="e">
        <v>#N/A</v>
      </c>
      <c r="AQ1356" t="s">
        <v>105</v>
      </c>
      <c r="AR1356" t="str">
        <f t="shared" si="42"/>
        <v>60601657.STATEQ</v>
      </c>
      <c r="AS1356">
        <f t="shared" si="43"/>
        <v>5869625.1599999992</v>
      </c>
      <c r="AT1356" t="s">
        <v>82</v>
      </c>
    </row>
    <row r="1357" spans="1:46" x14ac:dyDescent="0.35">
      <c r="A1357" t="s">
        <v>52</v>
      </c>
      <c r="B1357" t="s">
        <v>53</v>
      </c>
      <c r="C1357" t="s">
        <v>54</v>
      </c>
      <c r="D1357" t="s">
        <v>55</v>
      </c>
      <c r="E1357" t="s">
        <v>56</v>
      </c>
      <c r="F1357" t="s">
        <v>4171</v>
      </c>
      <c r="G1357" t="s">
        <v>4194</v>
      </c>
      <c r="H1357" t="s">
        <v>56</v>
      </c>
      <c r="I1357" t="s">
        <v>4195</v>
      </c>
      <c r="J1357" t="s">
        <v>56</v>
      </c>
      <c r="K1357" t="s">
        <v>62</v>
      </c>
      <c r="L1357" t="s">
        <v>4196</v>
      </c>
      <c r="M1357" t="s">
        <v>56</v>
      </c>
      <c r="N1357" t="s">
        <v>4197</v>
      </c>
      <c r="O1357" t="s">
        <v>1122</v>
      </c>
      <c r="P1357" t="s">
        <v>1123</v>
      </c>
      <c r="Q1357" t="s">
        <v>114</v>
      </c>
      <c r="R1357" t="s">
        <v>67</v>
      </c>
      <c r="S1357">
        <v>5000000</v>
      </c>
      <c r="T1357">
        <v>-2557629.92</v>
      </c>
      <c r="U1357" t="s">
        <v>68</v>
      </c>
      <c r="V1357" t="s">
        <v>4173</v>
      </c>
      <c r="W1357" s="9">
        <v>60601657</v>
      </c>
      <c r="X1357" t="s">
        <v>4198</v>
      </c>
      <c r="Y1357" s="1">
        <v>45310</v>
      </c>
      <c r="Z1357" s="1">
        <v>45340</v>
      </c>
      <c r="AA1357" s="2">
        <v>5490952.4400000004</v>
      </c>
      <c r="AB1357" s="2">
        <v>4653349.5199999996</v>
      </c>
      <c r="AC1357" s="2">
        <v>837602.92</v>
      </c>
      <c r="AD1357" s="2">
        <v>465047.59</v>
      </c>
      <c r="AE1357" t="s">
        <v>4199</v>
      </c>
      <c r="AF1357" t="s">
        <v>72</v>
      </c>
      <c r="AG1357">
        <v>738</v>
      </c>
      <c r="AH1357" t="s">
        <v>473</v>
      </c>
      <c r="AI1357" t="s">
        <v>74</v>
      </c>
      <c r="AJ1357" t="s">
        <v>75</v>
      </c>
      <c r="AK1357" t="s">
        <v>76</v>
      </c>
      <c r="AL1357" t="s">
        <v>77</v>
      </c>
      <c r="AM1357" t="s">
        <v>78</v>
      </c>
      <c r="AN1357" t="s">
        <v>795</v>
      </c>
      <c r="AO1357" t="s">
        <v>80</v>
      </c>
      <c r="AP1357" t="e">
        <v>#N/A</v>
      </c>
      <c r="AQ1357" t="s">
        <v>81</v>
      </c>
      <c r="AR1357" t="str">
        <f t="shared" si="42"/>
        <v>60601657.STATAM</v>
      </c>
      <c r="AS1357">
        <f t="shared" si="43"/>
        <v>1688004.7599999998</v>
      </c>
      <c r="AT1357" t="s">
        <v>82</v>
      </c>
    </row>
    <row r="1358" spans="1:46" x14ac:dyDescent="0.35">
      <c r="A1358" t="s">
        <v>52</v>
      </c>
      <c r="B1358" t="s">
        <v>53</v>
      </c>
      <c r="C1358" t="s">
        <v>54</v>
      </c>
      <c r="D1358" t="s">
        <v>55</v>
      </c>
      <c r="E1358" t="s">
        <v>56</v>
      </c>
      <c r="F1358" t="s">
        <v>4171</v>
      </c>
      <c r="G1358" t="s">
        <v>4194</v>
      </c>
      <c r="H1358" t="s">
        <v>56</v>
      </c>
      <c r="I1358" t="s">
        <v>4200</v>
      </c>
      <c r="J1358" t="s">
        <v>56</v>
      </c>
      <c r="K1358" t="s">
        <v>62</v>
      </c>
      <c r="L1358" t="s">
        <v>4196</v>
      </c>
      <c r="M1358" t="s">
        <v>56</v>
      </c>
      <c r="N1358" t="s">
        <v>4197</v>
      </c>
      <c r="O1358" t="s">
        <v>1122</v>
      </c>
      <c r="P1358" t="s">
        <v>1123</v>
      </c>
      <c r="Q1358" t="s">
        <v>114</v>
      </c>
      <c r="R1358" t="s">
        <v>67</v>
      </c>
      <c r="S1358">
        <v>5000000</v>
      </c>
      <c r="T1358">
        <v>-2557629.92</v>
      </c>
      <c r="U1358" t="s">
        <v>68</v>
      </c>
      <c r="V1358" t="s">
        <v>4173</v>
      </c>
      <c r="W1358" s="9">
        <v>60601657</v>
      </c>
      <c r="X1358" t="s">
        <v>4201</v>
      </c>
      <c r="Y1358" s="1">
        <v>45310</v>
      </c>
      <c r="Z1358" s="1">
        <v>45340</v>
      </c>
      <c r="AA1358" s="2">
        <v>4608522.66</v>
      </c>
      <c r="AB1358" s="2">
        <v>3905527.68</v>
      </c>
      <c r="AC1358" s="2">
        <v>702994.98</v>
      </c>
      <c r="AD1358" s="2">
        <v>390582.66</v>
      </c>
      <c r="AE1358" t="s">
        <v>4202</v>
      </c>
      <c r="AF1358" t="s">
        <v>72</v>
      </c>
      <c r="AG1358">
        <v>738</v>
      </c>
      <c r="AH1358" t="s">
        <v>473</v>
      </c>
      <c r="AI1358" t="s">
        <v>74</v>
      </c>
      <c r="AJ1358" t="s">
        <v>75</v>
      </c>
      <c r="AK1358" t="s">
        <v>76</v>
      </c>
      <c r="AL1358" t="s">
        <v>77</v>
      </c>
      <c r="AM1358" t="s">
        <v>78</v>
      </c>
      <c r="AN1358" t="s">
        <v>795</v>
      </c>
      <c r="AO1358" t="s">
        <v>80</v>
      </c>
      <c r="AP1358" t="e">
        <v>#N/A</v>
      </c>
      <c r="AQ1358" t="s">
        <v>81</v>
      </c>
      <c r="AR1358" t="str">
        <f t="shared" si="42"/>
        <v>60601657.STATAM</v>
      </c>
      <c r="AS1358">
        <f t="shared" si="43"/>
        <v>1688004.7599999998</v>
      </c>
      <c r="AT1358" t="s">
        <v>82</v>
      </c>
    </row>
    <row r="1359" spans="1:46" x14ac:dyDescent="0.35">
      <c r="A1359" t="s">
        <v>52</v>
      </c>
      <c r="B1359" t="s">
        <v>53</v>
      </c>
      <c r="C1359" t="s">
        <v>54</v>
      </c>
      <c r="D1359" t="s">
        <v>55</v>
      </c>
      <c r="E1359" t="s">
        <v>56</v>
      </c>
      <c r="F1359" t="s">
        <v>4171</v>
      </c>
      <c r="G1359" t="s">
        <v>4194</v>
      </c>
      <c r="H1359" t="s">
        <v>56</v>
      </c>
      <c r="I1359" t="s">
        <v>4203</v>
      </c>
      <c r="J1359" t="s">
        <v>56</v>
      </c>
      <c r="K1359" t="s">
        <v>62</v>
      </c>
      <c r="L1359" t="s">
        <v>4196</v>
      </c>
      <c r="M1359" t="s">
        <v>56</v>
      </c>
      <c r="N1359" t="s">
        <v>4197</v>
      </c>
      <c r="O1359" t="s">
        <v>1122</v>
      </c>
      <c r="P1359" t="s">
        <v>1123</v>
      </c>
      <c r="Q1359" t="s">
        <v>114</v>
      </c>
      <c r="R1359" t="s">
        <v>67</v>
      </c>
      <c r="S1359">
        <v>5000000</v>
      </c>
      <c r="T1359">
        <v>-2557629.92</v>
      </c>
      <c r="U1359" t="s">
        <v>68</v>
      </c>
      <c r="V1359" t="s">
        <v>4173</v>
      </c>
      <c r="W1359" s="9">
        <v>60601657</v>
      </c>
      <c r="X1359" t="s">
        <v>4204</v>
      </c>
      <c r="Y1359" s="1">
        <v>45310</v>
      </c>
      <c r="Z1359" s="1">
        <v>45340</v>
      </c>
      <c r="AA1359" s="2">
        <v>2113532.9300000002</v>
      </c>
      <c r="AB1359" s="2">
        <v>1791129.6000000001</v>
      </c>
      <c r="AC1359" s="2">
        <v>322403.33</v>
      </c>
      <c r="AD1359" s="2">
        <v>179382.53</v>
      </c>
      <c r="AE1359" t="s">
        <v>4205</v>
      </c>
      <c r="AF1359" t="s">
        <v>72</v>
      </c>
      <c r="AG1359">
        <v>738</v>
      </c>
      <c r="AH1359" t="s">
        <v>473</v>
      </c>
      <c r="AI1359" t="s">
        <v>74</v>
      </c>
      <c r="AJ1359" t="s">
        <v>75</v>
      </c>
      <c r="AK1359" t="s">
        <v>76</v>
      </c>
      <c r="AL1359" t="s">
        <v>77</v>
      </c>
      <c r="AM1359" t="s">
        <v>78</v>
      </c>
      <c r="AN1359" t="s">
        <v>795</v>
      </c>
      <c r="AO1359" t="s">
        <v>80</v>
      </c>
      <c r="AP1359" t="e">
        <v>#N/A</v>
      </c>
      <c r="AQ1359" t="s">
        <v>81</v>
      </c>
      <c r="AR1359" t="str">
        <f t="shared" si="42"/>
        <v>60601657.STATAM</v>
      </c>
      <c r="AS1359">
        <f t="shared" si="43"/>
        <v>1688004.7599999998</v>
      </c>
      <c r="AT1359" t="s">
        <v>82</v>
      </c>
    </row>
    <row r="1360" spans="1:46" x14ac:dyDescent="0.35">
      <c r="A1360" t="s">
        <v>52</v>
      </c>
      <c r="B1360" t="s">
        <v>53</v>
      </c>
      <c r="C1360" t="s">
        <v>54</v>
      </c>
      <c r="D1360" t="s">
        <v>55</v>
      </c>
      <c r="E1360" t="s">
        <v>56</v>
      </c>
      <c r="F1360" t="s">
        <v>4171</v>
      </c>
      <c r="G1360" t="s">
        <v>4194</v>
      </c>
      <c r="H1360" t="s">
        <v>56</v>
      </c>
      <c r="I1360" t="s">
        <v>4206</v>
      </c>
      <c r="J1360" t="s">
        <v>56</v>
      </c>
      <c r="K1360" t="s">
        <v>62</v>
      </c>
      <c r="L1360" t="s">
        <v>4196</v>
      </c>
      <c r="M1360" t="s">
        <v>56</v>
      </c>
      <c r="N1360" t="s">
        <v>4207</v>
      </c>
      <c r="O1360" t="s">
        <v>1122</v>
      </c>
      <c r="P1360" t="s">
        <v>1123</v>
      </c>
      <c r="Q1360" t="s">
        <v>114</v>
      </c>
      <c r="R1360" t="s">
        <v>67</v>
      </c>
      <c r="S1360">
        <v>5000000</v>
      </c>
      <c r="T1360">
        <v>-2557629.92</v>
      </c>
      <c r="U1360" t="s">
        <v>68</v>
      </c>
      <c r="V1360" t="s">
        <v>4173</v>
      </c>
      <c r="W1360" s="9">
        <v>60601657</v>
      </c>
      <c r="X1360" t="s">
        <v>4208</v>
      </c>
      <c r="Y1360" s="1">
        <v>45314</v>
      </c>
      <c r="Z1360" s="1">
        <v>45344</v>
      </c>
      <c r="AA1360" s="2">
        <v>15487.31</v>
      </c>
      <c r="AB1360" s="2">
        <v>13124.84</v>
      </c>
      <c r="AC1360" s="2">
        <v>2362.4699999999998</v>
      </c>
      <c r="AD1360" s="2">
        <v>1312.45</v>
      </c>
      <c r="AE1360" t="s">
        <v>4209</v>
      </c>
      <c r="AF1360" t="s">
        <v>72</v>
      </c>
      <c r="AG1360">
        <v>734</v>
      </c>
      <c r="AH1360" t="s">
        <v>473</v>
      </c>
      <c r="AI1360" t="s">
        <v>74</v>
      </c>
      <c r="AJ1360" t="s">
        <v>75</v>
      </c>
      <c r="AK1360" t="s">
        <v>76</v>
      </c>
      <c r="AL1360" t="s">
        <v>77</v>
      </c>
      <c r="AM1360" t="s">
        <v>78</v>
      </c>
      <c r="AN1360" t="s">
        <v>795</v>
      </c>
      <c r="AO1360" t="s">
        <v>80</v>
      </c>
      <c r="AP1360" t="e">
        <v>#N/A</v>
      </c>
      <c r="AQ1360" t="s">
        <v>81</v>
      </c>
      <c r="AR1360" t="str">
        <f t="shared" si="42"/>
        <v>60601657.STATAM</v>
      </c>
      <c r="AS1360">
        <f t="shared" si="43"/>
        <v>1688004.7599999998</v>
      </c>
      <c r="AT1360" t="s">
        <v>82</v>
      </c>
    </row>
    <row r="1361" spans="1:46" x14ac:dyDescent="0.35">
      <c r="A1361" t="s">
        <v>52</v>
      </c>
      <c r="B1361" t="s">
        <v>53</v>
      </c>
      <c r="C1361" t="s">
        <v>54</v>
      </c>
      <c r="D1361" t="s">
        <v>55</v>
      </c>
      <c r="E1361" t="s">
        <v>56</v>
      </c>
      <c r="F1361" t="s">
        <v>4171</v>
      </c>
      <c r="G1361" t="s">
        <v>4194</v>
      </c>
      <c r="H1361" t="s">
        <v>56</v>
      </c>
      <c r="I1361" t="s">
        <v>4206</v>
      </c>
      <c r="J1361" t="s">
        <v>56</v>
      </c>
      <c r="K1361" t="s">
        <v>62</v>
      </c>
      <c r="L1361" t="s">
        <v>4196</v>
      </c>
      <c r="M1361" t="s">
        <v>56</v>
      </c>
      <c r="N1361" t="s">
        <v>252</v>
      </c>
      <c r="O1361" t="s">
        <v>1122</v>
      </c>
      <c r="P1361" t="s">
        <v>1123</v>
      </c>
      <c r="Q1361" t="s">
        <v>114</v>
      </c>
      <c r="R1361" t="s">
        <v>67</v>
      </c>
      <c r="S1361">
        <v>5000000</v>
      </c>
      <c r="T1361">
        <v>-2557629.92</v>
      </c>
      <c r="U1361" t="s">
        <v>68</v>
      </c>
      <c r="V1361" t="s">
        <v>4173</v>
      </c>
      <c r="W1361" s="9">
        <v>60601657</v>
      </c>
      <c r="X1361" t="s">
        <v>4208</v>
      </c>
      <c r="Y1361" s="1">
        <v>45314</v>
      </c>
      <c r="Z1361" s="1">
        <v>45344</v>
      </c>
      <c r="AA1361" s="2">
        <v>2757464.36</v>
      </c>
      <c r="AB1361" s="2">
        <v>2336834.2000000002</v>
      </c>
      <c r="AC1361" s="2">
        <v>420630.16</v>
      </c>
      <c r="AD1361" s="2">
        <v>233677.61</v>
      </c>
      <c r="AE1361" t="s">
        <v>4210</v>
      </c>
      <c r="AF1361" t="s">
        <v>72</v>
      </c>
      <c r="AG1361">
        <v>734</v>
      </c>
      <c r="AH1361" t="s">
        <v>473</v>
      </c>
      <c r="AI1361" t="s">
        <v>74</v>
      </c>
      <c r="AJ1361" t="s">
        <v>75</v>
      </c>
      <c r="AK1361" t="s">
        <v>76</v>
      </c>
      <c r="AL1361" t="s">
        <v>77</v>
      </c>
      <c r="AM1361" t="s">
        <v>78</v>
      </c>
      <c r="AN1361" t="s">
        <v>795</v>
      </c>
      <c r="AO1361" t="s">
        <v>80</v>
      </c>
      <c r="AP1361" t="e">
        <v>#N/A</v>
      </c>
      <c r="AQ1361" t="s">
        <v>81</v>
      </c>
      <c r="AR1361" t="str">
        <f t="shared" si="42"/>
        <v>60601657.STATAM</v>
      </c>
      <c r="AS1361">
        <f t="shared" si="43"/>
        <v>1688004.7599999998</v>
      </c>
      <c r="AT1361" t="s">
        <v>82</v>
      </c>
    </row>
    <row r="1362" spans="1:46" x14ac:dyDescent="0.35">
      <c r="A1362" t="s">
        <v>52</v>
      </c>
      <c r="B1362" t="s">
        <v>53</v>
      </c>
      <c r="C1362" t="s">
        <v>54</v>
      </c>
      <c r="D1362" t="s">
        <v>55</v>
      </c>
      <c r="E1362" t="s">
        <v>56</v>
      </c>
      <c r="F1362" t="s">
        <v>4171</v>
      </c>
      <c r="G1362" t="s">
        <v>4194</v>
      </c>
      <c r="H1362" t="s">
        <v>56</v>
      </c>
      <c r="I1362" t="s">
        <v>4206</v>
      </c>
      <c r="J1362" t="s">
        <v>56</v>
      </c>
      <c r="K1362" t="s">
        <v>62</v>
      </c>
      <c r="L1362" t="s">
        <v>4196</v>
      </c>
      <c r="M1362" t="s">
        <v>56</v>
      </c>
      <c r="N1362" t="s">
        <v>295</v>
      </c>
      <c r="O1362" t="s">
        <v>1122</v>
      </c>
      <c r="P1362" t="s">
        <v>1123</v>
      </c>
      <c r="Q1362" t="s">
        <v>114</v>
      </c>
      <c r="R1362" t="s">
        <v>67</v>
      </c>
      <c r="S1362">
        <v>5000000</v>
      </c>
      <c r="T1362">
        <v>-2557629.92</v>
      </c>
      <c r="U1362" t="s">
        <v>68</v>
      </c>
      <c r="V1362" t="s">
        <v>4173</v>
      </c>
      <c r="W1362" s="9">
        <v>60601657</v>
      </c>
      <c r="X1362" t="s">
        <v>4208</v>
      </c>
      <c r="Y1362" s="1">
        <v>45314</v>
      </c>
      <c r="Z1362" s="1">
        <v>45344</v>
      </c>
      <c r="AA1362" s="2">
        <v>708040.31</v>
      </c>
      <c r="AB1362" s="2">
        <v>600034.16</v>
      </c>
      <c r="AC1362" s="2">
        <v>108006.15</v>
      </c>
      <c r="AD1362" s="2">
        <v>60001.919999999998</v>
      </c>
      <c r="AE1362" t="s">
        <v>4211</v>
      </c>
      <c r="AF1362" t="s">
        <v>72</v>
      </c>
      <c r="AG1362">
        <v>734</v>
      </c>
      <c r="AH1362" t="s">
        <v>473</v>
      </c>
      <c r="AI1362" t="s">
        <v>74</v>
      </c>
      <c r="AJ1362" t="s">
        <v>75</v>
      </c>
      <c r="AK1362" t="s">
        <v>76</v>
      </c>
      <c r="AL1362" t="s">
        <v>77</v>
      </c>
      <c r="AM1362" t="s">
        <v>78</v>
      </c>
      <c r="AN1362" t="s">
        <v>795</v>
      </c>
      <c r="AO1362" t="s">
        <v>80</v>
      </c>
      <c r="AP1362" t="e">
        <v>#N/A</v>
      </c>
      <c r="AQ1362" t="s">
        <v>81</v>
      </c>
      <c r="AR1362" t="str">
        <f t="shared" si="42"/>
        <v>60601657.STATAM</v>
      </c>
      <c r="AS1362">
        <f t="shared" si="43"/>
        <v>1688004.7599999998</v>
      </c>
      <c r="AT1362" t="s">
        <v>82</v>
      </c>
    </row>
    <row r="1363" spans="1:46" x14ac:dyDescent="0.35">
      <c r="A1363" t="s">
        <v>52</v>
      </c>
      <c r="B1363" t="s">
        <v>53</v>
      </c>
      <c r="C1363" t="s">
        <v>54</v>
      </c>
      <c r="D1363" t="s">
        <v>55</v>
      </c>
      <c r="E1363" t="s">
        <v>56</v>
      </c>
      <c r="F1363" t="s">
        <v>4171</v>
      </c>
      <c r="G1363" t="s">
        <v>4212</v>
      </c>
      <c r="H1363" t="s">
        <v>56</v>
      </c>
      <c r="I1363" t="s">
        <v>4213</v>
      </c>
      <c r="J1363" t="s">
        <v>56</v>
      </c>
      <c r="K1363" t="s">
        <v>62</v>
      </c>
      <c r="L1363" t="s">
        <v>56</v>
      </c>
      <c r="M1363" t="s">
        <v>56</v>
      </c>
      <c r="N1363" t="s">
        <v>4197</v>
      </c>
      <c r="O1363" t="s">
        <v>1122</v>
      </c>
      <c r="P1363" t="s">
        <v>1123</v>
      </c>
      <c r="Q1363" t="s">
        <v>114</v>
      </c>
      <c r="R1363" t="s">
        <v>67</v>
      </c>
      <c r="S1363">
        <v>5000000</v>
      </c>
      <c r="T1363">
        <v>-2557629.92</v>
      </c>
      <c r="U1363" t="s">
        <v>68</v>
      </c>
      <c r="V1363" t="s">
        <v>4173</v>
      </c>
      <c r="W1363" s="9">
        <v>60601657</v>
      </c>
      <c r="X1363" t="s">
        <v>4214</v>
      </c>
      <c r="Y1363" s="1">
        <v>45363</v>
      </c>
      <c r="Z1363" s="1">
        <v>45393</v>
      </c>
      <c r="AA1363" s="2">
        <v>118000</v>
      </c>
      <c r="AB1363" s="2">
        <v>100000</v>
      </c>
      <c r="AC1363" s="2">
        <v>18000</v>
      </c>
      <c r="AD1363" s="2">
        <v>118000</v>
      </c>
      <c r="AE1363" t="s">
        <v>4215</v>
      </c>
      <c r="AF1363" t="s">
        <v>72</v>
      </c>
      <c r="AG1363">
        <v>685</v>
      </c>
      <c r="AH1363" t="s">
        <v>473</v>
      </c>
      <c r="AI1363" t="s">
        <v>74</v>
      </c>
      <c r="AJ1363" t="s">
        <v>75</v>
      </c>
      <c r="AK1363" t="s">
        <v>76</v>
      </c>
      <c r="AL1363" t="s">
        <v>77</v>
      </c>
      <c r="AM1363" t="s">
        <v>78</v>
      </c>
      <c r="AN1363" t="s">
        <v>795</v>
      </c>
      <c r="AO1363" t="s">
        <v>80</v>
      </c>
      <c r="AP1363" t="e">
        <v>#N/A</v>
      </c>
      <c r="AQ1363" t="s">
        <v>81</v>
      </c>
      <c r="AR1363" t="str">
        <f t="shared" si="42"/>
        <v>60601657.STATAM</v>
      </c>
      <c r="AS1363">
        <f t="shared" si="43"/>
        <v>1688004.7599999998</v>
      </c>
      <c r="AT1363" t="s">
        <v>82</v>
      </c>
    </row>
    <row r="1364" spans="1:46" x14ac:dyDescent="0.35">
      <c r="A1364" t="s">
        <v>52</v>
      </c>
      <c r="B1364" t="s">
        <v>53</v>
      </c>
      <c r="C1364" t="s">
        <v>54</v>
      </c>
      <c r="D1364" t="s">
        <v>55</v>
      </c>
      <c r="E1364" t="s">
        <v>56</v>
      </c>
      <c r="F1364" t="s">
        <v>4171</v>
      </c>
      <c r="G1364" t="s">
        <v>4216</v>
      </c>
      <c r="H1364" t="s">
        <v>403</v>
      </c>
      <c r="I1364" t="s">
        <v>4217</v>
      </c>
      <c r="J1364" t="s">
        <v>56</v>
      </c>
      <c r="K1364" t="s">
        <v>62</v>
      </c>
      <c r="L1364" t="s">
        <v>56</v>
      </c>
      <c r="M1364" t="s">
        <v>56</v>
      </c>
      <c r="N1364" t="s">
        <v>405</v>
      </c>
      <c r="O1364" t="s">
        <v>1122</v>
      </c>
      <c r="P1364" t="s">
        <v>1123</v>
      </c>
      <c r="Q1364" t="s">
        <v>114</v>
      </c>
      <c r="R1364" t="s">
        <v>67</v>
      </c>
      <c r="S1364">
        <v>5000000</v>
      </c>
      <c r="T1364">
        <v>-2557629.92</v>
      </c>
      <c r="U1364" t="s">
        <v>68</v>
      </c>
      <c r="V1364" t="s">
        <v>4173</v>
      </c>
      <c r="W1364" s="9">
        <v>60601657</v>
      </c>
      <c r="X1364" t="s">
        <v>4218</v>
      </c>
      <c r="Y1364" s="1">
        <v>45412</v>
      </c>
      <c r="Z1364" s="1">
        <v>45442</v>
      </c>
      <c r="AA1364" s="2">
        <v>2596000</v>
      </c>
      <c r="AB1364" s="2">
        <v>2200000</v>
      </c>
      <c r="AC1364" s="2">
        <v>396000</v>
      </c>
      <c r="AD1364" s="2">
        <v>220000</v>
      </c>
      <c r="AE1364" t="s">
        <v>4219</v>
      </c>
      <c r="AF1364" t="s">
        <v>72</v>
      </c>
      <c r="AG1364">
        <v>636</v>
      </c>
      <c r="AH1364" t="s">
        <v>473</v>
      </c>
      <c r="AI1364" t="s">
        <v>74</v>
      </c>
      <c r="AJ1364" t="s">
        <v>75</v>
      </c>
      <c r="AK1364" t="s">
        <v>76</v>
      </c>
      <c r="AL1364" t="s">
        <v>77</v>
      </c>
      <c r="AM1364" t="s">
        <v>78</v>
      </c>
      <c r="AN1364" t="s">
        <v>795</v>
      </c>
      <c r="AO1364" t="s">
        <v>80</v>
      </c>
      <c r="AP1364" t="e">
        <v>#N/A</v>
      </c>
      <c r="AQ1364" t="s">
        <v>81</v>
      </c>
      <c r="AR1364" t="str">
        <f t="shared" si="42"/>
        <v>60601657.STATAM</v>
      </c>
      <c r="AS1364">
        <f t="shared" si="43"/>
        <v>1688004.7599999998</v>
      </c>
      <c r="AT1364" t="s">
        <v>82</v>
      </c>
    </row>
    <row r="1365" spans="1:46" x14ac:dyDescent="0.35">
      <c r="A1365" t="s">
        <v>52</v>
      </c>
      <c r="B1365" t="s">
        <v>53</v>
      </c>
      <c r="C1365" t="s">
        <v>54</v>
      </c>
      <c r="D1365" t="s">
        <v>55</v>
      </c>
      <c r="E1365" t="s">
        <v>56</v>
      </c>
      <c r="F1365" t="s">
        <v>4171</v>
      </c>
      <c r="G1365" t="s">
        <v>4216</v>
      </c>
      <c r="H1365" t="s">
        <v>403</v>
      </c>
      <c r="I1365" t="s">
        <v>4217</v>
      </c>
      <c r="J1365" t="s">
        <v>56</v>
      </c>
      <c r="K1365" t="s">
        <v>62</v>
      </c>
      <c r="L1365" t="s">
        <v>56</v>
      </c>
      <c r="M1365" t="s">
        <v>56</v>
      </c>
      <c r="N1365" t="s">
        <v>405</v>
      </c>
      <c r="O1365" t="s">
        <v>1122</v>
      </c>
      <c r="P1365" t="s">
        <v>1123</v>
      </c>
      <c r="Q1365" t="s">
        <v>114</v>
      </c>
      <c r="R1365" t="s">
        <v>67</v>
      </c>
      <c r="S1365">
        <v>5000000</v>
      </c>
      <c r="T1365">
        <v>-2557629.92</v>
      </c>
      <c r="U1365" t="s">
        <v>68</v>
      </c>
      <c r="V1365" t="s">
        <v>4173</v>
      </c>
      <c r="W1365" s="9">
        <v>60601657</v>
      </c>
      <c r="X1365" t="s">
        <v>4220</v>
      </c>
      <c r="Y1365" s="1">
        <v>45412</v>
      </c>
      <c r="Z1365" s="1">
        <v>45442</v>
      </c>
      <c r="AA1365" s="2">
        <v>236000</v>
      </c>
      <c r="AB1365" s="2">
        <v>200000</v>
      </c>
      <c r="AC1365" s="2">
        <v>36000</v>
      </c>
      <c r="AD1365" s="2">
        <v>20000</v>
      </c>
      <c r="AE1365" t="s">
        <v>4221</v>
      </c>
      <c r="AF1365" t="s">
        <v>72</v>
      </c>
      <c r="AG1365">
        <v>636</v>
      </c>
      <c r="AH1365" t="s">
        <v>473</v>
      </c>
      <c r="AI1365" t="s">
        <v>74</v>
      </c>
      <c r="AJ1365" t="s">
        <v>75</v>
      </c>
      <c r="AK1365" t="s">
        <v>76</v>
      </c>
      <c r="AL1365" t="s">
        <v>77</v>
      </c>
      <c r="AM1365" t="s">
        <v>78</v>
      </c>
      <c r="AN1365" t="s">
        <v>795</v>
      </c>
      <c r="AO1365" t="s">
        <v>80</v>
      </c>
      <c r="AP1365" t="e">
        <v>#N/A</v>
      </c>
      <c r="AQ1365" t="s">
        <v>81</v>
      </c>
      <c r="AR1365" t="str">
        <f t="shared" si="42"/>
        <v>60601657.STATAM</v>
      </c>
      <c r="AS1365">
        <f t="shared" si="43"/>
        <v>1688004.7599999998</v>
      </c>
      <c r="AT1365" t="s">
        <v>82</v>
      </c>
    </row>
    <row r="1366" spans="1:46" x14ac:dyDescent="0.35">
      <c r="A1366" t="s">
        <v>52</v>
      </c>
      <c r="B1366" t="s">
        <v>53</v>
      </c>
      <c r="C1366" t="s">
        <v>54</v>
      </c>
      <c r="D1366" t="s">
        <v>55</v>
      </c>
      <c r="E1366" t="s">
        <v>56</v>
      </c>
      <c r="F1366" t="s">
        <v>4171</v>
      </c>
      <c r="G1366" t="s">
        <v>4183</v>
      </c>
      <c r="H1366" t="s">
        <v>153</v>
      </c>
      <c r="I1366" t="s">
        <v>4222</v>
      </c>
      <c r="J1366" t="s">
        <v>56</v>
      </c>
      <c r="K1366" t="s">
        <v>62</v>
      </c>
      <c r="L1366" t="s">
        <v>56</v>
      </c>
      <c r="M1366" t="s">
        <v>56</v>
      </c>
      <c r="N1366" t="s">
        <v>155</v>
      </c>
      <c r="O1366" t="s">
        <v>1122</v>
      </c>
      <c r="P1366" t="s">
        <v>1123</v>
      </c>
      <c r="Q1366" t="s">
        <v>114</v>
      </c>
      <c r="R1366" t="s">
        <v>67</v>
      </c>
      <c r="S1366">
        <v>5000000</v>
      </c>
      <c r="T1366">
        <v>-2557629.92</v>
      </c>
      <c r="U1366" t="s">
        <v>68</v>
      </c>
      <c r="V1366" t="s">
        <v>4173</v>
      </c>
      <c r="W1366" s="9">
        <v>60601657</v>
      </c>
      <c r="X1366" t="s">
        <v>4223</v>
      </c>
      <c r="Y1366" s="1">
        <v>45589</v>
      </c>
      <c r="Z1366" s="1">
        <v>45619</v>
      </c>
      <c r="AA1366" s="2">
        <v>88500</v>
      </c>
      <c r="AB1366" s="2">
        <v>75000</v>
      </c>
      <c r="AC1366" s="2">
        <v>13500</v>
      </c>
      <c r="AD1366" s="2">
        <v>84750</v>
      </c>
      <c r="AE1366" t="s">
        <v>4224</v>
      </c>
      <c r="AF1366" t="s">
        <v>72</v>
      </c>
      <c r="AG1366">
        <v>459</v>
      </c>
      <c r="AH1366" t="s">
        <v>473</v>
      </c>
      <c r="AI1366" t="s">
        <v>74</v>
      </c>
      <c r="AJ1366" t="s">
        <v>75</v>
      </c>
      <c r="AK1366" t="s">
        <v>102</v>
      </c>
      <c r="AL1366" t="s">
        <v>77</v>
      </c>
      <c r="AM1366" t="s">
        <v>103</v>
      </c>
      <c r="AN1366" t="s">
        <v>2346</v>
      </c>
      <c r="AO1366" t="s">
        <v>80</v>
      </c>
      <c r="AP1366" t="e">
        <v>#N/A</v>
      </c>
      <c r="AQ1366" t="s">
        <v>105</v>
      </c>
      <c r="AR1366" t="str">
        <f t="shared" si="42"/>
        <v>60601657.STATEQ</v>
      </c>
      <c r="AS1366">
        <f t="shared" si="43"/>
        <v>5869625.1599999992</v>
      </c>
      <c r="AT1366" t="s">
        <v>82</v>
      </c>
    </row>
    <row r="1367" spans="1:46" x14ac:dyDescent="0.35">
      <c r="A1367" t="s">
        <v>52</v>
      </c>
      <c r="B1367" t="s">
        <v>53</v>
      </c>
      <c r="C1367" t="s">
        <v>54</v>
      </c>
      <c r="D1367" t="s">
        <v>55</v>
      </c>
      <c r="E1367" t="s">
        <v>56</v>
      </c>
      <c r="F1367" t="s">
        <v>4171</v>
      </c>
      <c r="G1367" t="s">
        <v>4183</v>
      </c>
      <c r="H1367" t="s">
        <v>153</v>
      </c>
      <c r="I1367" t="s">
        <v>4222</v>
      </c>
      <c r="J1367" t="s">
        <v>56</v>
      </c>
      <c r="K1367" t="s">
        <v>62</v>
      </c>
      <c r="L1367" t="s">
        <v>56</v>
      </c>
      <c r="M1367" t="s">
        <v>56</v>
      </c>
      <c r="N1367" t="s">
        <v>155</v>
      </c>
      <c r="O1367" t="s">
        <v>1122</v>
      </c>
      <c r="P1367" t="s">
        <v>1123</v>
      </c>
      <c r="Q1367" t="s">
        <v>114</v>
      </c>
      <c r="R1367" t="s">
        <v>67</v>
      </c>
      <c r="S1367">
        <v>5000000</v>
      </c>
      <c r="T1367">
        <v>-2557629.92</v>
      </c>
      <c r="U1367" t="s">
        <v>68</v>
      </c>
      <c r="V1367" t="s">
        <v>4173</v>
      </c>
      <c r="W1367" s="9">
        <v>60601657</v>
      </c>
      <c r="X1367" t="s">
        <v>4225</v>
      </c>
      <c r="Y1367" s="1">
        <v>45589</v>
      </c>
      <c r="Z1367" s="1">
        <v>45619</v>
      </c>
      <c r="AA1367" s="2">
        <v>944106.2</v>
      </c>
      <c r="AB1367" s="2">
        <v>800090</v>
      </c>
      <c r="AC1367" s="2">
        <v>144016.20000000001</v>
      </c>
      <c r="AD1367" s="2">
        <v>904101.7</v>
      </c>
      <c r="AE1367" t="s">
        <v>4226</v>
      </c>
      <c r="AF1367" t="s">
        <v>72</v>
      </c>
      <c r="AG1367">
        <v>459</v>
      </c>
      <c r="AH1367" t="s">
        <v>473</v>
      </c>
      <c r="AI1367" t="s">
        <v>74</v>
      </c>
      <c r="AJ1367" t="s">
        <v>75</v>
      </c>
      <c r="AK1367" t="s">
        <v>102</v>
      </c>
      <c r="AL1367" t="s">
        <v>77</v>
      </c>
      <c r="AM1367" t="s">
        <v>103</v>
      </c>
      <c r="AN1367" t="s">
        <v>2346</v>
      </c>
      <c r="AO1367" t="s">
        <v>80</v>
      </c>
      <c r="AP1367" t="e">
        <v>#N/A</v>
      </c>
      <c r="AQ1367" t="s">
        <v>105</v>
      </c>
      <c r="AR1367" t="str">
        <f t="shared" si="42"/>
        <v>60601657.STATEQ</v>
      </c>
      <c r="AS1367">
        <f t="shared" si="43"/>
        <v>5869625.1599999992</v>
      </c>
      <c r="AT1367" t="s">
        <v>82</v>
      </c>
    </row>
    <row r="1368" spans="1:46" x14ac:dyDescent="0.35">
      <c r="A1368" t="s">
        <v>52</v>
      </c>
      <c r="B1368" t="s">
        <v>53</v>
      </c>
      <c r="C1368" t="s">
        <v>54</v>
      </c>
      <c r="D1368" t="s">
        <v>55</v>
      </c>
      <c r="E1368" t="s">
        <v>56</v>
      </c>
      <c r="F1368" t="s">
        <v>4171</v>
      </c>
      <c r="G1368" t="s">
        <v>4183</v>
      </c>
      <c r="H1368" t="s">
        <v>153</v>
      </c>
      <c r="I1368" t="s">
        <v>4222</v>
      </c>
      <c r="J1368" t="s">
        <v>56</v>
      </c>
      <c r="K1368" t="s">
        <v>62</v>
      </c>
      <c r="L1368" t="s">
        <v>56</v>
      </c>
      <c r="M1368" t="s">
        <v>56</v>
      </c>
      <c r="N1368" t="s">
        <v>155</v>
      </c>
      <c r="O1368" t="s">
        <v>1122</v>
      </c>
      <c r="P1368" t="s">
        <v>1123</v>
      </c>
      <c r="Q1368" t="s">
        <v>114</v>
      </c>
      <c r="R1368" t="s">
        <v>67</v>
      </c>
      <c r="S1368">
        <v>5000000</v>
      </c>
      <c r="T1368">
        <v>-2557629.92</v>
      </c>
      <c r="U1368" t="s">
        <v>68</v>
      </c>
      <c r="V1368" t="s">
        <v>4173</v>
      </c>
      <c r="W1368" s="9">
        <v>60601657</v>
      </c>
      <c r="X1368" t="s">
        <v>4227</v>
      </c>
      <c r="Y1368" s="1">
        <v>45589</v>
      </c>
      <c r="Z1368" s="1">
        <v>45619</v>
      </c>
      <c r="AA1368" s="2">
        <v>945177.64</v>
      </c>
      <c r="AB1368" s="2">
        <v>800998</v>
      </c>
      <c r="AC1368" s="2">
        <v>144179.64000000001</v>
      </c>
      <c r="AD1368" s="2">
        <v>905127.74</v>
      </c>
      <c r="AE1368" t="s">
        <v>4228</v>
      </c>
      <c r="AF1368" t="s">
        <v>72</v>
      </c>
      <c r="AG1368">
        <v>459</v>
      </c>
      <c r="AH1368" t="s">
        <v>473</v>
      </c>
      <c r="AI1368" t="s">
        <v>74</v>
      </c>
      <c r="AJ1368" t="s">
        <v>75</v>
      </c>
      <c r="AK1368" t="s">
        <v>102</v>
      </c>
      <c r="AL1368" t="s">
        <v>77</v>
      </c>
      <c r="AM1368" t="s">
        <v>103</v>
      </c>
      <c r="AN1368" t="s">
        <v>2346</v>
      </c>
      <c r="AO1368" t="s">
        <v>80</v>
      </c>
      <c r="AP1368" t="e">
        <v>#N/A</v>
      </c>
      <c r="AQ1368" t="s">
        <v>105</v>
      </c>
      <c r="AR1368" t="str">
        <f t="shared" si="42"/>
        <v>60601657.STATEQ</v>
      </c>
      <c r="AS1368">
        <f t="shared" si="43"/>
        <v>5869625.1599999992</v>
      </c>
      <c r="AT1368" t="s">
        <v>82</v>
      </c>
    </row>
    <row r="1369" spans="1:46" x14ac:dyDescent="0.35">
      <c r="A1369" t="s">
        <v>52</v>
      </c>
      <c r="B1369" t="s">
        <v>53</v>
      </c>
      <c r="C1369" t="s">
        <v>54</v>
      </c>
      <c r="D1369" t="s">
        <v>55</v>
      </c>
      <c r="E1369" t="s">
        <v>56</v>
      </c>
      <c r="F1369" t="s">
        <v>4171</v>
      </c>
      <c r="G1369" t="s">
        <v>4183</v>
      </c>
      <c r="H1369" t="s">
        <v>153</v>
      </c>
      <c r="I1369" t="s">
        <v>4222</v>
      </c>
      <c r="J1369" t="s">
        <v>56</v>
      </c>
      <c r="K1369" t="s">
        <v>62</v>
      </c>
      <c r="L1369" t="s">
        <v>56</v>
      </c>
      <c r="M1369" t="s">
        <v>56</v>
      </c>
      <c r="N1369" t="s">
        <v>155</v>
      </c>
      <c r="O1369" t="s">
        <v>1122</v>
      </c>
      <c r="P1369" t="s">
        <v>1123</v>
      </c>
      <c r="Q1369" t="s">
        <v>114</v>
      </c>
      <c r="R1369" t="s">
        <v>67</v>
      </c>
      <c r="S1369">
        <v>5000000</v>
      </c>
      <c r="T1369">
        <v>-2557629.92</v>
      </c>
      <c r="U1369" t="s">
        <v>68</v>
      </c>
      <c r="V1369" t="s">
        <v>4173</v>
      </c>
      <c r="W1369" s="9">
        <v>60601657</v>
      </c>
      <c r="X1369" t="s">
        <v>4229</v>
      </c>
      <c r="Y1369" s="1">
        <v>45589</v>
      </c>
      <c r="Z1369" s="1">
        <v>45619</v>
      </c>
      <c r="AA1369" s="2">
        <v>236000</v>
      </c>
      <c r="AB1369" s="2">
        <v>200000</v>
      </c>
      <c r="AC1369" s="2">
        <v>36000</v>
      </c>
      <c r="AD1369" s="2">
        <v>226000</v>
      </c>
      <c r="AE1369" t="s">
        <v>4230</v>
      </c>
      <c r="AF1369" t="s">
        <v>72</v>
      </c>
      <c r="AG1369">
        <v>459</v>
      </c>
      <c r="AH1369" t="s">
        <v>473</v>
      </c>
      <c r="AI1369" t="s">
        <v>74</v>
      </c>
      <c r="AJ1369" t="s">
        <v>75</v>
      </c>
      <c r="AK1369" t="s">
        <v>102</v>
      </c>
      <c r="AL1369" t="s">
        <v>77</v>
      </c>
      <c r="AM1369" t="s">
        <v>103</v>
      </c>
      <c r="AN1369" t="s">
        <v>2346</v>
      </c>
      <c r="AO1369" t="s">
        <v>80</v>
      </c>
      <c r="AP1369" t="e">
        <v>#N/A</v>
      </c>
      <c r="AQ1369" t="s">
        <v>105</v>
      </c>
      <c r="AR1369" t="str">
        <f t="shared" si="42"/>
        <v>60601657.STATEQ</v>
      </c>
      <c r="AS1369">
        <f t="shared" si="43"/>
        <v>5869625.1599999992</v>
      </c>
      <c r="AT1369" t="s">
        <v>82</v>
      </c>
    </row>
    <row r="1370" spans="1:46" x14ac:dyDescent="0.35">
      <c r="A1370" t="s">
        <v>52</v>
      </c>
      <c r="B1370" t="s">
        <v>53</v>
      </c>
      <c r="C1370" t="s">
        <v>54</v>
      </c>
      <c r="D1370" t="s">
        <v>55</v>
      </c>
      <c r="E1370" t="s">
        <v>56</v>
      </c>
      <c r="F1370" t="s">
        <v>4171</v>
      </c>
      <c r="G1370" t="s">
        <v>4183</v>
      </c>
      <c r="H1370" t="s">
        <v>153</v>
      </c>
      <c r="I1370" t="s">
        <v>4222</v>
      </c>
      <c r="J1370" t="s">
        <v>56</v>
      </c>
      <c r="K1370" t="s">
        <v>62</v>
      </c>
      <c r="L1370" t="s">
        <v>56</v>
      </c>
      <c r="M1370" t="s">
        <v>56</v>
      </c>
      <c r="N1370" t="s">
        <v>155</v>
      </c>
      <c r="O1370" t="s">
        <v>1122</v>
      </c>
      <c r="P1370" t="s">
        <v>1123</v>
      </c>
      <c r="Q1370" t="s">
        <v>114</v>
      </c>
      <c r="R1370" t="s">
        <v>67</v>
      </c>
      <c r="S1370">
        <v>5000000</v>
      </c>
      <c r="T1370">
        <v>-2557629.92</v>
      </c>
      <c r="U1370" t="s">
        <v>68</v>
      </c>
      <c r="V1370" t="s">
        <v>4173</v>
      </c>
      <c r="W1370" s="9">
        <v>60601657</v>
      </c>
      <c r="X1370" t="s">
        <v>4231</v>
      </c>
      <c r="Y1370" s="1">
        <v>45589</v>
      </c>
      <c r="Z1370" s="1">
        <v>45619</v>
      </c>
      <c r="AA1370" s="2">
        <v>177000</v>
      </c>
      <c r="AB1370" s="2">
        <v>150000</v>
      </c>
      <c r="AC1370" s="2">
        <v>27000</v>
      </c>
      <c r="AD1370" s="2">
        <v>171654.1</v>
      </c>
      <c r="AE1370" t="s">
        <v>4232</v>
      </c>
      <c r="AF1370" t="s">
        <v>72</v>
      </c>
      <c r="AG1370">
        <v>459</v>
      </c>
      <c r="AH1370" t="s">
        <v>473</v>
      </c>
      <c r="AI1370" t="s">
        <v>74</v>
      </c>
      <c r="AJ1370" t="s">
        <v>75</v>
      </c>
      <c r="AK1370" t="s">
        <v>102</v>
      </c>
      <c r="AL1370" t="s">
        <v>77</v>
      </c>
      <c r="AM1370" t="s">
        <v>103</v>
      </c>
      <c r="AN1370" t="s">
        <v>2346</v>
      </c>
      <c r="AO1370" t="s">
        <v>80</v>
      </c>
      <c r="AP1370" t="e">
        <v>#N/A</v>
      </c>
      <c r="AQ1370" t="s">
        <v>105</v>
      </c>
      <c r="AR1370" t="str">
        <f t="shared" si="42"/>
        <v>60601657.STATEQ</v>
      </c>
      <c r="AS1370">
        <f t="shared" si="43"/>
        <v>5869625.1599999992</v>
      </c>
      <c r="AT1370" t="s">
        <v>82</v>
      </c>
    </row>
    <row r="1371" spans="1:46" x14ac:dyDescent="0.35">
      <c r="A1371" t="s">
        <v>52</v>
      </c>
      <c r="B1371" t="s">
        <v>53</v>
      </c>
      <c r="C1371" t="s">
        <v>54</v>
      </c>
      <c r="D1371" t="s">
        <v>55</v>
      </c>
      <c r="E1371" t="s">
        <v>56</v>
      </c>
      <c r="F1371" t="s">
        <v>4171</v>
      </c>
      <c r="G1371" t="s">
        <v>4183</v>
      </c>
      <c r="H1371" t="s">
        <v>153</v>
      </c>
      <c r="I1371" t="s">
        <v>4222</v>
      </c>
      <c r="J1371" t="s">
        <v>56</v>
      </c>
      <c r="K1371" t="s">
        <v>62</v>
      </c>
      <c r="L1371" t="s">
        <v>56</v>
      </c>
      <c r="M1371" t="s">
        <v>56</v>
      </c>
      <c r="N1371" t="s">
        <v>155</v>
      </c>
      <c r="O1371" t="s">
        <v>1122</v>
      </c>
      <c r="P1371" t="s">
        <v>1123</v>
      </c>
      <c r="Q1371" t="s">
        <v>114</v>
      </c>
      <c r="R1371" t="s">
        <v>67</v>
      </c>
      <c r="S1371">
        <v>5000000</v>
      </c>
      <c r="T1371">
        <v>-2557629.92</v>
      </c>
      <c r="U1371" t="s">
        <v>68</v>
      </c>
      <c r="V1371" t="s">
        <v>4173</v>
      </c>
      <c r="W1371" s="9">
        <v>60601657</v>
      </c>
      <c r="X1371" t="s">
        <v>4233</v>
      </c>
      <c r="Y1371" s="1">
        <v>45589</v>
      </c>
      <c r="Z1371" s="1">
        <v>45619</v>
      </c>
      <c r="AA1371" s="2">
        <v>118000</v>
      </c>
      <c r="AB1371" s="2">
        <v>100000</v>
      </c>
      <c r="AC1371" s="2">
        <v>18000</v>
      </c>
      <c r="AD1371" s="2">
        <v>118000</v>
      </c>
      <c r="AE1371" t="s">
        <v>4234</v>
      </c>
      <c r="AF1371" t="s">
        <v>72</v>
      </c>
      <c r="AG1371">
        <v>459</v>
      </c>
      <c r="AH1371" t="s">
        <v>473</v>
      </c>
      <c r="AI1371" t="s">
        <v>74</v>
      </c>
      <c r="AJ1371" t="s">
        <v>75</v>
      </c>
      <c r="AK1371" t="s">
        <v>102</v>
      </c>
      <c r="AL1371" t="s">
        <v>77</v>
      </c>
      <c r="AM1371" t="s">
        <v>103</v>
      </c>
      <c r="AN1371" t="s">
        <v>2346</v>
      </c>
      <c r="AO1371" t="s">
        <v>80</v>
      </c>
      <c r="AP1371" t="e">
        <v>#N/A</v>
      </c>
      <c r="AQ1371" t="s">
        <v>105</v>
      </c>
      <c r="AR1371" t="str">
        <f t="shared" si="42"/>
        <v>60601657.STATEQ</v>
      </c>
      <c r="AS1371">
        <f t="shared" si="43"/>
        <v>5869625.1599999992</v>
      </c>
      <c r="AT1371" t="s">
        <v>82</v>
      </c>
    </row>
    <row r="1372" spans="1:46" x14ac:dyDescent="0.35">
      <c r="A1372" t="s">
        <v>52</v>
      </c>
      <c r="B1372" t="s">
        <v>53</v>
      </c>
      <c r="C1372" t="s">
        <v>54</v>
      </c>
      <c r="D1372" t="s">
        <v>55</v>
      </c>
      <c r="E1372" t="s">
        <v>56</v>
      </c>
      <c r="F1372" t="s">
        <v>4235</v>
      </c>
      <c r="G1372" t="s">
        <v>4236</v>
      </c>
      <c r="H1372" t="s">
        <v>111</v>
      </c>
      <c r="I1372" t="s">
        <v>4237</v>
      </c>
      <c r="J1372" t="s">
        <v>56</v>
      </c>
      <c r="K1372" t="s">
        <v>62</v>
      </c>
      <c r="L1372" t="s">
        <v>56</v>
      </c>
      <c r="M1372" t="s">
        <v>56</v>
      </c>
      <c r="N1372" t="s">
        <v>4238</v>
      </c>
      <c r="O1372" t="s">
        <v>4239</v>
      </c>
      <c r="P1372" t="s">
        <v>4240</v>
      </c>
      <c r="Q1372" t="s">
        <v>114</v>
      </c>
      <c r="R1372" t="s">
        <v>67</v>
      </c>
      <c r="S1372">
        <v>187252972</v>
      </c>
      <c r="T1372">
        <v>166556535.5</v>
      </c>
      <c r="U1372" t="s">
        <v>68</v>
      </c>
      <c r="V1372" t="s">
        <v>4173</v>
      </c>
      <c r="W1372" s="9">
        <v>60604170</v>
      </c>
      <c r="X1372" t="s">
        <v>4241</v>
      </c>
      <c r="Y1372" s="1">
        <v>45405</v>
      </c>
      <c r="Z1372" s="1">
        <v>45435</v>
      </c>
      <c r="AA1372" s="2">
        <v>96901600</v>
      </c>
      <c r="AB1372" s="2">
        <v>82120000</v>
      </c>
      <c r="AC1372" s="2">
        <v>14781600</v>
      </c>
      <c r="AD1372" s="2">
        <v>14042520</v>
      </c>
      <c r="AE1372" t="s">
        <v>4242</v>
      </c>
      <c r="AF1372" t="s">
        <v>72</v>
      </c>
      <c r="AG1372">
        <v>643</v>
      </c>
      <c r="AH1372" t="s">
        <v>473</v>
      </c>
      <c r="AI1372" t="s">
        <v>74</v>
      </c>
      <c r="AJ1372" t="s">
        <v>75</v>
      </c>
      <c r="AK1372" t="s">
        <v>102</v>
      </c>
      <c r="AL1372" t="s">
        <v>77</v>
      </c>
      <c r="AM1372" t="s">
        <v>103</v>
      </c>
      <c r="AN1372" t="s">
        <v>2346</v>
      </c>
      <c r="AO1372" t="s">
        <v>80</v>
      </c>
      <c r="AP1372" t="e">
        <v>#N/A</v>
      </c>
      <c r="AQ1372" t="s">
        <v>105</v>
      </c>
      <c r="AR1372" t="str">
        <f t="shared" si="42"/>
        <v>60604170.STATEQ</v>
      </c>
      <c r="AS1372">
        <f t="shared" si="43"/>
        <v>20696436.5</v>
      </c>
      <c r="AT1372" t="s">
        <v>82</v>
      </c>
    </row>
    <row r="1373" spans="1:46" x14ac:dyDescent="0.35">
      <c r="A1373" t="s">
        <v>52</v>
      </c>
      <c r="B1373" t="s">
        <v>53</v>
      </c>
      <c r="C1373" t="s">
        <v>54</v>
      </c>
      <c r="D1373" t="s">
        <v>55</v>
      </c>
      <c r="E1373" t="s">
        <v>56</v>
      </c>
      <c r="F1373" t="s">
        <v>4235</v>
      </c>
      <c r="G1373" t="s">
        <v>4236</v>
      </c>
      <c r="H1373" t="s">
        <v>153</v>
      </c>
      <c r="I1373" t="s">
        <v>4243</v>
      </c>
      <c r="J1373" t="s">
        <v>56</v>
      </c>
      <c r="K1373" t="s">
        <v>62</v>
      </c>
      <c r="L1373" t="s">
        <v>56</v>
      </c>
      <c r="M1373" t="s">
        <v>56</v>
      </c>
      <c r="N1373" t="s">
        <v>155</v>
      </c>
      <c r="O1373" t="s">
        <v>4239</v>
      </c>
      <c r="P1373" t="s">
        <v>4240</v>
      </c>
      <c r="Q1373" t="s">
        <v>114</v>
      </c>
      <c r="R1373" t="s">
        <v>67</v>
      </c>
      <c r="S1373">
        <v>187252972</v>
      </c>
      <c r="T1373">
        <v>166556535.5</v>
      </c>
      <c r="U1373" t="s">
        <v>68</v>
      </c>
      <c r="V1373" t="s">
        <v>4173</v>
      </c>
      <c r="W1373" s="9">
        <v>60604170</v>
      </c>
      <c r="X1373" t="s">
        <v>4244</v>
      </c>
      <c r="Y1373" s="1">
        <v>45412</v>
      </c>
      <c r="Z1373" s="1">
        <v>45442</v>
      </c>
      <c r="AA1373" s="2">
        <v>2788493.4</v>
      </c>
      <c r="AB1373" s="2">
        <v>2363130</v>
      </c>
      <c r="AC1373" s="2">
        <v>425363.4</v>
      </c>
      <c r="AD1373" s="2">
        <v>404102.1</v>
      </c>
      <c r="AE1373" t="s">
        <v>4245</v>
      </c>
      <c r="AF1373" t="s">
        <v>72</v>
      </c>
      <c r="AG1373">
        <v>636</v>
      </c>
      <c r="AH1373" t="s">
        <v>473</v>
      </c>
      <c r="AI1373" t="s">
        <v>74</v>
      </c>
      <c r="AJ1373" t="s">
        <v>75</v>
      </c>
      <c r="AK1373" t="s">
        <v>102</v>
      </c>
      <c r="AL1373" t="s">
        <v>77</v>
      </c>
      <c r="AM1373" t="s">
        <v>103</v>
      </c>
      <c r="AN1373" t="s">
        <v>2346</v>
      </c>
      <c r="AO1373" t="s">
        <v>80</v>
      </c>
      <c r="AP1373" t="e">
        <v>#N/A</v>
      </c>
      <c r="AQ1373" t="s">
        <v>105</v>
      </c>
      <c r="AR1373" t="str">
        <f t="shared" si="42"/>
        <v>60604170.STATEQ</v>
      </c>
      <c r="AS1373">
        <f t="shared" si="43"/>
        <v>20696436.5</v>
      </c>
      <c r="AT1373" t="s">
        <v>82</v>
      </c>
    </row>
    <row r="1374" spans="1:46" x14ac:dyDescent="0.35">
      <c r="A1374" t="s">
        <v>52</v>
      </c>
      <c r="B1374" t="s">
        <v>53</v>
      </c>
      <c r="C1374" t="s">
        <v>54</v>
      </c>
      <c r="D1374" t="s">
        <v>55</v>
      </c>
      <c r="E1374" t="s">
        <v>56</v>
      </c>
      <c r="F1374" t="s">
        <v>4235</v>
      </c>
      <c r="G1374" t="s">
        <v>4236</v>
      </c>
      <c r="H1374" t="s">
        <v>153</v>
      </c>
      <c r="I1374" t="s">
        <v>4243</v>
      </c>
      <c r="J1374" t="s">
        <v>56</v>
      </c>
      <c r="K1374" t="s">
        <v>62</v>
      </c>
      <c r="L1374" t="s">
        <v>56</v>
      </c>
      <c r="M1374" t="s">
        <v>56</v>
      </c>
      <c r="N1374" t="s">
        <v>155</v>
      </c>
      <c r="O1374" t="s">
        <v>4239</v>
      </c>
      <c r="P1374" t="s">
        <v>4240</v>
      </c>
      <c r="Q1374" t="s">
        <v>114</v>
      </c>
      <c r="R1374" t="s">
        <v>67</v>
      </c>
      <c r="S1374">
        <v>187252972</v>
      </c>
      <c r="T1374">
        <v>166556535.5</v>
      </c>
      <c r="U1374" t="s">
        <v>68</v>
      </c>
      <c r="V1374" t="s">
        <v>4173</v>
      </c>
      <c r="W1374" s="9">
        <v>60604170</v>
      </c>
      <c r="X1374" t="s">
        <v>4246</v>
      </c>
      <c r="Y1374" s="1">
        <v>45414</v>
      </c>
      <c r="Z1374" s="1">
        <v>45444</v>
      </c>
      <c r="AA1374" s="2">
        <v>1066566.6000000001</v>
      </c>
      <c r="AB1374" s="2">
        <v>903870</v>
      </c>
      <c r="AC1374" s="2">
        <v>162696.6</v>
      </c>
      <c r="AD1374" s="2">
        <v>155505.9</v>
      </c>
      <c r="AE1374" t="s">
        <v>4247</v>
      </c>
      <c r="AF1374" t="s">
        <v>72</v>
      </c>
      <c r="AG1374">
        <v>634</v>
      </c>
      <c r="AH1374" t="s">
        <v>473</v>
      </c>
      <c r="AI1374" t="s">
        <v>74</v>
      </c>
      <c r="AJ1374" t="s">
        <v>75</v>
      </c>
      <c r="AK1374" t="s">
        <v>102</v>
      </c>
      <c r="AL1374" t="s">
        <v>77</v>
      </c>
      <c r="AM1374" t="s">
        <v>103</v>
      </c>
      <c r="AN1374" t="s">
        <v>2346</v>
      </c>
      <c r="AO1374" t="s">
        <v>80</v>
      </c>
      <c r="AP1374" t="e">
        <v>#N/A</v>
      </c>
      <c r="AQ1374" t="s">
        <v>105</v>
      </c>
      <c r="AR1374" t="str">
        <f t="shared" si="42"/>
        <v>60604170.STATEQ</v>
      </c>
      <c r="AS1374">
        <f t="shared" si="43"/>
        <v>20696436.5</v>
      </c>
      <c r="AT1374" t="s">
        <v>82</v>
      </c>
    </row>
    <row r="1375" spans="1:46" x14ac:dyDescent="0.35">
      <c r="A1375" t="s">
        <v>52</v>
      </c>
      <c r="B1375" t="s">
        <v>53</v>
      </c>
      <c r="C1375" t="s">
        <v>54</v>
      </c>
      <c r="D1375" t="s">
        <v>55</v>
      </c>
      <c r="E1375" t="s">
        <v>56</v>
      </c>
      <c r="F1375" t="s">
        <v>4235</v>
      </c>
      <c r="G1375" t="s">
        <v>4236</v>
      </c>
      <c r="H1375" t="s">
        <v>153</v>
      </c>
      <c r="I1375" t="s">
        <v>4248</v>
      </c>
      <c r="J1375" t="s">
        <v>56</v>
      </c>
      <c r="K1375" t="s">
        <v>62</v>
      </c>
      <c r="L1375" t="s">
        <v>56</v>
      </c>
      <c r="M1375" t="s">
        <v>56</v>
      </c>
      <c r="N1375" t="s">
        <v>155</v>
      </c>
      <c r="O1375" t="s">
        <v>2571</v>
      </c>
      <c r="P1375" t="s">
        <v>2572</v>
      </c>
      <c r="Q1375" t="s">
        <v>114</v>
      </c>
      <c r="R1375" t="s">
        <v>67</v>
      </c>
      <c r="S1375">
        <v>187252972</v>
      </c>
      <c r="T1375">
        <v>166556535.5</v>
      </c>
      <c r="U1375" t="s">
        <v>68</v>
      </c>
      <c r="V1375" t="s">
        <v>4173</v>
      </c>
      <c r="W1375" s="9">
        <v>60604170</v>
      </c>
      <c r="X1375" t="s">
        <v>4249</v>
      </c>
      <c r="Y1375" s="1">
        <v>45457</v>
      </c>
      <c r="Z1375" s="1">
        <v>45487</v>
      </c>
      <c r="AA1375" s="2">
        <v>287625</v>
      </c>
      <c r="AB1375" s="2">
        <v>243750</v>
      </c>
      <c r="AC1375" s="2">
        <v>43875</v>
      </c>
      <c r="AD1375" s="2">
        <v>90192.5</v>
      </c>
      <c r="AE1375" t="s">
        <v>4250</v>
      </c>
      <c r="AF1375" t="s">
        <v>72</v>
      </c>
      <c r="AG1375">
        <v>591</v>
      </c>
      <c r="AH1375" t="s">
        <v>473</v>
      </c>
      <c r="AI1375" t="s">
        <v>74</v>
      </c>
      <c r="AJ1375" t="s">
        <v>75</v>
      </c>
      <c r="AK1375" t="s">
        <v>102</v>
      </c>
      <c r="AL1375" t="s">
        <v>77</v>
      </c>
      <c r="AM1375" t="s">
        <v>103</v>
      </c>
      <c r="AN1375" t="s">
        <v>2346</v>
      </c>
      <c r="AO1375" t="s">
        <v>80</v>
      </c>
      <c r="AP1375" t="e">
        <v>#N/A</v>
      </c>
      <c r="AQ1375" t="s">
        <v>105</v>
      </c>
      <c r="AR1375" t="str">
        <f t="shared" si="42"/>
        <v>60604170.STATEQ</v>
      </c>
      <c r="AS1375">
        <f t="shared" si="43"/>
        <v>20696436.5</v>
      </c>
      <c r="AT1375" t="s">
        <v>82</v>
      </c>
    </row>
    <row r="1376" spans="1:46" x14ac:dyDescent="0.35">
      <c r="A1376" t="s">
        <v>52</v>
      </c>
      <c r="B1376" t="s">
        <v>53</v>
      </c>
      <c r="C1376" t="s">
        <v>54</v>
      </c>
      <c r="D1376" t="s">
        <v>55</v>
      </c>
      <c r="E1376" t="s">
        <v>56</v>
      </c>
      <c r="F1376" t="s">
        <v>4235</v>
      </c>
      <c r="G1376" t="s">
        <v>4236</v>
      </c>
      <c r="H1376" t="s">
        <v>153</v>
      </c>
      <c r="I1376" t="s">
        <v>4243</v>
      </c>
      <c r="J1376" t="s">
        <v>56</v>
      </c>
      <c r="K1376" t="s">
        <v>62</v>
      </c>
      <c r="L1376" t="s">
        <v>56</v>
      </c>
      <c r="M1376" t="s">
        <v>56</v>
      </c>
      <c r="N1376" t="s">
        <v>155</v>
      </c>
      <c r="O1376" t="s">
        <v>4239</v>
      </c>
      <c r="P1376" t="s">
        <v>4240</v>
      </c>
      <c r="Q1376" t="s">
        <v>114</v>
      </c>
      <c r="R1376" t="s">
        <v>67</v>
      </c>
      <c r="S1376">
        <v>187252972</v>
      </c>
      <c r="T1376">
        <v>166556535.5</v>
      </c>
      <c r="U1376" t="s">
        <v>68</v>
      </c>
      <c r="V1376" t="s">
        <v>4173</v>
      </c>
      <c r="W1376" s="9">
        <v>60604170</v>
      </c>
      <c r="X1376" t="s">
        <v>4251</v>
      </c>
      <c r="Y1376" s="1">
        <v>45461</v>
      </c>
      <c r="Z1376" s="1">
        <v>45491</v>
      </c>
      <c r="AA1376" s="2">
        <v>472000</v>
      </c>
      <c r="AB1376" s="2">
        <v>400000</v>
      </c>
      <c r="AC1376" s="2">
        <v>72000</v>
      </c>
      <c r="AD1376" s="2">
        <v>68400</v>
      </c>
      <c r="AE1376" t="s">
        <v>4252</v>
      </c>
      <c r="AF1376" t="s">
        <v>72</v>
      </c>
      <c r="AG1376">
        <v>587</v>
      </c>
      <c r="AH1376" t="s">
        <v>473</v>
      </c>
      <c r="AI1376" t="s">
        <v>74</v>
      </c>
      <c r="AJ1376" t="s">
        <v>75</v>
      </c>
      <c r="AK1376" t="s">
        <v>102</v>
      </c>
      <c r="AL1376" t="s">
        <v>77</v>
      </c>
      <c r="AM1376" t="s">
        <v>103</v>
      </c>
      <c r="AN1376" t="s">
        <v>2346</v>
      </c>
      <c r="AO1376" t="s">
        <v>80</v>
      </c>
      <c r="AP1376" t="e">
        <v>#N/A</v>
      </c>
      <c r="AQ1376" t="s">
        <v>105</v>
      </c>
      <c r="AR1376" t="str">
        <f t="shared" si="42"/>
        <v>60604170.STATEQ</v>
      </c>
      <c r="AS1376">
        <f t="shared" si="43"/>
        <v>20696436.5</v>
      </c>
      <c r="AT1376" t="s">
        <v>82</v>
      </c>
    </row>
    <row r="1377" spans="1:46" x14ac:dyDescent="0.35">
      <c r="A1377" t="s">
        <v>52</v>
      </c>
      <c r="B1377" t="s">
        <v>53</v>
      </c>
      <c r="C1377" t="s">
        <v>54</v>
      </c>
      <c r="D1377" t="s">
        <v>55</v>
      </c>
      <c r="E1377" t="s">
        <v>56</v>
      </c>
      <c r="F1377" t="s">
        <v>4235</v>
      </c>
      <c r="G1377" t="s">
        <v>4236</v>
      </c>
      <c r="H1377" t="s">
        <v>153</v>
      </c>
      <c r="I1377" t="s">
        <v>4243</v>
      </c>
      <c r="J1377" t="s">
        <v>56</v>
      </c>
      <c r="K1377" t="s">
        <v>62</v>
      </c>
      <c r="L1377" t="s">
        <v>56</v>
      </c>
      <c r="M1377" t="s">
        <v>56</v>
      </c>
      <c r="N1377" t="s">
        <v>155</v>
      </c>
      <c r="O1377" t="s">
        <v>4239</v>
      </c>
      <c r="P1377" t="s">
        <v>4240</v>
      </c>
      <c r="Q1377" t="s">
        <v>114</v>
      </c>
      <c r="R1377" t="s">
        <v>67</v>
      </c>
      <c r="S1377">
        <v>187252972</v>
      </c>
      <c r="T1377">
        <v>166556535.5</v>
      </c>
      <c r="U1377" t="s">
        <v>68</v>
      </c>
      <c r="V1377" t="s">
        <v>4173</v>
      </c>
      <c r="W1377" s="9">
        <v>60604170</v>
      </c>
      <c r="X1377" t="s">
        <v>4253</v>
      </c>
      <c r="Y1377" s="1">
        <v>45484</v>
      </c>
      <c r="Z1377" s="1">
        <v>45514</v>
      </c>
      <c r="AA1377" s="2">
        <v>7717200</v>
      </c>
      <c r="AB1377" s="2">
        <v>6540000</v>
      </c>
      <c r="AC1377" s="2">
        <v>1177200</v>
      </c>
      <c r="AD1377" s="2">
        <v>1118340</v>
      </c>
      <c r="AE1377" t="s">
        <v>4254</v>
      </c>
      <c r="AF1377" t="s">
        <v>72</v>
      </c>
      <c r="AG1377">
        <v>564</v>
      </c>
      <c r="AH1377" t="s">
        <v>473</v>
      </c>
      <c r="AI1377" t="s">
        <v>74</v>
      </c>
      <c r="AJ1377" t="s">
        <v>75</v>
      </c>
      <c r="AK1377" t="s">
        <v>102</v>
      </c>
      <c r="AL1377" t="s">
        <v>77</v>
      </c>
      <c r="AM1377" t="s">
        <v>103</v>
      </c>
      <c r="AN1377" t="s">
        <v>2346</v>
      </c>
      <c r="AO1377" t="s">
        <v>80</v>
      </c>
      <c r="AP1377" t="e">
        <v>#N/A</v>
      </c>
      <c r="AQ1377" t="s">
        <v>105</v>
      </c>
      <c r="AR1377" t="str">
        <f t="shared" si="42"/>
        <v>60604170.STATEQ</v>
      </c>
      <c r="AS1377">
        <f t="shared" si="43"/>
        <v>20696436.5</v>
      </c>
      <c r="AT1377" t="s">
        <v>82</v>
      </c>
    </row>
    <row r="1378" spans="1:46" x14ac:dyDescent="0.35">
      <c r="A1378" t="s">
        <v>52</v>
      </c>
      <c r="B1378" t="s">
        <v>53</v>
      </c>
      <c r="C1378" t="s">
        <v>54</v>
      </c>
      <c r="D1378" t="s">
        <v>55</v>
      </c>
      <c r="E1378" t="s">
        <v>56</v>
      </c>
      <c r="F1378" t="s">
        <v>4235</v>
      </c>
      <c r="G1378" t="s">
        <v>4236</v>
      </c>
      <c r="H1378" t="s">
        <v>153</v>
      </c>
      <c r="I1378" t="s">
        <v>4243</v>
      </c>
      <c r="J1378" t="s">
        <v>56</v>
      </c>
      <c r="K1378" t="s">
        <v>62</v>
      </c>
      <c r="L1378" t="s">
        <v>56</v>
      </c>
      <c r="M1378" t="s">
        <v>56</v>
      </c>
      <c r="N1378" t="s">
        <v>155</v>
      </c>
      <c r="O1378" t="s">
        <v>4239</v>
      </c>
      <c r="P1378" t="s">
        <v>4240</v>
      </c>
      <c r="Q1378" t="s">
        <v>114</v>
      </c>
      <c r="R1378" t="s">
        <v>67</v>
      </c>
      <c r="S1378">
        <v>187252972</v>
      </c>
      <c r="T1378">
        <v>166556535.5</v>
      </c>
      <c r="U1378" t="s">
        <v>68</v>
      </c>
      <c r="V1378" t="s">
        <v>4173</v>
      </c>
      <c r="W1378" s="9">
        <v>60604170</v>
      </c>
      <c r="X1378" t="s">
        <v>4255</v>
      </c>
      <c r="Y1378" s="1">
        <v>45485</v>
      </c>
      <c r="Z1378" s="1">
        <v>45515</v>
      </c>
      <c r="AA1378" s="2">
        <v>14030200</v>
      </c>
      <c r="AB1378" s="2">
        <v>11890000</v>
      </c>
      <c r="AC1378" s="2">
        <v>2140200</v>
      </c>
      <c r="AD1378" s="2">
        <v>2033190</v>
      </c>
      <c r="AE1378" t="s">
        <v>4256</v>
      </c>
      <c r="AF1378" t="s">
        <v>72</v>
      </c>
      <c r="AG1378">
        <v>563</v>
      </c>
      <c r="AH1378" t="s">
        <v>473</v>
      </c>
      <c r="AI1378" t="s">
        <v>74</v>
      </c>
      <c r="AJ1378" t="s">
        <v>75</v>
      </c>
      <c r="AK1378" t="s">
        <v>102</v>
      </c>
      <c r="AL1378" t="s">
        <v>77</v>
      </c>
      <c r="AM1378" t="s">
        <v>103</v>
      </c>
      <c r="AN1378" t="s">
        <v>2346</v>
      </c>
      <c r="AO1378" t="s">
        <v>80</v>
      </c>
      <c r="AP1378" t="e">
        <v>#N/A</v>
      </c>
      <c r="AQ1378" t="s">
        <v>105</v>
      </c>
      <c r="AR1378" t="str">
        <f t="shared" si="42"/>
        <v>60604170.STATEQ</v>
      </c>
      <c r="AS1378">
        <f t="shared" si="43"/>
        <v>20696436.5</v>
      </c>
      <c r="AT1378" t="s">
        <v>82</v>
      </c>
    </row>
    <row r="1379" spans="1:46" x14ac:dyDescent="0.35">
      <c r="A1379" t="s">
        <v>52</v>
      </c>
      <c r="B1379" t="s">
        <v>53</v>
      </c>
      <c r="C1379" t="s">
        <v>54</v>
      </c>
      <c r="D1379" t="s">
        <v>55</v>
      </c>
      <c r="E1379" t="s">
        <v>56</v>
      </c>
      <c r="F1379" t="s">
        <v>4235</v>
      </c>
      <c r="G1379" t="s">
        <v>4236</v>
      </c>
      <c r="H1379" t="s">
        <v>153</v>
      </c>
      <c r="I1379" t="s">
        <v>4243</v>
      </c>
      <c r="J1379" t="s">
        <v>56</v>
      </c>
      <c r="K1379" t="s">
        <v>62</v>
      </c>
      <c r="L1379" t="s">
        <v>56</v>
      </c>
      <c r="M1379" t="s">
        <v>56</v>
      </c>
      <c r="N1379" t="s">
        <v>155</v>
      </c>
      <c r="O1379" t="s">
        <v>4239</v>
      </c>
      <c r="P1379" t="s">
        <v>4240</v>
      </c>
      <c r="Q1379" t="s">
        <v>114</v>
      </c>
      <c r="R1379" t="s">
        <v>67</v>
      </c>
      <c r="S1379">
        <v>187252972</v>
      </c>
      <c r="T1379">
        <v>166556535.5</v>
      </c>
      <c r="U1379" t="s">
        <v>68</v>
      </c>
      <c r="V1379" t="s">
        <v>4173</v>
      </c>
      <c r="W1379" s="9">
        <v>60604170</v>
      </c>
      <c r="X1379" t="s">
        <v>4257</v>
      </c>
      <c r="Y1379" s="1">
        <v>45485</v>
      </c>
      <c r="Z1379" s="1">
        <v>45515</v>
      </c>
      <c r="AA1379" s="2">
        <v>236000</v>
      </c>
      <c r="AB1379" s="2">
        <v>200000</v>
      </c>
      <c r="AC1379" s="2">
        <v>36000</v>
      </c>
      <c r="AD1379" s="2">
        <v>34200</v>
      </c>
      <c r="AE1379" t="s">
        <v>4258</v>
      </c>
      <c r="AF1379" t="s">
        <v>72</v>
      </c>
      <c r="AG1379">
        <v>563</v>
      </c>
      <c r="AH1379" t="s">
        <v>473</v>
      </c>
      <c r="AI1379" t="s">
        <v>74</v>
      </c>
      <c r="AJ1379" t="s">
        <v>75</v>
      </c>
      <c r="AK1379" t="s">
        <v>102</v>
      </c>
      <c r="AL1379" t="s">
        <v>77</v>
      </c>
      <c r="AM1379" t="s">
        <v>103</v>
      </c>
      <c r="AN1379" t="s">
        <v>2346</v>
      </c>
      <c r="AO1379" t="s">
        <v>80</v>
      </c>
      <c r="AP1379" t="e">
        <v>#N/A</v>
      </c>
      <c r="AQ1379" t="s">
        <v>105</v>
      </c>
      <c r="AR1379" t="str">
        <f t="shared" si="42"/>
        <v>60604170.STATEQ</v>
      </c>
      <c r="AS1379">
        <f t="shared" si="43"/>
        <v>20696436.5</v>
      </c>
      <c r="AT1379" t="s">
        <v>82</v>
      </c>
    </row>
    <row r="1380" spans="1:46" x14ac:dyDescent="0.35">
      <c r="A1380" t="s">
        <v>52</v>
      </c>
      <c r="B1380" t="s">
        <v>53</v>
      </c>
      <c r="C1380" t="s">
        <v>54</v>
      </c>
      <c r="D1380" t="s">
        <v>55</v>
      </c>
      <c r="E1380" t="s">
        <v>56</v>
      </c>
      <c r="F1380" t="s">
        <v>4235</v>
      </c>
      <c r="G1380" t="s">
        <v>4236</v>
      </c>
      <c r="H1380" t="s">
        <v>153</v>
      </c>
      <c r="I1380" t="s">
        <v>4243</v>
      </c>
      <c r="J1380" t="s">
        <v>56</v>
      </c>
      <c r="K1380" t="s">
        <v>62</v>
      </c>
      <c r="L1380" t="s">
        <v>56</v>
      </c>
      <c r="M1380" t="s">
        <v>56</v>
      </c>
      <c r="N1380" t="s">
        <v>155</v>
      </c>
      <c r="O1380" t="s">
        <v>4239</v>
      </c>
      <c r="P1380" t="s">
        <v>4240</v>
      </c>
      <c r="Q1380" t="s">
        <v>114</v>
      </c>
      <c r="R1380" t="s">
        <v>67</v>
      </c>
      <c r="S1380">
        <v>187252972</v>
      </c>
      <c r="T1380">
        <v>166556535.5</v>
      </c>
      <c r="U1380" t="s">
        <v>68</v>
      </c>
      <c r="V1380" t="s">
        <v>4173</v>
      </c>
      <c r="W1380" s="9">
        <v>60604170</v>
      </c>
      <c r="X1380" t="s">
        <v>4259</v>
      </c>
      <c r="Y1380" s="1">
        <v>45485</v>
      </c>
      <c r="Z1380" s="1">
        <v>45515</v>
      </c>
      <c r="AA1380" s="2">
        <v>236000</v>
      </c>
      <c r="AB1380" s="2">
        <v>200000</v>
      </c>
      <c r="AC1380" s="2">
        <v>36000</v>
      </c>
      <c r="AD1380" s="2">
        <v>34200</v>
      </c>
      <c r="AE1380" t="s">
        <v>4260</v>
      </c>
      <c r="AF1380" t="s">
        <v>72</v>
      </c>
      <c r="AG1380">
        <v>563</v>
      </c>
      <c r="AH1380" t="s">
        <v>473</v>
      </c>
      <c r="AI1380" t="s">
        <v>74</v>
      </c>
      <c r="AJ1380" t="s">
        <v>75</v>
      </c>
      <c r="AK1380" t="s">
        <v>102</v>
      </c>
      <c r="AL1380" t="s">
        <v>77</v>
      </c>
      <c r="AM1380" t="s">
        <v>103</v>
      </c>
      <c r="AN1380" t="s">
        <v>2346</v>
      </c>
      <c r="AO1380" t="s">
        <v>80</v>
      </c>
      <c r="AP1380" t="e">
        <v>#N/A</v>
      </c>
      <c r="AQ1380" t="s">
        <v>105</v>
      </c>
      <c r="AR1380" t="str">
        <f t="shared" si="42"/>
        <v>60604170.STATEQ</v>
      </c>
      <c r="AS1380">
        <f t="shared" si="43"/>
        <v>20696436.5</v>
      </c>
      <c r="AT1380" t="s">
        <v>82</v>
      </c>
    </row>
    <row r="1381" spans="1:46" x14ac:dyDescent="0.35">
      <c r="A1381" t="s">
        <v>52</v>
      </c>
      <c r="B1381" t="s">
        <v>53</v>
      </c>
      <c r="C1381" t="s">
        <v>54</v>
      </c>
      <c r="D1381" t="s">
        <v>55</v>
      </c>
      <c r="E1381" t="s">
        <v>56</v>
      </c>
      <c r="F1381" t="s">
        <v>4235</v>
      </c>
      <c r="G1381" t="s">
        <v>4236</v>
      </c>
      <c r="H1381" t="s">
        <v>153</v>
      </c>
      <c r="I1381" t="s">
        <v>4261</v>
      </c>
      <c r="J1381" t="s">
        <v>56</v>
      </c>
      <c r="K1381" t="s">
        <v>62</v>
      </c>
      <c r="L1381" t="s">
        <v>56</v>
      </c>
      <c r="M1381" t="s">
        <v>56</v>
      </c>
      <c r="N1381" t="s">
        <v>155</v>
      </c>
      <c r="O1381" t="s">
        <v>4239</v>
      </c>
      <c r="P1381" t="s">
        <v>4240</v>
      </c>
      <c r="Q1381" t="s">
        <v>114</v>
      </c>
      <c r="R1381" t="s">
        <v>67</v>
      </c>
      <c r="S1381">
        <v>187252972</v>
      </c>
      <c r="T1381">
        <v>166556535.5</v>
      </c>
      <c r="U1381" t="s">
        <v>68</v>
      </c>
      <c r="V1381" t="s">
        <v>4173</v>
      </c>
      <c r="W1381" s="9">
        <v>60604170</v>
      </c>
      <c r="X1381" t="s">
        <v>4262</v>
      </c>
      <c r="Y1381" s="1">
        <v>45509</v>
      </c>
      <c r="Z1381" s="1">
        <v>45539</v>
      </c>
      <c r="AA1381" s="2">
        <v>100300</v>
      </c>
      <c r="AB1381" s="2">
        <v>85000</v>
      </c>
      <c r="AC1381" s="2">
        <v>15300</v>
      </c>
      <c r="AD1381" s="2">
        <v>22950</v>
      </c>
      <c r="AE1381" t="s">
        <v>4263</v>
      </c>
      <c r="AF1381" t="s">
        <v>72</v>
      </c>
      <c r="AG1381">
        <v>539</v>
      </c>
      <c r="AH1381" t="s">
        <v>473</v>
      </c>
      <c r="AI1381" t="s">
        <v>74</v>
      </c>
      <c r="AJ1381" t="s">
        <v>75</v>
      </c>
      <c r="AK1381" t="s">
        <v>102</v>
      </c>
      <c r="AL1381" t="s">
        <v>77</v>
      </c>
      <c r="AM1381" t="s">
        <v>103</v>
      </c>
      <c r="AN1381" t="s">
        <v>2346</v>
      </c>
      <c r="AO1381" t="s">
        <v>80</v>
      </c>
      <c r="AP1381" t="e">
        <v>#N/A</v>
      </c>
      <c r="AQ1381" t="s">
        <v>105</v>
      </c>
      <c r="AR1381" t="str">
        <f t="shared" si="42"/>
        <v>60604170.STATEQ</v>
      </c>
      <c r="AS1381">
        <f t="shared" si="43"/>
        <v>20696436.5</v>
      </c>
      <c r="AT1381" t="s">
        <v>82</v>
      </c>
    </row>
    <row r="1382" spans="1:46" x14ac:dyDescent="0.35">
      <c r="A1382" t="s">
        <v>52</v>
      </c>
      <c r="B1382" t="s">
        <v>53</v>
      </c>
      <c r="C1382" t="s">
        <v>54</v>
      </c>
      <c r="D1382" t="s">
        <v>55</v>
      </c>
      <c r="E1382" t="s">
        <v>56</v>
      </c>
      <c r="F1382" t="s">
        <v>4235</v>
      </c>
      <c r="G1382" t="s">
        <v>4236</v>
      </c>
      <c r="H1382" t="s">
        <v>153</v>
      </c>
      <c r="I1382" t="s">
        <v>4261</v>
      </c>
      <c r="J1382" t="s">
        <v>56</v>
      </c>
      <c r="K1382" t="s">
        <v>62</v>
      </c>
      <c r="L1382" t="s">
        <v>56</v>
      </c>
      <c r="M1382" t="s">
        <v>56</v>
      </c>
      <c r="N1382" t="s">
        <v>155</v>
      </c>
      <c r="O1382" t="s">
        <v>4239</v>
      </c>
      <c r="P1382" t="s">
        <v>4240</v>
      </c>
      <c r="Q1382" t="s">
        <v>114</v>
      </c>
      <c r="R1382" t="s">
        <v>67</v>
      </c>
      <c r="S1382">
        <v>187252972</v>
      </c>
      <c r="T1382">
        <v>166556535.5</v>
      </c>
      <c r="U1382" t="s">
        <v>68</v>
      </c>
      <c r="V1382" t="s">
        <v>4173</v>
      </c>
      <c r="W1382" s="9">
        <v>60604170</v>
      </c>
      <c r="X1382" t="s">
        <v>4264</v>
      </c>
      <c r="Y1382" s="1">
        <v>45509</v>
      </c>
      <c r="Z1382" s="1">
        <v>45539</v>
      </c>
      <c r="AA1382" s="2">
        <v>186440</v>
      </c>
      <c r="AB1382" s="2">
        <v>158000</v>
      </c>
      <c r="AC1382" s="2">
        <v>28440</v>
      </c>
      <c r="AD1382" s="2">
        <v>42660</v>
      </c>
      <c r="AE1382" t="s">
        <v>4265</v>
      </c>
      <c r="AF1382" t="s">
        <v>72</v>
      </c>
      <c r="AG1382">
        <v>539</v>
      </c>
      <c r="AH1382" t="s">
        <v>473</v>
      </c>
      <c r="AI1382" t="s">
        <v>74</v>
      </c>
      <c r="AJ1382" t="s">
        <v>75</v>
      </c>
      <c r="AK1382" t="s">
        <v>102</v>
      </c>
      <c r="AL1382" t="s">
        <v>77</v>
      </c>
      <c r="AM1382" t="s">
        <v>103</v>
      </c>
      <c r="AN1382" t="s">
        <v>2346</v>
      </c>
      <c r="AO1382" t="s">
        <v>80</v>
      </c>
      <c r="AP1382" t="e">
        <v>#N/A</v>
      </c>
      <c r="AQ1382" t="s">
        <v>105</v>
      </c>
      <c r="AR1382" t="str">
        <f t="shared" si="42"/>
        <v>60604170.STATEQ</v>
      </c>
      <c r="AS1382">
        <f t="shared" si="43"/>
        <v>20696436.5</v>
      </c>
      <c r="AT1382" t="s">
        <v>82</v>
      </c>
    </row>
    <row r="1383" spans="1:46" x14ac:dyDescent="0.35">
      <c r="A1383" t="s">
        <v>52</v>
      </c>
      <c r="B1383" t="s">
        <v>53</v>
      </c>
      <c r="C1383" t="s">
        <v>54</v>
      </c>
      <c r="D1383" t="s">
        <v>55</v>
      </c>
      <c r="E1383" t="s">
        <v>56</v>
      </c>
      <c r="F1383" t="s">
        <v>4235</v>
      </c>
      <c r="G1383" t="s">
        <v>4236</v>
      </c>
      <c r="H1383" t="s">
        <v>153</v>
      </c>
      <c r="I1383" t="s">
        <v>4261</v>
      </c>
      <c r="J1383" t="s">
        <v>56</v>
      </c>
      <c r="K1383" t="s">
        <v>62</v>
      </c>
      <c r="L1383" t="s">
        <v>56</v>
      </c>
      <c r="M1383" t="s">
        <v>56</v>
      </c>
      <c r="N1383" t="s">
        <v>155</v>
      </c>
      <c r="O1383" t="s">
        <v>4239</v>
      </c>
      <c r="P1383" t="s">
        <v>4240</v>
      </c>
      <c r="Q1383" t="s">
        <v>114</v>
      </c>
      <c r="R1383" t="s">
        <v>67</v>
      </c>
      <c r="S1383">
        <v>187252972</v>
      </c>
      <c r="T1383">
        <v>166556535.5</v>
      </c>
      <c r="U1383" t="s">
        <v>68</v>
      </c>
      <c r="V1383" t="s">
        <v>4173</v>
      </c>
      <c r="W1383" s="9">
        <v>60604170</v>
      </c>
      <c r="X1383" t="s">
        <v>4266</v>
      </c>
      <c r="Y1383" s="1">
        <v>45509</v>
      </c>
      <c r="Z1383" s="1">
        <v>45539</v>
      </c>
      <c r="AA1383" s="2">
        <v>206500</v>
      </c>
      <c r="AB1383" s="2">
        <v>175000</v>
      </c>
      <c r="AC1383" s="2">
        <v>31500</v>
      </c>
      <c r="AD1383" s="2">
        <v>77296</v>
      </c>
      <c r="AE1383" t="s">
        <v>4267</v>
      </c>
      <c r="AF1383" t="s">
        <v>72</v>
      </c>
      <c r="AG1383">
        <v>539</v>
      </c>
      <c r="AH1383" t="s">
        <v>473</v>
      </c>
      <c r="AI1383" t="s">
        <v>74</v>
      </c>
      <c r="AJ1383" t="s">
        <v>75</v>
      </c>
      <c r="AK1383" t="s">
        <v>102</v>
      </c>
      <c r="AL1383" t="s">
        <v>77</v>
      </c>
      <c r="AM1383" t="s">
        <v>103</v>
      </c>
      <c r="AN1383" t="s">
        <v>2346</v>
      </c>
      <c r="AO1383" t="s">
        <v>80</v>
      </c>
      <c r="AP1383" t="e">
        <v>#N/A</v>
      </c>
      <c r="AQ1383" t="s">
        <v>105</v>
      </c>
      <c r="AR1383" t="str">
        <f t="shared" si="42"/>
        <v>60604170.STATEQ</v>
      </c>
      <c r="AS1383">
        <f t="shared" si="43"/>
        <v>20696436.5</v>
      </c>
      <c r="AT1383" t="s">
        <v>82</v>
      </c>
    </row>
    <row r="1384" spans="1:46" x14ac:dyDescent="0.35">
      <c r="A1384" t="s">
        <v>52</v>
      </c>
      <c r="B1384" t="s">
        <v>53</v>
      </c>
      <c r="C1384" t="s">
        <v>54</v>
      </c>
      <c r="D1384" t="s">
        <v>55</v>
      </c>
      <c r="E1384" t="s">
        <v>56</v>
      </c>
      <c r="F1384" t="s">
        <v>4235</v>
      </c>
      <c r="G1384" t="s">
        <v>4236</v>
      </c>
      <c r="H1384" t="s">
        <v>153</v>
      </c>
      <c r="I1384" t="s">
        <v>4261</v>
      </c>
      <c r="J1384" t="s">
        <v>56</v>
      </c>
      <c r="K1384" t="s">
        <v>62</v>
      </c>
      <c r="L1384" t="s">
        <v>56</v>
      </c>
      <c r="M1384" t="s">
        <v>56</v>
      </c>
      <c r="N1384" t="s">
        <v>155</v>
      </c>
      <c r="O1384" t="s">
        <v>4239</v>
      </c>
      <c r="P1384" t="s">
        <v>4240</v>
      </c>
      <c r="Q1384" t="s">
        <v>114</v>
      </c>
      <c r="R1384" t="s">
        <v>67</v>
      </c>
      <c r="S1384">
        <v>187252972</v>
      </c>
      <c r="T1384">
        <v>166556535.5</v>
      </c>
      <c r="U1384" t="s">
        <v>68</v>
      </c>
      <c r="V1384" t="s">
        <v>4173</v>
      </c>
      <c r="W1384" s="9">
        <v>60604170</v>
      </c>
      <c r="X1384" t="s">
        <v>4268</v>
      </c>
      <c r="Y1384" s="1">
        <v>45509</v>
      </c>
      <c r="Z1384" s="1">
        <v>45539</v>
      </c>
      <c r="AA1384" s="2">
        <v>453120</v>
      </c>
      <c r="AB1384" s="2">
        <v>384000</v>
      </c>
      <c r="AC1384" s="2">
        <v>69120</v>
      </c>
      <c r="AD1384" s="2">
        <v>103680</v>
      </c>
      <c r="AE1384" t="s">
        <v>4269</v>
      </c>
      <c r="AF1384" t="s">
        <v>72</v>
      </c>
      <c r="AG1384">
        <v>539</v>
      </c>
      <c r="AH1384" t="s">
        <v>473</v>
      </c>
      <c r="AI1384" t="s">
        <v>74</v>
      </c>
      <c r="AJ1384" t="s">
        <v>75</v>
      </c>
      <c r="AK1384" t="s">
        <v>102</v>
      </c>
      <c r="AL1384" t="s">
        <v>77</v>
      </c>
      <c r="AM1384" t="s">
        <v>103</v>
      </c>
      <c r="AN1384" t="s">
        <v>2346</v>
      </c>
      <c r="AO1384" t="s">
        <v>80</v>
      </c>
      <c r="AP1384" t="e">
        <v>#N/A</v>
      </c>
      <c r="AQ1384" t="s">
        <v>105</v>
      </c>
      <c r="AR1384" t="str">
        <f t="shared" si="42"/>
        <v>60604170.STATEQ</v>
      </c>
      <c r="AS1384">
        <f t="shared" si="43"/>
        <v>20696436.5</v>
      </c>
      <c r="AT1384" t="s">
        <v>82</v>
      </c>
    </row>
    <row r="1385" spans="1:46" x14ac:dyDescent="0.35">
      <c r="A1385" t="s">
        <v>52</v>
      </c>
      <c r="B1385" t="s">
        <v>53</v>
      </c>
      <c r="C1385" t="s">
        <v>54</v>
      </c>
      <c r="D1385" t="s">
        <v>55</v>
      </c>
      <c r="E1385" t="s">
        <v>56</v>
      </c>
      <c r="F1385" t="s">
        <v>4235</v>
      </c>
      <c r="G1385" t="s">
        <v>4236</v>
      </c>
      <c r="H1385" t="s">
        <v>153</v>
      </c>
      <c r="I1385" t="s">
        <v>4243</v>
      </c>
      <c r="J1385" t="s">
        <v>56</v>
      </c>
      <c r="K1385" t="s">
        <v>62</v>
      </c>
      <c r="L1385" t="s">
        <v>56</v>
      </c>
      <c r="M1385" t="s">
        <v>56</v>
      </c>
      <c r="N1385" t="s">
        <v>155</v>
      </c>
      <c r="O1385" t="s">
        <v>4239</v>
      </c>
      <c r="P1385" t="s">
        <v>4240</v>
      </c>
      <c r="Q1385" t="s">
        <v>114</v>
      </c>
      <c r="R1385" t="s">
        <v>67</v>
      </c>
      <c r="S1385">
        <v>187252972</v>
      </c>
      <c r="T1385">
        <v>166556535.5</v>
      </c>
      <c r="U1385" t="s">
        <v>68</v>
      </c>
      <c r="V1385" t="s">
        <v>4173</v>
      </c>
      <c r="W1385" s="9">
        <v>60604170</v>
      </c>
      <c r="X1385" t="s">
        <v>4270</v>
      </c>
      <c r="Y1385" s="1">
        <v>45547</v>
      </c>
      <c r="Z1385" s="1">
        <v>45577</v>
      </c>
      <c r="AA1385" s="2">
        <v>413000</v>
      </c>
      <c r="AB1385" s="2">
        <v>350000</v>
      </c>
      <c r="AC1385" s="2">
        <v>63000</v>
      </c>
      <c r="AD1385" s="2">
        <v>59850</v>
      </c>
      <c r="AE1385" t="s">
        <v>4271</v>
      </c>
      <c r="AF1385" t="s">
        <v>72</v>
      </c>
      <c r="AG1385">
        <v>501</v>
      </c>
      <c r="AH1385" t="s">
        <v>473</v>
      </c>
      <c r="AI1385" t="s">
        <v>74</v>
      </c>
      <c r="AJ1385" t="s">
        <v>75</v>
      </c>
      <c r="AK1385" t="s">
        <v>102</v>
      </c>
      <c r="AL1385" t="s">
        <v>77</v>
      </c>
      <c r="AM1385" t="s">
        <v>103</v>
      </c>
      <c r="AN1385" t="s">
        <v>2346</v>
      </c>
      <c r="AO1385" t="s">
        <v>80</v>
      </c>
      <c r="AP1385" t="e">
        <v>#N/A</v>
      </c>
      <c r="AQ1385" t="s">
        <v>105</v>
      </c>
      <c r="AR1385" t="str">
        <f t="shared" si="42"/>
        <v>60604170.STATEQ</v>
      </c>
      <c r="AS1385">
        <f t="shared" si="43"/>
        <v>20696436.5</v>
      </c>
      <c r="AT1385" t="s">
        <v>82</v>
      </c>
    </row>
    <row r="1386" spans="1:46" x14ac:dyDescent="0.35">
      <c r="A1386" t="s">
        <v>52</v>
      </c>
      <c r="B1386" t="s">
        <v>53</v>
      </c>
      <c r="C1386" t="s">
        <v>54</v>
      </c>
      <c r="D1386" t="s">
        <v>55</v>
      </c>
      <c r="E1386" t="s">
        <v>56</v>
      </c>
      <c r="F1386" t="s">
        <v>4235</v>
      </c>
      <c r="G1386" t="s">
        <v>4236</v>
      </c>
      <c r="H1386" t="s">
        <v>153</v>
      </c>
      <c r="I1386" t="s">
        <v>4243</v>
      </c>
      <c r="J1386" t="s">
        <v>56</v>
      </c>
      <c r="K1386" t="s">
        <v>62</v>
      </c>
      <c r="L1386" t="s">
        <v>56</v>
      </c>
      <c r="M1386" t="s">
        <v>56</v>
      </c>
      <c r="N1386" t="s">
        <v>155</v>
      </c>
      <c r="O1386" t="s">
        <v>4239</v>
      </c>
      <c r="P1386" t="s">
        <v>4240</v>
      </c>
      <c r="Q1386" t="s">
        <v>114</v>
      </c>
      <c r="R1386" t="s">
        <v>67</v>
      </c>
      <c r="S1386">
        <v>187252972</v>
      </c>
      <c r="T1386">
        <v>166556535.5</v>
      </c>
      <c r="U1386" t="s">
        <v>68</v>
      </c>
      <c r="V1386" t="s">
        <v>4173</v>
      </c>
      <c r="W1386" s="9">
        <v>60604170</v>
      </c>
      <c r="X1386" t="s">
        <v>4272</v>
      </c>
      <c r="Y1386" s="1">
        <v>45547</v>
      </c>
      <c r="Z1386" s="1">
        <v>45577</v>
      </c>
      <c r="AA1386" s="2">
        <v>236000</v>
      </c>
      <c r="AB1386" s="2">
        <v>200000</v>
      </c>
      <c r="AC1386" s="2">
        <v>36000</v>
      </c>
      <c r="AD1386" s="2">
        <v>34200</v>
      </c>
      <c r="AE1386" t="s">
        <v>4273</v>
      </c>
      <c r="AF1386" t="s">
        <v>72</v>
      </c>
      <c r="AG1386">
        <v>501</v>
      </c>
      <c r="AH1386" t="s">
        <v>473</v>
      </c>
      <c r="AI1386" t="s">
        <v>74</v>
      </c>
      <c r="AJ1386" t="s">
        <v>75</v>
      </c>
      <c r="AK1386" t="s">
        <v>102</v>
      </c>
      <c r="AL1386" t="s">
        <v>77</v>
      </c>
      <c r="AM1386" t="s">
        <v>103</v>
      </c>
      <c r="AN1386" t="s">
        <v>2346</v>
      </c>
      <c r="AO1386" t="s">
        <v>80</v>
      </c>
      <c r="AP1386" t="e">
        <v>#N/A</v>
      </c>
      <c r="AQ1386" t="s">
        <v>105</v>
      </c>
      <c r="AR1386" t="str">
        <f t="shared" si="42"/>
        <v>60604170.STATEQ</v>
      </c>
      <c r="AS1386">
        <f t="shared" si="43"/>
        <v>20696436.5</v>
      </c>
      <c r="AT1386" t="s">
        <v>82</v>
      </c>
    </row>
    <row r="1387" spans="1:46" x14ac:dyDescent="0.35">
      <c r="A1387" t="s">
        <v>52</v>
      </c>
      <c r="B1387" t="s">
        <v>53</v>
      </c>
      <c r="C1387" t="s">
        <v>54</v>
      </c>
      <c r="D1387" t="s">
        <v>55</v>
      </c>
      <c r="E1387" t="s">
        <v>56</v>
      </c>
      <c r="F1387" t="s">
        <v>4235</v>
      </c>
      <c r="G1387" t="s">
        <v>4236</v>
      </c>
      <c r="H1387" t="s">
        <v>153</v>
      </c>
      <c r="I1387" t="s">
        <v>4243</v>
      </c>
      <c r="J1387" t="s">
        <v>56</v>
      </c>
      <c r="K1387" t="s">
        <v>62</v>
      </c>
      <c r="L1387" t="s">
        <v>56</v>
      </c>
      <c r="M1387" t="s">
        <v>56</v>
      </c>
      <c r="N1387" t="s">
        <v>155</v>
      </c>
      <c r="O1387" t="s">
        <v>4239</v>
      </c>
      <c r="P1387" t="s">
        <v>4240</v>
      </c>
      <c r="Q1387" t="s">
        <v>114</v>
      </c>
      <c r="R1387" t="s">
        <v>67</v>
      </c>
      <c r="S1387">
        <v>187252972</v>
      </c>
      <c r="T1387">
        <v>166556535.5</v>
      </c>
      <c r="U1387" t="s">
        <v>68</v>
      </c>
      <c r="V1387" t="s">
        <v>4173</v>
      </c>
      <c r="W1387" s="9">
        <v>60604170</v>
      </c>
      <c r="X1387" t="s">
        <v>4274</v>
      </c>
      <c r="Y1387" s="1">
        <v>45547</v>
      </c>
      <c r="Z1387" s="1">
        <v>45577</v>
      </c>
      <c r="AA1387" s="2">
        <v>296180</v>
      </c>
      <c r="AB1387" s="2">
        <v>251000</v>
      </c>
      <c r="AC1387" s="2">
        <v>45180</v>
      </c>
      <c r="AD1387" s="2">
        <v>42930</v>
      </c>
      <c r="AE1387" t="s">
        <v>4275</v>
      </c>
      <c r="AF1387" t="s">
        <v>72</v>
      </c>
      <c r="AG1387">
        <v>501</v>
      </c>
      <c r="AH1387" t="s">
        <v>473</v>
      </c>
      <c r="AI1387" t="s">
        <v>74</v>
      </c>
      <c r="AJ1387" t="s">
        <v>75</v>
      </c>
      <c r="AK1387" t="s">
        <v>102</v>
      </c>
      <c r="AL1387" t="s">
        <v>77</v>
      </c>
      <c r="AM1387" t="s">
        <v>103</v>
      </c>
      <c r="AN1387" t="s">
        <v>2346</v>
      </c>
      <c r="AO1387" t="s">
        <v>80</v>
      </c>
      <c r="AP1387" t="e">
        <v>#N/A</v>
      </c>
      <c r="AQ1387" t="s">
        <v>105</v>
      </c>
      <c r="AR1387" t="str">
        <f t="shared" si="42"/>
        <v>60604170.STATEQ</v>
      </c>
      <c r="AS1387">
        <f t="shared" si="43"/>
        <v>20696436.5</v>
      </c>
      <c r="AT1387" t="s">
        <v>82</v>
      </c>
    </row>
    <row r="1388" spans="1:46" x14ac:dyDescent="0.35">
      <c r="A1388" t="s">
        <v>52</v>
      </c>
      <c r="B1388" t="s">
        <v>53</v>
      </c>
      <c r="C1388" t="s">
        <v>54</v>
      </c>
      <c r="D1388" t="s">
        <v>55</v>
      </c>
      <c r="E1388" t="s">
        <v>56</v>
      </c>
      <c r="F1388" t="s">
        <v>4235</v>
      </c>
      <c r="G1388" t="s">
        <v>4236</v>
      </c>
      <c r="H1388" t="s">
        <v>153</v>
      </c>
      <c r="I1388" t="s">
        <v>4243</v>
      </c>
      <c r="J1388" t="s">
        <v>56</v>
      </c>
      <c r="K1388" t="s">
        <v>62</v>
      </c>
      <c r="L1388" t="s">
        <v>56</v>
      </c>
      <c r="M1388" t="s">
        <v>56</v>
      </c>
      <c r="N1388" t="s">
        <v>155</v>
      </c>
      <c r="O1388" t="s">
        <v>4239</v>
      </c>
      <c r="P1388" t="s">
        <v>4240</v>
      </c>
      <c r="Q1388" t="s">
        <v>114</v>
      </c>
      <c r="R1388" t="s">
        <v>67</v>
      </c>
      <c r="S1388">
        <v>187252972</v>
      </c>
      <c r="T1388">
        <v>166556535.5</v>
      </c>
      <c r="U1388" t="s">
        <v>68</v>
      </c>
      <c r="V1388" t="s">
        <v>4173</v>
      </c>
      <c r="W1388" s="9">
        <v>60604170</v>
      </c>
      <c r="X1388" t="s">
        <v>4276</v>
      </c>
      <c r="Y1388" s="1">
        <v>45547</v>
      </c>
      <c r="Z1388" s="1">
        <v>45577</v>
      </c>
      <c r="AA1388" s="2">
        <v>1062000</v>
      </c>
      <c r="AB1388" s="2">
        <v>900000</v>
      </c>
      <c r="AC1388" s="2">
        <v>162000</v>
      </c>
      <c r="AD1388" s="2">
        <v>153900</v>
      </c>
      <c r="AE1388" t="s">
        <v>4277</v>
      </c>
      <c r="AF1388" t="s">
        <v>72</v>
      </c>
      <c r="AG1388">
        <v>501</v>
      </c>
      <c r="AH1388" t="s">
        <v>473</v>
      </c>
      <c r="AI1388" t="s">
        <v>74</v>
      </c>
      <c r="AJ1388" t="s">
        <v>75</v>
      </c>
      <c r="AK1388" t="s">
        <v>102</v>
      </c>
      <c r="AL1388" t="s">
        <v>77</v>
      </c>
      <c r="AM1388" t="s">
        <v>103</v>
      </c>
      <c r="AN1388" t="s">
        <v>2346</v>
      </c>
      <c r="AO1388" t="s">
        <v>80</v>
      </c>
      <c r="AP1388" t="e">
        <v>#N/A</v>
      </c>
      <c r="AQ1388" t="s">
        <v>105</v>
      </c>
      <c r="AR1388" t="str">
        <f t="shared" si="42"/>
        <v>60604170.STATEQ</v>
      </c>
      <c r="AS1388">
        <f t="shared" si="43"/>
        <v>20696436.5</v>
      </c>
      <c r="AT1388" t="s">
        <v>82</v>
      </c>
    </row>
    <row r="1389" spans="1:46" x14ac:dyDescent="0.35">
      <c r="A1389" t="s">
        <v>52</v>
      </c>
      <c r="B1389" t="s">
        <v>53</v>
      </c>
      <c r="C1389" t="s">
        <v>54</v>
      </c>
      <c r="D1389" t="s">
        <v>55</v>
      </c>
      <c r="E1389" t="s">
        <v>56</v>
      </c>
      <c r="F1389" t="s">
        <v>4235</v>
      </c>
      <c r="G1389" t="s">
        <v>4236</v>
      </c>
      <c r="H1389" t="s">
        <v>153</v>
      </c>
      <c r="I1389" t="s">
        <v>4243</v>
      </c>
      <c r="J1389" t="s">
        <v>56</v>
      </c>
      <c r="K1389" t="s">
        <v>62</v>
      </c>
      <c r="L1389" t="s">
        <v>56</v>
      </c>
      <c r="M1389" t="s">
        <v>56</v>
      </c>
      <c r="N1389" t="s">
        <v>155</v>
      </c>
      <c r="O1389" t="s">
        <v>4239</v>
      </c>
      <c r="P1389" t="s">
        <v>4240</v>
      </c>
      <c r="Q1389" t="s">
        <v>114</v>
      </c>
      <c r="R1389" t="s">
        <v>67</v>
      </c>
      <c r="S1389">
        <v>187252972</v>
      </c>
      <c r="T1389">
        <v>166556535.5</v>
      </c>
      <c r="U1389" t="s">
        <v>68</v>
      </c>
      <c r="V1389" t="s">
        <v>4173</v>
      </c>
      <c r="W1389" s="9">
        <v>60604170</v>
      </c>
      <c r="X1389" t="s">
        <v>4278</v>
      </c>
      <c r="Y1389" s="1">
        <v>45583</v>
      </c>
      <c r="Z1389" s="1">
        <v>45613</v>
      </c>
      <c r="AA1389" s="2">
        <v>268800</v>
      </c>
      <c r="AB1389" s="2">
        <v>210000</v>
      </c>
      <c r="AC1389" s="2">
        <v>58800</v>
      </c>
      <c r="AD1389" s="2">
        <v>35910</v>
      </c>
      <c r="AE1389" t="s">
        <v>4279</v>
      </c>
      <c r="AF1389" t="s">
        <v>72</v>
      </c>
      <c r="AG1389">
        <v>465</v>
      </c>
      <c r="AH1389" t="s">
        <v>473</v>
      </c>
      <c r="AI1389" t="s">
        <v>74</v>
      </c>
      <c r="AJ1389" t="s">
        <v>75</v>
      </c>
      <c r="AK1389" t="s">
        <v>102</v>
      </c>
      <c r="AL1389" t="s">
        <v>77</v>
      </c>
      <c r="AM1389" t="s">
        <v>103</v>
      </c>
      <c r="AN1389" t="s">
        <v>2346</v>
      </c>
      <c r="AO1389" t="s">
        <v>80</v>
      </c>
      <c r="AP1389" t="e">
        <v>#N/A</v>
      </c>
      <c r="AQ1389" t="s">
        <v>105</v>
      </c>
      <c r="AR1389" t="str">
        <f t="shared" si="42"/>
        <v>60604170.STATEQ</v>
      </c>
      <c r="AS1389">
        <f t="shared" si="43"/>
        <v>20696436.5</v>
      </c>
      <c r="AT1389" t="s">
        <v>82</v>
      </c>
    </row>
    <row r="1390" spans="1:46" x14ac:dyDescent="0.35">
      <c r="A1390" t="s">
        <v>52</v>
      </c>
      <c r="B1390" t="s">
        <v>53</v>
      </c>
      <c r="C1390" t="s">
        <v>54</v>
      </c>
      <c r="D1390" t="s">
        <v>55</v>
      </c>
      <c r="E1390" t="s">
        <v>56</v>
      </c>
      <c r="F1390" t="s">
        <v>4235</v>
      </c>
      <c r="G1390" t="s">
        <v>4236</v>
      </c>
      <c r="H1390" t="s">
        <v>153</v>
      </c>
      <c r="I1390" t="s">
        <v>4243</v>
      </c>
      <c r="J1390" t="s">
        <v>56</v>
      </c>
      <c r="K1390" t="s">
        <v>62</v>
      </c>
      <c r="L1390" t="s">
        <v>56</v>
      </c>
      <c r="M1390" t="s">
        <v>56</v>
      </c>
      <c r="N1390" t="s">
        <v>155</v>
      </c>
      <c r="O1390" t="s">
        <v>4239</v>
      </c>
      <c r="P1390" t="s">
        <v>4240</v>
      </c>
      <c r="Q1390" t="s">
        <v>114</v>
      </c>
      <c r="R1390" t="s">
        <v>67</v>
      </c>
      <c r="S1390">
        <v>187252972</v>
      </c>
      <c r="T1390">
        <v>166556535.5</v>
      </c>
      <c r="U1390" t="s">
        <v>68</v>
      </c>
      <c r="V1390" t="s">
        <v>4173</v>
      </c>
      <c r="W1390" s="9">
        <v>60604170</v>
      </c>
      <c r="X1390" t="s">
        <v>4280</v>
      </c>
      <c r="Y1390" s="1">
        <v>45600</v>
      </c>
      <c r="Z1390" s="1">
        <v>45630</v>
      </c>
      <c r="AA1390" s="2">
        <v>1312160</v>
      </c>
      <c r="AB1390" s="2">
        <v>1112000</v>
      </c>
      <c r="AC1390" s="2">
        <v>200160</v>
      </c>
      <c r="AD1390" s="2">
        <v>190160</v>
      </c>
      <c r="AE1390" t="s">
        <v>4281</v>
      </c>
      <c r="AF1390" t="s">
        <v>72</v>
      </c>
      <c r="AG1390">
        <v>448</v>
      </c>
      <c r="AH1390" t="s">
        <v>473</v>
      </c>
      <c r="AI1390" t="s">
        <v>74</v>
      </c>
      <c r="AJ1390" t="s">
        <v>75</v>
      </c>
      <c r="AK1390" t="s">
        <v>102</v>
      </c>
      <c r="AL1390" t="s">
        <v>77</v>
      </c>
      <c r="AM1390" t="s">
        <v>103</v>
      </c>
      <c r="AN1390" t="s">
        <v>2346</v>
      </c>
      <c r="AO1390" t="s">
        <v>80</v>
      </c>
      <c r="AP1390" t="e">
        <v>#N/A</v>
      </c>
      <c r="AQ1390" t="s">
        <v>105</v>
      </c>
      <c r="AR1390" t="str">
        <f t="shared" si="42"/>
        <v>60604170.STATEQ</v>
      </c>
      <c r="AS1390">
        <f t="shared" si="43"/>
        <v>20696436.5</v>
      </c>
      <c r="AT1390" t="s">
        <v>82</v>
      </c>
    </row>
    <row r="1391" spans="1:46" x14ac:dyDescent="0.35">
      <c r="A1391" t="s">
        <v>52</v>
      </c>
      <c r="B1391" t="s">
        <v>53</v>
      </c>
      <c r="C1391" t="s">
        <v>54</v>
      </c>
      <c r="D1391" t="s">
        <v>55</v>
      </c>
      <c r="E1391" t="s">
        <v>56</v>
      </c>
      <c r="F1391" t="s">
        <v>4235</v>
      </c>
      <c r="G1391" t="s">
        <v>4236</v>
      </c>
      <c r="H1391" t="s">
        <v>153</v>
      </c>
      <c r="I1391" t="s">
        <v>4261</v>
      </c>
      <c r="J1391" t="s">
        <v>56</v>
      </c>
      <c r="K1391" t="s">
        <v>62</v>
      </c>
      <c r="L1391" t="s">
        <v>56</v>
      </c>
      <c r="M1391" t="s">
        <v>56</v>
      </c>
      <c r="N1391" t="s">
        <v>155</v>
      </c>
      <c r="O1391" t="s">
        <v>4239</v>
      </c>
      <c r="P1391" t="s">
        <v>4240</v>
      </c>
      <c r="Q1391" t="s">
        <v>114</v>
      </c>
      <c r="R1391" t="s">
        <v>67</v>
      </c>
      <c r="S1391">
        <v>187252972</v>
      </c>
      <c r="T1391">
        <v>166556535.5</v>
      </c>
      <c r="U1391" t="s">
        <v>68</v>
      </c>
      <c r="V1391" t="s">
        <v>4173</v>
      </c>
      <c r="W1391" s="9">
        <v>60604170</v>
      </c>
      <c r="X1391" t="s">
        <v>4282</v>
      </c>
      <c r="Y1391" s="1">
        <v>45602</v>
      </c>
      <c r="Z1391" s="1">
        <v>45632</v>
      </c>
      <c r="AA1391" s="2">
        <v>112100</v>
      </c>
      <c r="AB1391" s="2">
        <v>95000</v>
      </c>
      <c r="AC1391" s="2">
        <v>17100</v>
      </c>
      <c r="AD1391" s="2">
        <v>25650</v>
      </c>
      <c r="AE1391" t="s">
        <v>4283</v>
      </c>
      <c r="AF1391" t="s">
        <v>72</v>
      </c>
      <c r="AG1391">
        <v>446</v>
      </c>
      <c r="AH1391" t="s">
        <v>473</v>
      </c>
      <c r="AI1391" t="s">
        <v>74</v>
      </c>
      <c r="AJ1391" t="s">
        <v>75</v>
      </c>
      <c r="AK1391" t="s">
        <v>102</v>
      </c>
      <c r="AL1391" t="s">
        <v>77</v>
      </c>
      <c r="AM1391" t="s">
        <v>103</v>
      </c>
      <c r="AN1391" t="s">
        <v>2346</v>
      </c>
      <c r="AO1391" t="s">
        <v>80</v>
      </c>
      <c r="AP1391" t="e">
        <v>#N/A</v>
      </c>
      <c r="AQ1391" t="s">
        <v>105</v>
      </c>
      <c r="AR1391" t="str">
        <f t="shared" si="42"/>
        <v>60604170.STATEQ</v>
      </c>
      <c r="AS1391">
        <f t="shared" si="43"/>
        <v>20696436.5</v>
      </c>
      <c r="AT1391" t="s">
        <v>82</v>
      </c>
    </row>
    <row r="1392" spans="1:46" x14ac:dyDescent="0.35">
      <c r="A1392" t="s">
        <v>52</v>
      </c>
      <c r="B1392" t="s">
        <v>53</v>
      </c>
      <c r="C1392" t="s">
        <v>54</v>
      </c>
      <c r="D1392" t="s">
        <v>55</v>
      </c>
      <c r="E1392" t="s">
        <v>56</v>
      </c>
      <c r="F1392" t="s">
        <v>4235</v>
      </c>
      <c r="G1392" t="s">
        <v>4236</v>
      </c>
      <c r="H1392" t="s">
        <v>153</v>
      </c>
      <c r="I1392" t="s">
        <v>4261</v>
      </c>
      <c r="J1392" t="s">
        <v>56</v>
      </c>
      <c r="K1392" t="s">
        <v>62</v>
      </c>
      <c r="L1392" t="s">
        <v>56</v>
      </c>
      <c r="M1392" t="s">
        <v>56</v>
      </c>
      <c r="N1392" t="s">
        <v>155</v>
      </c>
      <c r="O1392" t="s">
        <v>4239</v>
      </c>
      <c r="P1392" t="s">
        <v>4240</v>
      </c>
      <c r="Q1392" t="s">
        <v>114</v>
      </c>
      <c r="R1392" t="s">
        <v>67</v>
      </c>
      <c r="S1392">
        <v>187252972</v>
      </c>
      <c r="T1392">
        <v>166556535.5</v>
      </c>
      <c r="U1392" t="s">
        <v>68</v>
      </c>
      <c r="V1392" t="s">
        <v>4173</v>
      </c>
      <c r="W1392" s="9">
        <v>60604170</v>
      </c>
      <c r="X1392" t="s">
        <v>4284</v>
      </c>
      <c r="Y1392" s="1">
        <v>45607</v>
      </c>
      <c r="Z1392" s="1">
        <v>45637</v>
      </c>
      <c r="AA1392" s="2">
        <v>3681600</v>
      </c>
      <c r="AB1392" s="2">
        <v>3120000</v>
      </c>
      <c r="AC1392" s="2">
        <v>561600</v>
      </c>
      <c r="AD1392" s="2">
        <v>592800</v>
      </c>
      <c r="AE1392" t="s">
        <v>4285</v>
      </c>
      <c r="AF1392" t="s">
        <v>72</v>
      </c>
      <c r="AG1392">
        <v>441</v>
      </c>
      <c r="AH1392" t="s">
        <v>473</v>
      </c>
      <c r="AI1392" t="s">
        <v>74</v>
      </c>
      <c r="AJ1392" t="s">
        <v>75</v>
      </c>
      <c r="AK1392" t="s">
        <v>102</v>
      </c>
      <c r="AL1392" t="s">
        <v>77</v>
      </c>
      <c r="AM1392" t="s">
        <v>103</v>
      </c>
      <c r="AN1392" t="s">
        <v>2346</v>
      </c>
      <c r="AO1392" t="s">
        <v>80</v>
      </c>
      <c r="AP1392" t="e">
        <v>#N/A</v>
      </c>
      <c r="AQ1392" t="s">
        <v>105</v>
      </c>
      <c r="AR1392" t="str">
        <f t="shared" si="42"/>
        <v>60604170.STATEQ</v>
      </c>
      <c r="AS1392">
        <f t="shared" si="43"/>
        <v>20696436.5</v>
      </c>
      <c r="AT1392" t="s">
        <v>82</v>
      </c>
    </row>
    <row r="1393" spans="1:46" x14ac:dyDescent="0.35">
      <c r="A1393" t="s">
        <v>52</v>
      </c>
      <c r="B1393" t="s">
        <v>53</v>
      </c>
      <c r="C1393" t="s">
        <v>54</v>
      </c>
      <c r="D1393" t="s">
        <v>55</v>
      </c>
      <c r="E1393" t="s">
        <v>56</v>
      </c>
      <c r="F1393" t="s">
        <v>4235</v>
      </c>
      <c r="G1393" t="s">
        <v>4236</v>
      </c>
      <c r="H1393" t="s">
        <v>153</v>
      </c>
      <c r="I1393" t="s">
        <v>4261</v>
      </c>
      <c r="J1393" t="s">
        <v>56</v>
      </c>
      <c r="K1393" t="s">
        <v>62</v>
      </c>
      <c r="L1393" t="s">
        <v>56</v>
      </c>
      <c r="M1393" t="s">
        <v>56</v>
      </c>
      <c r="N1393" t="s">
        <v>155</v>
      </c>
      <c r="O1393" t="s">
        <v>4239</v>
      </c>
      <c r="P1393" t="s">
        <v>4240</v>
      </c>
      <c r="Q1393" t="s">
        <v>114</v>
      </c>
      <c r="R1393" t="s">
        <v>67</v>
      </c>
      <c r="S1393">
        <v>187252972</v>
      </c>
      <c r="T1393">
        <v>166556535.5</v>
      </c>
      <c r="U1393" t="s">
        <v>68</v>
      </c>
      <c r="V1393" t="s">
        <v>4173</v>
      </c>
      <c r="W1393" s="9">
        <v>60604170</v>
      </c>
      <c r="X1393" t="s">
        <v>4286</v>
      </c>
      <c r="Y1393" s="1">
        <v>45614</v>
      </c>
      <c r="Z1393" s="1">
        <v>45644</v>
      </c>
      <c r="AA1393" s="2">
        <v>1416000</v>
      </c>
      <c r="AB1393" s="2">
        <v>1200000</v>
      </c>
      <c r="AC1393" s="2">
        <v>216000</v>
      </c>
      <c r="AD1393" s="2">
        <v>48000</v>
      </c>
      <c r="AE1393" t="s">
        <v>4287</v>
      </c>
      <c r="AF1393" t="s">
        <v>72</v>
      </c>
      <c r="AG1393">
        <v>434</v>
      </c>
      <c r="AH1393" t="s">
        <v>473</v>
      </c>
      <c r="AI1393" t="s">
        <v>74</v>
      </c>
      <c r="AJ1393" t="s">
        <v>75</v>
      </c>
      <c r="AK1393" t="s">
        <v>102</v>
      </c>
      <c r="AL1393" t="s">
        <v>77</v>
      </c>
      <c r="AM1393" t="s">
        <v>103</v>
      </c>
      <c r="AN1393" t="s">
        <v>2346</v>
      </c>
      <c r="AO1393" t="s">
        <v>80</v>
      </c>
      <c r="AP1393" t="e">
        <v>#N/A</v>
      </c>
      <c r="AQ1393" t="s">
        <v>105</v>
      </c>
      <c r="AR1393" t="str">
        <f t="shared" si="42"/>
        <v>60604170.STATEQ</v>
      </c>
      <c r="AS1393">
        <f t="shared" si="43"/>
        <v>20696436.5</v>
      </c>
      <c r="AT1393" t="s">
        <v>82</v>
      </c>
    </row>
    <row r="1394" spans="1:46" x14ac:dyDescent="0.35">
      <c r="A1394" t="s">
        <v>52</v>
      </c>
      <c r="B1394" t="s">
        <v>53</v>
      </c>
      <c r="C1394" t="s">
        <v>54</v>
      </c>
      <c r="D1394" t="s">
        <v>55</v>
      </c>
      <c r="E1394" t="s">
        <v>56</v>
      </c>
      <c r="F1394" t="s">
        <v>4235</v>
      </c>
      <c r="G1394" t="s">
        <v>4236</v>
      </c>
      <c r="H1394" t="s">
        <v>153</v>
      </c>
      <c r="I1394" t="s">
        <v>4261</v>
      </c>
      <c r="J1394" t="s">
        <v>56</v>
      </c>
      <c r="K1394" t="s">
        <v>62</v>
      </c>
      <c r="L1394" t="s">
        <v>56</v>
      </c>
      <c r="M1394" t="s">
        <v>56</v>
      </c>
      <c r="N1394" t="s">
        <v>155</v>
      </c>
      <c r="O1394" t="s">
        <v>4239</v>
      </c>
      <c r="P1394" t="s">
        <v>4240</v>
      </c>
      <c r="Q1394" t="s">
        <v>114</v>
      </c>
      <c r="R1394" t="s">
        <v>67</v>
      </c>
      <c r="S1394">
        <v>187252972</v>
      </c>
      <c r="T1394">
        <v>166556535.5</v>
      </c>
      <c r="U1394" t="s">
        <v>68</v>
      </c>
      <c r="V1394" t="s">
        <v>4173</v>
      </c>
      <c r="W1394" s="9">
        <v>60604170</v>
      </c>
      <c r="X1394" t="s">
        <v>4288</v>
      </c>
      <c r="Y1394" s="1">
        <v>45614</v>
      </c>
      <c r="Z1394" s="1">
        <v>45644</v>
      </c>
      <c r="AA1394" s="2">
        <v>2124000</v>
      </c>
      <c r="AB1394" s="2">
        <v>1800000</v>
      </c>
      <c r="AC1394" s="2">
        <v>324000</v>
      </c>
      <c r="AD1394" s="2">
        <v>522000</v>
      </c>
      <c r="AE1394" t="s">
        <v>4289</v>
      </c>
      <c r="AF1394" t="s">
        <v>72</v>
      </c>
      <c r="AG1394">
        <v>434</v>
      </c>
      <c r="AH1394" t="s">
        <v>473</v>
      </c>
      <c r="AI1394" t="s">
        <v>74</v>
      </c>
      <c r="AJ1394" t="s">
        <v>75</v>
      </c>
      <c r="AK1394" t="s">
        <v>102</v>
      </c>
      <c r="AL1394" t="s">
        <v>77</v>
      </c>
      <c r="AM1394" t="s">
        <v>103</v>
      </c>
      <c r="AN1394" t="s">
        <v>2346</v>
      </c>
      <c r="AO1394" t="s">
        <v>80</v>
      </c>
      <c r="AP1394" t="e">
        <v>#N/A</v>
      </c>
      <c r="AQ1394" t="s">
        <v>105</v>
      </c>
      <c r="AR1394" t="str">
        <f t="shared" si="42"/>
        <v>60604170.STATEQ</v>
      </c>
      <c r="AS1394">
        <f t="shared" si="43"/>
        <v>20696436.5</v>
      </c>
      <c r="AT1394" t="s">
        <v>82</v>
      </c>
    </row>
    <row r="1395" spans="1:46" x14ac:dyDescent="0.35">
      <c r="A1395" t="s">
        <v>52</v>
      </c>
      <c r="B1395" t="s">
        <v>53</v>
      </c>
      <c r="C1395" t="s">
        <v>54</v>
      </c>
      <c r="D1395" t="s">
        <v>55</v>
      </c>
      <c r="E1395" t="s">
        <v>56</v>
      </c>
      <c r="F1395" t="s">
        <v>4235</v>
      </c>
      <c r="G1395" t="s">
        <v>4236</v>
      </c>
      <c r="H1395" t="s">
        <v>153</v>
      </c>
      <c r="I1395" t="s">
        <v>4261</v>
      </c>
      <c r="J1395" t="s">
        <v>56</v>
      </c>
      <c r="K1395" t="s">
        <v>62</v>
      </c>
      <c r="L1395" t="s">
        <v>56</v>
      </c>
      <c r="M1395" t="s">
        <v>56</v>
      </c>
      <c r="N1395" t="s">
        <v>155</v>
      </c>
      <c r="O1395" t="s">
        <v>4239</v>
      </c>
      <c r="P1395" t="s">
        <v>4240</v>
      </c>
      <c r="Q1395" t="s">
        <v>114</v>
      </c>
      <c r="R1395" t="s">
        <v>67</v>
      </c>
      <c r="S1395">
        <v>187252972</v>
      </c>
      <c r="T1395">
        <v>166556535.5</v>
      </c>
      <c r="U1395" t="s">
        <v>68</v>
      </c>
      <c r="V1395" t="s">
        <v>4173</v>
      </c>
      <c r="W1395" s="9">
        <v>60604170</v>
      </c>
      <c r="X1395" t="s">
        <v>4290</v>
      </c>
      <c r="Y1395" s="1">
        <v>45614</v>
      </c>
      <c r="Z1395" s="1">
        <v>45644</v>
      </c>
      <c r="AA1395" s="2">
        <v>944000</v>
      </c>
      <c r="AB1395" s="2">
        <v>800000</v>
      </c>
      <c r="AC1395" s="2">
        <v>144000</v>
      </c>
      <c r="AD1395" s="2">
        <v>32000</v>
      </c>
      <c r="AE1395" t="s">
        <v>4291</v>
      </c>
      <c r="AF1395" t="s">
        <v>72</v>
      </c>
      <c r="AG1395">
        <v>434</v>
      </c>
      <c r="AH1395" t="s">
        <v>473</v>
      </c>
      <c r="AI1395" t="s">
        <v>74</v>
      </c>
      <c r="AJ1395" t="s">
        <v>75</v>
      </c>
      <c r="AK1395" t="s">
        <v>102</v>
      </c>
      <c r="AL1395" t="s">
        <v>77</v>
      </c>
      <c r="AM1395" t="s">
        <v>103</v>
      </c>
      <c r="AN1395" t="s">
        <v>2346</v>
      </c>
      <c r="AO1395" t="s">
        <v>80</v>
      </c>
      <c r="AP1395" t="e">
        <v>#N/A</v>
      </c>
      <c r="AQ1395" t="s">
        <v>105</v>
      </c>
      <c r="AR1395" t="str">
        <f t="shared" si="42"/>
        <v>60604170.STATEQ</v>
      </c>
      <c r="AS1395">
        <f t="shared" si="43"/>
        <v>20696436.5</v>
      </c>
      <c r="AT1395" t="s">
        <v>82</v>
      </c>
    </row>
    <row r="1396" spans="1:46" x14ac:dyDescent="0.35">
      <c r="A1396" t="s">
        <v>52</v>
      </c>
      <c r="B1396" t="s">
        <v>53</v>
      </c>
      <c r="C1396" t="s">
        <v>54</v>
      </c>
      <c r="D1396" t="s">
        <v>55</v>
      </c>
      <c r="E1396" t="s">
        <v>56</v>
      </c>
      <c r="F1396" t="s">
        <v>4235</v>
      </c>
      <c r="G1396" t="s">
        <v>4236</v>
      </c>
      <c r="H1396" t="s">
        <v>153</v>
      </c>
      <c r="I1396" t="s">
        <v>4261</v>
      </c>
      <c r="J1396" t="s">
        <v>56</v>
      </c>
      <c r="K1396" t="s">
        <v>62</v>
      </c>
      <c r="L1396" t="s">
        <v>56</v>
      </c>
      <c r="M1396" t="s">
        <v>56</v>
      </c>
      <c r="N1396" t="s">
        <v>155</v>
      </c>
      <c r="O1396" t="s">
        <v>4239</v>
      </c>
      <c r="P1396" t="s">
        <v>4240</v>
      </c>
      <c r="Q1396" t="s">
        <v>114</v>
      </c>
      <c r="R1396" t="s">
        <v>67</v>
      </c>
      <c r="S1396">
        <v>187252972</v>
      </c>
      <c r="T1396">
        <v>166556535.5</v>
      </c>
      <c r="U1396" t="s">
        <v>68</v>
      </c>
      <c r="V1396" t="s">
        <v>4173</v>
      </c>
      <c r="W1396" s="9">
        <v>60604170</v>
      </c>
      <c r="X1396" t="s">
        <v>4292</v>
      </c>
      <c r="Y1396" s="1">
        <v>45614</v>
      </c>
      <c r="Z1396" s="1">
        <v>45644</v>
      </c>
      <c r="AA1396" s="2">
        <v>1416000</v>
      </c>
      <c r="AB1396" s="2">
        <v>1200000</v>
      </c>
      <c r="AC1396" s="2">
        <v>216000</v>
      </c>
      <c r="AD1396" s="2">
        <v>348000</v>
      </c>
      <c r="AE1396" t="s">
        <v>4293</v>
      </c>
      <c r="AF1396" t="s">
        <v>72</v>
      </c>
      <c r="AG1396">
        <v>434</v>
      </c>
      <c r="AH1396" t="s">
        <v>473</v>
      </c>
      <c r="AI1396" t="s">
        <v>74</v>
      </c>
      <c r="AJ1396" t="s">
        <v>75</v>
      </c>
      <c r="AK1396" t="s">
        <v>102</v>
      </c>
      <c r="AL1396" t="s">
        <v>77</v>
      </c>
      <c r="AM1396" t="s">
        <v>103</v>
      </c>
      <c r="AN1396" t="s">
        <v>2346</v>
      </c>
      <c r="AO1396" t="s">
        <v>80</v>
      </c>
      <c r="AP1396" t="e">
        <v>#N/A</v>
      </c>
      <c r="AQ1396" t="s">
        <v>105</v>
      </c>
      <c r="AR1396" t="str">
        <f t="shared" si="42"/>
        <v>60604170.STATEQ</v>
      </c>
      <c r="AS1396">
        <f t="shared" si="43"/>
        <v>20696436.5</v>
      </c>
      <c r="AT1396" t="s">
        <v>82</v>
      </c>
    </row>
    <row r="1397" spans="1:46" x14ac:dyDescent="0.35">
      <c r="A1397" t="s">
        <v>52</v>
      </c>
      <c r="B1397" t="s">
        <v>53</v>
      </c>
      <c r="C1397" t="s">
        <v>54</v>
      </c>
      <c r="D1397" t="s">
        <v>55</v>
      </c>
      <c r="E1397" t="s">
        <v>56</v>
      </c>
      <c r="F1397" t="s">
        <v>4235</v>
      </c>
      <c r="G1397" t="s">
        <v>4236</v>
      </c>
      <c r="H1397" t="s">
        <v>153</v>
      </c>
      <c r="I1397" t="s">
        <v>4261</v>
      </c>
      <c r="J1397" t="s">
        <v>56</v>
      </c>
      <c r="K1397" t="s">
        <v>62</v>
      </c>
      <c r="L1397" t="s">
        <v>56</v>
      </c>
      <c r="M1397" t="s">
        <v>56</v>
      </c>
      <c r="N1397" t="s">
        <v>155</v>
      </c>
      <c r="O1397" t="s">
        <v>4239</v>
      </c>
      <c r="P1397" t="s">
        <v>4240</v>
      </c>
      <c r="Q1397" t="s">
        <v>114</v>
      </c>
      <c r="R1397" t="s">
        <v>67</v>
      </c>
      <c r="S1397">
        <v>187252972</v>
      </c>
      <c r="T1397">
        <v>166556535.5</v>
      </c>
      <c r="U1397" t="s">
        <v>68</v>
      </c>
      <c r="V1397" t="s">
        <v>4173</v>
      </c>
      <c r="W1397" s="9">
        <v>60604170</v>
      </c>
      <c r="X1397" t="s">
        <v>4294</v>
      </c>
      <c r="Y1397" s="1">
        <v>45614</v>
      </c>
      <c r="Z1397" s="1">
        <v>45644</v>
      </c>
      <c r="AA1397" s="2">
        <v>953440</v>
      </c>
      <c r="AB1397" s="2">
        <v>808000</v>
      </c>
      <c r="AC1397" s="2">
        <v>145440</v>
      </c>
      <c r="AD1397" s="2">
        <v>32320</v>
      </c>
      <c r="AE1397" t="s">
        <v>4295</v>
      </c>
      <c r="AF1397" t="s">
        <v>72</v>
      </c>
      <c r="AG1397">
        <v>434</v>
      </c>
      <c r="AH1397" t="s">
        <v>473</v>
      </c>
      <c r="AI1397" t="s">
        <v>74</v>
      </c>
      <c r="AJ1397" t="s">
        <v>75</v>
      </c>
      <c r="AK1397" t="s">
        <v>102</v>
      </c>
      <c r="AL1397" t="s">
        <v>77</v>
      </c>
      <c r="AM1397" t="s">
        <v>103</v>
      </c>
      <c r="AN1397" t="s">
        <v>2346</v>
      </c>
      <c r="AO1397" t="s">
        <v>80</v>
      </c>
      <c r="AP1397" t="e">
        <v>#N/A</v>
      </c>
      <c r="AQ1397" t="s">
        <v>105</v>
      </c>
      <c r="AR1397" t="str">
        <f t="shared" si="42"/>
        <v>60604170.STATEQ</v>
      </c>
      <c r="AS1397">
        <f t="shared" si="43"/>
        <v>20696436.5</v>
      </c>
      <c r="AT1397" t="s">
        <v>82</v>
      </c>
    </row>
    <row r="1398" spans="1:46" x14ac:dyDescent="0.35">
      <c r="A1398" t="s">
        <v>52</v>
      </c>
      <c r="B1398" t="s">
        <v>53</v>
      </c>
      <c r="C1398" t="s">
        <v>54</v>
      </c>
      <c r="D1398" t="s">
        <v>55</v>
      </c>
      <c r="E1398" t="s">
        <v>56</v>
      </c>
      <c r="F1398" t="s">
        <v>4235</v>
      </c>
      <c r="G1398" t="s">
        <v>4236</v>
      </c>
      <c r="H1398" t="s">
        <v>153</v>
      </c>
      <c r="I1398" t="s">
        <v>4261</v>
      </c>
      <c r="J1398" t="s">
        <v>56</v>
      </c>
      <c r="K1398" t="s">
        <v>62</v>
      </c>
      <c r="L1398" t="s">
        <v>56</v>
      </c>
      <c r="M1398" t="s">
        <v>56</v>
      </c>
      <c r="N1398" t="s">
        <v>155</v>
      </c>
      <c r="O1398" t="s">
        <v>4239</v>
      </c>
      <c r="P1398" t="s">
        <v>4240</v>
      </c>
      <c r="Q1398" t="s">
        <v>114</v>
      </c>
      <c r="R1398" t="s">
        <v>67</v>
      </c>
      <c r="S1398">
        <v>187252972</v>
      </c>
      <c r="T1398">
        <v>166556535.5</v>
      </c>
      <c r="U1398" t="s">
        <v>68</v>
      </c>
      <c r="V1398" t="s">
        <v>4173</v>
      </c>
      <c r="W1398" s="9">
        <v>60604170</v>
      </c>
      <c r="X1398" t="s">
        <v>4296</v>
      </c>
      <c r="Y1398" s="1">
        <v>45614</v>
      </c>
      <c r="Z1398" s="1">
        <v>45644</v>
      </c>
      <c r="AA1398" s="2">
        <v>1430160</v>
      </c>
      <c r="AB1398" s="2">
        <v>1212000</v>
      </c>
      <c r="AC1398" s="2">
        <v>218160</v>
      </c>
      <c r="AD1398" s="2">
        <v>351480</v>
      </c>
      <c r="AE1398" t="s">
        <v>4297</v>
      </c>
      <c r="AF1398" t="s">
        <v>72</v>
      </c>
      <c r="AG1398">
        <v>434</v>
      </c>
      <c r="AH1398" t="s">
        <v>473</v>
      </c>
      <c r="AI1398" t="s">
        <v>74</v>
      </c>
      <c r="AJ1398" t="s">
        <v>75</v>
      </c>
      <c r="AK1398" t="s">
        <v>102</v>
      </c>
      <c r="AL1398" t="s">
        <v>77</v>
      </c>
      <c r="AM1398" t="s">
        <v>103</v>
      </c>
      <c r="AN1398" t="s">
        <v>2346</v>
      </c>
      <c r="AO1398" t="s">
        <v>80</v>
      </c>
      <c r="AP1398" t="e">
        <v>#N/A</v>
      </c>
      <c r="AQ1398" t="s">
        <v>105</v>
      </c>
      <c r="AR1398" t="str">
        <f t="shared" si="42"/>
        <v>60604170.STATEQ</v>
      </c>
      <c r="AS1398">
        <f t="shared" si="43"/>
        <v>20696436.5</v>
      </c>
      <c r="AT1398" t="s">
        <v>82</v>
      </c>
    </row>
    <row r="1399" spans="1:46" x14ac:dyDescent="0.35">
      <c r="A1399" t="s">
        <v>52</v>
      </c>
      <c r="B1399" t="s">
        <v>53</v>
      </c>
      <c r="C1399" t="s">
        <v>1223</v>
      </c>
      <c r="D1399" t="s">
        <v>55</v>
      </c>
      <c r="E1399" t="s">
        <v>56</v>
      </c>
      <c r="F1399" t="s">
        <v>4298</v>
      </c>
      <c r="G1399" t="s">
        <v>56</v>
      </c>
      <c r="H1399" t="s">
        <v>56</v>
      </c>
      <c r="I1399" t="s">
        <v>4299</v>
      </c>
      <c r="J1399" t="s">
        <v>61</v>
      </c>
      <c r="K1399" t="s">
        <v>62</v>
      </c>
      <c r="L1399" t="s">
        <v>56</v>
      </c>
      <c r="M1399" t="s">
        <v>56</v>
      </c>
      <c r="N1399" t="s">
        <v>4300</v>
      </c>
      <c r="O1399" t="s">
        <v>4301</v>
      </c>
      <c r="P1399" t="s">
        <v>4302</v>
      </c>
      <c r="Q1399" t="s">
        <v>87</v>
      </c>
      <c r="R1399" t="s">
        <v>67</v>
      </c>
      <c r="S1399">
        <v>500000</v>
      </c>
      <c r="T1399">
        <v>273096.08</v>
      </c>
      <c r="U1399" t="s">
        <v>68</v>
      </c>
      <c r="V1399" t="s">
        <v>4303</v>
      </c>
      <c r="W1399" s="9">
        <v>60601157</v>
      </c>
      <c r="X1399" t="s">
        <v>4304</v>
      </c>
      <c r="Y1399" s="1">
        <v>42010</v>
      </c>
      <c r="Z1399" s="1">
        <v>42010</v>
      </c>
      <c r="AA1399" s="2">
        <v>109277.96</v>
      </c>
      <c r="AB1399" s="2">
        <v>109277.96</v>
      </c>
      <c r="AC1399" s="2">
        <v>0</v>
      </c>
      <c r="AD1399" s="2">
        <v>109277.96</v>
      </c>
      <c r="AE1399" t="s">
        <v>4305</v>
      </c>
      <c r="AF1399" t="s">
        <v>72</v>
      </c>
      <c r="AG1399">
        <v>4068</v>
      </c>
      <c r="AH1399" t="s">
        <v>473</v>
      </c>
      <c r="AI1399" t="s">
        <v>74</v>
      </c>
      <c r="AJ1399" t="s">
        <v>75</v>
      </c>
      <c r="AK1399" t="s">
        <v>102</v>
      </c>
      <c r="AL1399" t="s">
        <v>77</v>
      </c>
      <c r="AM1399" t="s">
        <v>103</v>
      </c>
      <c r="AN1399" t="s">
        <v>2346</v>
      </c>
      <c r="AO1399" t="s">
        <v>80</v>
      </c>
      <c r="AP1399" t="e">
        <v>#N/A</v>
      </c>
      <c r="AQ1399" t="s">
        <v>105</v>
      </c>
      <c r="AR1399" t="str">
        <f t="shared" si="42"/>
        <v>60601157.STATEQ</v>
      </c>
      <c r="AS1399">
        <f t="shared" si="43"/>
        <v>226903.92</v>
      </c>
      <c r="AT1399" t="s">
        <v>82</v>
      </c>
    </row>
    <row r="1400" spans="1:46" x14ac:dyDescent="0.35">
      <c r="A1400" t="s">
        <v>52</v>
      </c>
      <c r="B1400" t="s">
        <v>53</v>
      </c>
      <c r="C1400" t="s">
        <v>1223</v>
      </c>
      <c r="D1400" t="s">
        <v>55</v>
      </c>
      <c r="E1400" t="s">
        <v>56</v>
      </c>
      <c r="F1400" t="s">
        <v>4298</v>
      </c>
      <c r="G1400" t="s">
        <v>56</v>
      </c>
      <c r="H1400" t="s">
        <v>56</v>
      </c>
      <c r="I1400" t="s">
        <v>4306</v>
      </c>
      <c r="J1400" t="s">
        <v>61</v>
      </c>
      <c r="K1400" t="s">
        <v>62</v>
      </c>
      <c r="L1400" t="s">
        <v>56</v>
      </c>
      <c r="M1400" t="s">
        <v>56</v>
      </c>
      <c r="N1400" t="s">
        <v>4300</v>
      </c>
      <c r="O1400" t="s">
        <v>4301</v>
      </c>
      <c r="P1400" t="s">
        <v>4302</v>
      </c>
      <c r="Q1400" t="s">
        <v>87</v>
      </c>
      <c r="R1400" t="s">
        <v>67</v>
      </c>
      <c r="S1400">
        <v>500000</v>
      </c>
      <c r="T1400">
        <v>273096.08</v>
      </c>
      <c r="U1400" t="s">
        <v>68</v>
      </c>
      <c r="V1400" t="s">
        <v>4303</v>
      </c>
      <c r="W1400" s="9">
        <v>60601157</v>
      </c>
      <c r="X1400" t="s">
        <v>4307</v>
      </c>
      <c r="Y1400" s="1">
        <v>42024</v>
      </c>
      <c r="Z1400" s="1">
        <v>42024</v>
      </c>
      <c r="AA1400" s="2">
        <v>109277.96</v>
      </c>
      <c r="AB1400" s="2">
        <v>109277.96</v>
      </c>
      <c r="AC1400" s="2">
        <v>0</v>
      </c>
      <c r="AD1400" s="2">
        <v>109277.96</v>
      </c>
      <c r="AE1400" t="s">
        <v>4308</v>
      </c>
      <c r="AF1400" t="s">
        <v>72</v>
      </c>
      <c r="AG1400">
        <v>4054</v>
      </c>
      <c r="AH1400" t="s">
        <v>473</v>
      </c>
      <c r="AI1400" t="s">
        <v>74</v>
      </c>
      <c r="AJ1400" t="s">
        <v>75</v>
      </c>
      <c r="AK1400" t="s">
        <v>102</v>
      </c>
      <c r="AL1400" t="s">
        <v>77</v>
      </c>
      <c r="AM1400" t="s">
        <v>103</v>
      </c>
      <c r="AN1400" t="s">
        <v>2346</v>
      </c>
      <c r="AO1400" t="s">
        <v>80</v>
      </c>
      <c r="AP1400" t="e">
        <v>#N/A</v>
      </c>
      <c r="AQ1400" t="s">
        <v>105</v>
      </c>
      <c r="AR1400" t="str">
        <f t="shared" si="42"/>
        <v>60601157.STATEQ</v>
      </c>
      <c r="AS1400">
        <f t="shared" si="43"/>
        <v>226903.92</v>
      </c>
      <c r="AT1400" t="s">
        <v>82</v>
      </c>
    </row>
    <row r="1401" spans="1:46" x14ac:dyDescent="0.35">
      <c r="A1401" t="s">
        <v>52</v>
      </c>
      <c r="B1401" t="s">
        <v>53</v>
      </c>
      <c r="C1401" t="s">
        <v>1223</v>
      </c>
      <c r="D1401" t="s">
        <v>55</v>
      </c>
      <c r="E1401" t="s">
        <v>56</v>
      </c>
      <c r="F1401" t="s">
        <v>4298</v>
      </c>
      <c r="G1401" t="s">
        <v>56</v>
      </c>
      <c r="H1401" t="s">
        <v>56</v>
      </c>
      <c r="I1401" t="s">
        <v>4309</v>
      </c>
      <c r="J1401" t="s">
        <v>61</v>
      </c>
      <c r="K1401" t="s">
        <v>62</v>
      </c>
      <c r="L1401" t="s">
        <v>56</v>
      </c>
      <c r="M1401" t="s">
        <v>56</v>
      </c>
      <c r="N1401" t="s">
        <v>4300</v>
      </c>
      <c r="O1401" t="s">
        <v>4301</v>
      </c>
      <c r="P1401" t="s">
        <v>4302</v>
      </c>
      <c r="Q1401" t="s">
        <v>87</v>
      </c>
      <c r="R1401" t="s">
        <v>67</v>
      </c>
      <c r="S1401">
        <v>500000</v>
      </c>
      <c r="T1401">
        <v>273096.08</v>
      </c>
      <c r="U1401" t="s">
        <v>68</v>
      </c>
      <c r="V1401" t="s">
        <v>4303</v>
      </c>
      <c r="W1401" s="9">
        <v>60601157</v>
      </c>
      <c r="X1401" t="s">
        <v>4310</v>
      </c>
      <c r="Y1401" s="1">
        <v>42791</v>
      </c>
      <c r="Z1401" s="1">
        <v>42791</v>
      </c>
      <c r="AA1401" s="2">
        <v>8348</v>
      </c>
      <c r="AB1401" s="2">
        <v>8348</v>
      </c>
      <c r="AC1401" s="2">
        <v>0</v>
      </c>
      <c r="AD1401" s="2">
        <v>8348</v>
      </c>
      <c r="AE1401" t="s">
        <v>4311</v>
      </c>
      <c r="AF1401" t="s">
        <v>72</v>
      </c>
      <c r="AG1401">
        <v>3287</v>
      </c>
      <c r="AH1401" t="s">
        <v>473</v>
      </c>
      <c r="AI1401" t="s">
        <v>74</v>
      </c>
      <c r="AJ1401" t="s">
        <v>75</v>
      </c>
      <c r="AK1401" t="s">
        <v>102</v>
      </c>
      <c r="AL1401" t="s">
        <v>77</v>
      </c>
      <c r="AM1401" t="s">
        <v>103</v>
      </c>
      <c r="AN1401" t="s">
        <v>2346</v>
      </c>
      <c r="AO1401" t="s">
        <v>80</v>
      </c>
      <c r="AP1401" t="e">
        <v>#N/A</v>
      </c>
      <c r="AQ1401" t="s">
        <v>105</v>
      </c>
      <c r="AR1401" t="str">
        <f t="shared" si="42"/>
        <v>60601157.STATEQ</v>
      </c>
      <c r="AS1401">
        <f t="shared" si="43"/>
        <v>226903.92</v>
      </c>
      <c r="AT1401" t="s">
        <v>82</v>
      </c>
    </row>
    <row r="1402" spans="1:46" x14ac:dyDescent="0.35">
      <c r="A1402" t="s">
        <v>52</v>
      </c>
      <c r="B1402" t="s">
        <v>53</v>
      </c>
      <c r="C1402" t="s">
        <v>54</v>
      </c>
      <c r="D1402" t="s">
        <v>55</v>
      </c>
      <c r="E1402" t="s">
        <v>56</v>
      </c>
      <c r="F1402" t="s">
        <v>4312</v>
      </c>
      <c r="G1402" t="s">
        <v>56</v>
      </c>
      <c r="H1402" t="s">
        <v>56</v>
      </c>
      <c r="I1402" t="s">
        <v>4313</v>
      </c>
      <c r="J1402" t="s">
        <v>61</v>
      </c>
      <c r="K1402" t="s">
        <v>56</v>
      </c>
      <c r="L1402" t="s">
        <v>56</v>
      </c>
      <c r="M1402" t="s">
        <v>56</v>
      </c>
      <c r="N1402" t="s">
        <v>56</v>
      </c>
      <c r="O1402" t="s">
        <v>56</v>
      </c>
      <c r="P1402" t="s">
        <v>56</v>
      </c>
      <c r="Q1402" t="s">
        <v>87</v>
      </c>
      <c r="R1402" t="s">
        <v>88</v>
      </c>
      <c r="S1402">
        <v>1</v>
      </c>
      <c r="T1402">
        <v>7038.64</v>
      </c>
      <c r="U1402" t="s">
        <v>68</v>
      </c>
      <c r="V1402" t="s">
        <v>4314</v>
      </c>
      <c r="W1402" s="9" t="s">
        <v>4312</v>
      </c>
      <c r="X1402" t="s">
        <v>4315</v>
      </c>
      <c r="Y1402" s="1">
        <v>45839</v>
      </c>
      <c r="Z1402" s="1">
        <v>45839</v>
      </c>
      <c r="AA1402" s="2">
        <v>-100000</v>
      </c>
      <c r="AB1402" s="2">
        <v>-100000</v>
      </c>
      <c r="AC1402" s="2">
        <v>0</v>
      </c>
      <c r="AD1402" s="2">
        <v>-7037.64</v>
      </c>
      <c r="AE1402" t="s">
        <v>4315</v>
      </c>
      <c r="AF1402" t="s">
        <v>72</v>
      </c>
      <c r="AG1402">
        <v>239</v>
      </c>
      <c r="AH1402" t="s">
        <v>101</v>
      </c>
      <c r="AI1402" t="s">
        <v>74</v>
      </c>
      <c r="AJ1402" t="s">
        <v>75</v>
      </c>
      <c r="AK1402" t="s">
        <v>76</v>
      </c>
      <c r="AL1402" t="s">
        <v>77</v>
      </c>
      <c r="AM1402" t="s">
        <v>775</v>
      </c>
      <c r="AN1402" t="s">
        <v>776</v>
      </c>
      <c r="AO1402" t="s">
        <v>80</v>
      </c>
      <c r="AP1402" t="e">
        <v>#N/A</v>
      </c>
      <c r="AQ1402" t="s">
        <v>81</v>
      </c>
      <c r="AR1402" t="str">
        <f t="shared" si="42"/>
        <v>SC600015.STATAM</v>
      </c>
      <c r="AS1402">
        <f t="shared" si="43"/>
        <v>-7037.64</v>
      </c>
      <c r="AT1402" t="s">
        <v>93</v>
      </c>
    </row>
    <row r="1403" spans="1:46" x14ac:dyDescent="0.35">
      <c r="A1403" t="s">
        <v>52</v>
      </c>
      <c r="B1403" t="s">
        <v>53</v>
      </c>
      <c r="C1403" t="s">
        <v>54</v>
      </c>
      <c r="D1403" t="s">
        <v>55</v>
      </c>
      <c r="E1403" t="s">
        <v>56</v>
      </c>
      <c r="F1403" t="s">
        <v>4316</v>
      </c>
      <c r="G1403" t="s">
        <v>4317</v>
      </c>
      <c r="H1403" t="s">
        <v>111</v>
      </c>
      <c r="I1403" t="s">
        <v>4318</v>
      </c>
      <c r="J1403" t="s">
        <v>56</v>
      </c>
      <c r="K1403" t="s">
        <v>62</v>
      </c>
      <c r="L1403" t="s">
        <v>56</v>
      </c>
      <c r="M1403" t="s">
        <v>56</v>
      </c>
      <c r="N1403" t="s">
        <v>147</v>
      </c>
      <c r="O1403" t="s">
        <v>2476</v>
      </c>
      <c r="P1403" t="s">
        <v>2477</v>
      </c>
      <c r="Q1403" t="s">
        <v>247</v>
      </c>
      <c r="R1403" t="s">
        <v>248</v>
      </c>
      <c r="S1403">
        <v>116077996</v>
      </c>
      <c r="T1403">
        <v>104117609.53</v>
      </c>
      <c r="U1403" t="s">
        <v>68</v>
      </c>
      <c r="V1403" t="s">
        <v>4319</v>
      </c>
      <c r="W1403" s="9">
        <v>20000014</v>
      </c>
      <c r="X1403" t="s">
        <v>4320</v>
      </c>
      <c r="Y1403" s="1">
        <v>45058</v>
      </c>
      <c r="Z1403" s="1">
        <v>45118</v>
      </c>
      <c r="AA1403" s="2">
        <v>2365958.27</v>
      </c>
      <c r="AB1403" s="2">
        <v>2005049.38</v>
      </c>
      <c r="AC1403" s="2">
        <v>360908.89</v>
      </c>
      <c r="AD1403" s="2">
        <v>143847.07</v>
      </c>
      <c r="AE1403" t="s">
        <v>4321</v>
      </c>
      <c r="AF1403" t="s">
        <v>72</v>
      </c>
      <c r="AG1403">
        <v>960</v>
      </c>
      <c r="AH1403" t="s">
        <v>473</v>
      </c>
      <c r="AI1403" t="s">
        <v>74</v>
      </c>
      <c r="AJ1403" t="s">
        <v>127</v>
      </c>
      <c r="AK1403" t="s">
        <v>128</v>
      </c>
      <c r="AL1403" t="s">
        <v>77</v>
      </c>
      <c r="AM1403" t="s">
        <v>103</v>
      </c>
      <c r="AN1403" t="s">
        <v>2346</v>
      </c>
      <c r="AO1403" t="s">
        <v>80</v>
      </c>
      <c r="AP1403" t="e">
        <v>#N/A</v>
      </c>
      <c r="AQ1403" t="s">
        <v>129</v>
      </c>
      <c r="AR1403" t="str">
        <f t="shared" si="42"/>
        <v>20000014.SPMINEQ</v>
      </c>
      <c r="AS1403">
        <f t="shared" si="43"/>
        <v>11561263.479999999</v>
      </c>
      <c r="AT1403" t="s">
        <v>82</v>
      </c>
    </row>
    <row r="1404" spans="1:46" x14ac:dyDescent="0.35">
      <c r="A1404" t="s">
        <v>52</v>
      </c>
      <c r="B1404" t="s">
        <v>53</v>
      </c>
      <c r="C1404" t="s">
        <v>54</v>
      </c>
      <c r="D1404" t="s">
        <v>55</v>
      </c>
      <c r="E1404" t="s">
        <v>56</v>
      </c>
      <c r="F1404" t="s">
        <v>4316</v>
      </c>
      <c r="G1404" t="s">
        <v>4317</v>
      </c>
      <c r="H1404" t="s">
        <v>111</v>
      </c>
      <c r="I1404" t="s">
        <v>4318</v>
      </c>
      <c r="J1404" t="s">
        <v>56</v>
      </c>
      <c r="K1404" t="s">
        <v>62</v>
      </c>
      <c r="L1404" t="s">
        <v>56</v>
      </c>
      <c r="M1404" t="s">
        <v>56</v>
      </c>
      <c r="N1404" t="s">
        <v>56</v>
      </c>
      <c r="O1404" t="s">
        <v>2476</v>
      </c>
      <c r="P1404" t="s">
        <v>2477</v>
      </c>
      <c r="Q1404" t="s">
        <v>247</v>
      </c>
      <c r="R1404" t="s">
        <v>248</v>
      </c>
      <c r="S1404">
        <v>116077996</v>
      </c>
      <c r="T1404">
        <v>104117609.53</v>
      </c>
      <c r="U1404" t="s">
        <v>68</v>
      </c>
      <c r="V1404" t="s">
        <v>4319</v>
      </c>
      <c r="W1404" s="9">
        <v>20000014</v>
      </c>
      <c r="X1404" t="s">
        <v>4320</v>
      </c>
      <c r="Y1404" s="1">
        <v>45058</v>
      </c>
      <c r="Z1404" s="1">
        <v>45118</v>
      </c>
      <c r="AA1404" s="2">
        <v>11741.73</v>
      </c>
      <c r="AB1404" s="2">
        <v>9950.6200000000008</v>
      </c>
      <c r="AC1404" s="2">
        <v>1791.11</v>
      </c>
      <c r="AD1404" s="2">
        <v>713.88</v>
      </c>
      <c r="AE1404" t="s">
        <v>4320</v>
      </c>
      <c r="AF1404" t="s">
        <v>72</v>
      </c>
      <c r="AG1404">
        <v>960</v>
      </c>
      <c r="AH1404" t="s">
        <v>473</v>
      </c>
      <c r="AI1404" t="s">
        <v>74</v>
      </c>
      <c r="AJ1404" t="s">
        <v>127</v>
      </c>
      <c r="AK1404" t="s">
        <v>128</v>
      </c>
      <c r="AL1404" t="s">
        <v>77</v>
      </c>
      <c r="AM1404" t="s">
        <v>103</v>
      </c>
      <c r="AN1404" t="s">
        <v>2346</v>
      </c>
      <c r="AO1404" t="s">
        <v>80</v>
      </c>
      <c r="AP1404" t="e">
        <v>#N/A</v>
      </c>
      <c r="AQ1404" t="s">
        <v>129</v>
      </c>
      <c r="AR1404" t="str">
        <f t="shared" si="42"/>
        <v>20000014.SPMINEQ</v>
      </c>
      <c r="AS1404">
        <f t="shared" si="43"/>
        <v>11561263.479999999</v>
      </c>
      <c r="AT1404" t="s">
        <v>82</v>
      </c>
    </row>
    <row r="1405" spans="1:46" x14ac:dyDescent="0.35">
      <c r="A1405" t="s">
        <v>52</v>
      </c>
      <c r="B1405" t="s">
        <v>53</v>
      </c>
      <c r="C1405" t="s">
        <v>54</v>
      </c>
      <c r="D1405" t="s">
        <v>55</v>
      </c>
      <c r="E1405" t="s">
        <v>56</v>
      </c>
      <c r="F1405" t="s">
        <v>4316</v>
      </c>
      <c r="G1405" t="s">
        <v>4317</v>
      </c>
      <c r="H1405" t="s">
        <v>111</v>
      </c>
      <c r="I1405" t="s">
        <v>4322</v>
      </c>
      <c r="J1405" t="s">
        <v>56</v>
      </c>
      <c r="K1405" t="s">
        <v>62</v>
      </c>
      <c r="L1405" t="s">
        <v>56</v>
      </c>
      <c r="M1405" t="s">
        <v>56</v>
      </c>
      <c r="N1405" t="s">
        <v>147</v>
      </c>
      <c r="O1405" t="s">
        <v>2476</v>
      </c>
      <c r="P1405" t="s">
        <v>2477</v>
      </c>
      <c r="Q1405" t="s">
        <v>247</v>
      </c>
      <c r="R1405" t="s">
        <v>248</v>
      </c>
      <c r="S1405">
        <v>116077996</v>
      </c>
      <c r="T1405">
        <v>104117609.53</v>
      </c>
      <c r="U1405" t="s">
        <v>68</v>
      </c>
      <c r="V1405" t="s">
        <v>4319</v>
      </c>
      <c r="W1405" s="9">
        <v>20000014</v>
      </c>
      <c r="X1405" t="s">
        <v>4323</v>
      </c>
      <c r="Y1405" s="1">
        <v>45058</v>
      </c>
      <c r="Z1405" s="1">
        <v>45118</v>
      </c>
      <c r="AA1405" s="2">
        <v>2377700</v>
      </c>
      <c r="AB1405" s="2">
        <v>2015000</v>
      </c>
      <c r="AC1405" s="2">
        <v>362700</v>
      </c>
      <c r="AD1405" s="2">
        <v>144527.25</v>
      </c>
      <c r="AE1405" t="s">
        <v>4324</v>
      </c>
      <c r="AF1405" t="s">
        <v>72</v>
      </c>
      <c r="AG1405">
        <v>960</v>
      </c>
      <c r="AH1405" t="s">
        <v>473</v>
      </c>
      <c r="AI1405" t="s">
        <v>74</v>
      </c>
      <c r="AJ1405" t="s">
        <v>127</v>
      </c>
      <c r="AK1405" t="s">
        <v>128</v>
      </c>
      <c r="AL1405" t="s">
        <v>77</v>
      </c>
      <c r="AM1405" t="s">
        <v>103</v>
      </c>
      <c r="AN1405" t="s">
        <v>2346</v>
      </c>
      <c r="AO1405" t="s">
        <v>80</v>
      </c>
      <c r="AP1405" t="e">
        <v>#N/A</v>
      </c>
      <c r="AQ1405" t="s">
        <v>129</v>
      </c>
      <c r="AR1405" t="str">
        <f t="shared" si="42"/>
        <v>20000014.SPMINEQ</v>
      </c>
      <c r="AS1405">
        <f t="shared" si="43"/>
        <v>11561263.479999999</v>
      </c>
      <c r="AT1405" t="s">
        <v>82</v>
      </c>
    </row>
    <row r="1406" spans="1:46" x14ac:dyDescent="0.35">
      <c r="A1406" t="s">
        <v>52</v>
      </c>
      <c r="B1406" t="s">
        <v>53</v>
      </c>
      <c r="C1406" t="s">
        <v>54</v>
      </c>
      <c r="D1406" t="s">
        <v>55</v>
      </c>
      <c r="E1406" t="s">
        <v>56</v>
      </c>
      <c r="F1406" t="s">
        <v>4316</v>
      </c>
      <c r="G1406" t="s">
        <v>4317</v>
      </c>
      <c r="H1406" t="s">
        <v>111</v>
      </c>
      <c r="I1406" t="s">
        <v>4325</v>
      </c>
      <c r="J1406" t="s">
        <v>56</v>
      </c>
      <c r="K1406" t="s">
        <v>62</v>
      </c>
      <c r="L1406" t="s">
        <v>56</v>
      </c>
      <c r="M1406" t="s">
        <v>56</v>
      </c>
      <c r="N1406" t="s">
        <v>147</v>
      </c>
      <c r="O1406" t="s">
        <v>2476</v>
      </c>
      <c r="P1406" t="s">
        <v>2477</v>
      </c>
      <c r="Q1406" t="s">
        <v>247</v>
      </c>
      <c r="R1406" t="s">
        <v>248</v>
      </c>
      <c r="S1406">
        <v>116077996</v>
      </c>
      <c r="T1406">
        <v>104117609.53</v>
      </c>
      <c r="U1406" t="s">
        <v>68</v>
      </c>
      <c r="V1406" t="s">
        <v>4319</v>
      </c>
      <c r="W1406" s="9">
        <v>20000014</v>
      </c>
      <c r="X1406" t="s">
        <v>4326</v>
      </c>
      <c r="Y1406" s="1">
        <v>45066</v>
      </c>
      <c r="Z1406" s="1">
        <v>45126</v>
      </c>
      <c r="AA1406" s="2">
        <v>2377700</v>
      </c>
      <c r="AB1406" s="2">
        <v>2015000</v>
      </c>
      <c r="AC1406" s="2">
        <v>362700</v>
      </c>
      <c r="AD1406" s="2">
        <v>148919.25</v>
      </c>
      <c r="AE1406" t="s">
        <v>4327</v>
      </c>
      <c r="AF1406" t="s">
        <v>72</v>
      </c>
      <c r="AG1406">
        <v>952</v>
      </c>
      <c r="AH1406" t="s">
        <v>473</v>
      </c>
      <c r="AI1406" t="s">
        <v>74</v>
      </c>
      <c r="AJ1406" t="s">
        <v>127</v>
      </c>
      <c r="AK1406" t="s">
        <v>128</v>
      </c>
      <c r="AL1406" t="s">
        <v>77</v>
      </c>
      <c r="AM1406" t="s">
        <v>103</v>
      </c>
      <c r="AN1406" t="s">
        <v>2346</v>
      </c>
      <c r="AO1406" t="s">
        <v>80</v>
      </c>
      <c r="AP1406" t="e">
        <v>#N/A</v>
      </c>
      <c r="AQ1406" t="s">
        <v>129</v>
      </c>
      <c r="AR1406" t="str">
        <f t="shared" si="42"/>
        <v>20000014.SPMINEQ</v>
      </c>
      <c r="AS1406">
        <f t="shared" si="43"/>
        <v>11561263.479999999</v>
      </c>
      <c r="AT1406" t="s">
        <v>82</v>
      </c>
    </row>
    <row r="1407" spans="1:46" x14ac:dyDescent="0.35">
      <c r="A1407" t="s">
        <v>52</v>
      </c>
      <c r="B1407" t="s">
        <v>53</v>
      </c>
      <c r="C1407" t="s">
        <v>54</v>
      </c>
      <c r="D1407" t="s">
        <v>55</v>
      </c>
      <c r="E1407" t="s">
        <v>56</v>
      </c>
      <c r="F1407" t="s">
        <v>4316</v>
      </c>
      <c r="G1407" t="s">
        <v>4317</v>
      </c>
      <c r="H1407" t="s">
        <v>111</v>
      </c>
      <c r="I1407" t="s">
        <v>4328</v>
      </c>
      <c r="J1407" t="s">
        <v>56</v>
      </c>
      <c r="K1407" t="s">
        <v>62</v>
      </c>
      <c r="L1407" t="s">
        <v>56</v>
      </c>
      <c r="M1407" t="s">
        <v>56</v>
      </c>
      <c r="N1407" t="s">
        <v>147</v>
      </c>
      <c r="O1407" t="s">
        <v>2476</v>
      </c>
      <c r="P1407" t="s">
        <v>2477</v>
      </c>
      <c r="Q1407" t="s">
        <v>247</v>
      </c>
      <c r="R1407" t="s">
        <v>248</v>
      </c>
      <c r="S1407">
        <v>116077996</v>
      </c>
      <c r="T1407">
        <v>104117609.53</v>
      </c>
      <c r="U1407" t="s">
        <v>68</v>
      </c>
      <c r="V1407" t="s">
        <v>4319</v>
      </c>
      <c r="W1407" s="9">
        <v>20000014</v>
      </c>
      <c r="X1407" t="s">
        <v>4329</v>
      </c>
      <c r="Y1407" s="1">
        <v>45066</v>
      </c>
      <c r="Z1407" s="1">
        <v>45126</v>
      </c>
      <c r="AA1407" s="2">
        <v>2377700</v>
      </c>
      <c r="AB1407" s="2">
        <v>2015000</v>
      </c>
      <c r="AC1407" s="2">
        <v>362700</v>
      </c>
      <c r="AD1407" s="2">
        <v>148919.25</v>
      </c>
      <c r="AE1407" t="s">
        <v>4330</v>
      </c>
      <c r="AF1407" t="s">
        <v>72</v>
      </c>
      <c r="AG1407">
        <v>952</v>
      </c>
      <c r="AH1407" t="s">
        <v>473</v>
      </c>
      <c r="AI1407" t="s">
        <v>74</v>
      </c>
      <c r="AJ1407" t="s">
        <v>127</v>
      </c>
      <c r="AK1407" t="s">
        <v>128</v>
      </c>
      <c r="AL1407" t="s">
        <v>77</v>
      </c>
      <c r="AM1407" t="s">
        <v>103</v>
      </c>
      <c r="AN1407" t="s">
        <v>2346</v>
      </c>
      <c r="AO1407" t="s">
        <v>80</v>
      </c>
      <c r="AP1407" t="e">
        <v>#N/A</v>
      </c>
      <c r="AQ1407" t="s">
        <v>129</v>
      </c>
      <c r="AR1407" t="str">
        <f t="shared" si="42"/>
        <v>20000014.SPMINEQ</v>
      </c>
      <c r="AS1407">
        <f t="shared" si="43"/>
        <v>11561263.479999999</v>
      </c>
      <c r="AT1407" t="s">
        <v>82</v>
      </c>
    </row>
    <row r="1408" spans="1:46" x14ac:dyDescent="0.35">
      <c r="A1408" t="s">
        <v>52</v>
      </c>
      <c r="B1408" t="s">
        <v>53</v>
      </c>
      <c r="C1408" t="s">
        <v>54</v>
      </c>
      <c r="D1408" t="s">
        <v>55</v>
      </c>
      <c r="E1408" t="s">
        <v>56</v>
      </c>
      <c r="F1408" t="s">
        <v>4316</v>
      </c>
      <c r="G1408" t="s">
        <v>4331</v>
      </c>
      <c r="H1408" t="s">
        <v>111</v>
      </c>
      <c r="I1408" t="s">
        <v>4332</v>
      </c>
      <c r="J1408" t="s">
        <v>56</v>
      </c>
      <c r="K1408" t="s">
        <v>62</v>
      </c>
      <c r="L1408" t="s">
        <v>56</v>
      </c>
      <c r="M1408" t="s">
        <v>56</v>
      </c>
      <c r="N1408" t="s">
        <v>147</v>
      </c>
      <c r="O1408" t="s">
        <v>2476</v>
      </c>
      <c r="P1408" t="s">
        <v>2477</v>
      </c>
      <c r="Q1408" t="s">
        <v>393</v>
      </c>
      <c r="R1408" t="s">
        <v>248</v>
      </c>
      <c r="S1408">
        <v>116077996</v>
      </c>
      <c r="T1408">
        <v>104117609.53</v>
      </c>
      <c r="U1408" t="s">
        <v>68</v>
      </c>
      <c r="V1408" t="s">
        <v>4319</v>
      </c>
      <c r="W1408" s="9">
        <v>20000014</v>
      </c>
      <c r="X1408" t="s">
        <v>4333</v>
      </c>
      <c r="Y1408" s="1">
        <v>45077</v>
      </c>
      <c r="Z1408" s="1">
        <v>45137</v>
      </c>
      <c r="AA1408" s="2">
        <v>1701560</v>
      </c>
      <c r="AB1408" s="2">
        <v>1442000</v>
      </c>
      <c r="AC1408" s="2">
        <v>259560</v>
      </c>
      <c r="AD1408" s="2">
        <v>98746.4</v>
      </c>
      <c r="AE1408" t="s">
        <v>4334</v>
      </c>
      <c r="AF1408" t="s">
        <v>72</v>
      </c>
      <c r="AG1408">
        <v>941</v>
      </c>
      <c r="AH1408" t="s">
        <v>473</v>
      </c>
      <c r="AI1408" t="s">
        <v>74</v>
      </c>
      <c r="AJ1408" t="s">
        <v>127</v>
      </c>
      <c r="AK1408" t="s">
        <v>128</v>
      </c>
      <c r="AL1408" t="s">
        <v>77</v>
      </c>
      <c r="AM1408" t="s">
        <v>103</v>
      </c>
      <c r="AN1408" t="s">
        <v>2346</v>
      </c>
      <c r="AO1408" t="s">
        <v>80</v>
      </c>
      <c r="AP1408" t="e">
        <v>#N/A</v>
      </c>
      <c r="AQ1408" t="s">
        <v>129</v>
      </c>
      <c r="AR1408" t="str">
        <f t="shared" si="42"/>
        <v>20000014.SPMINEQ</v>
      </c>
      <c r="AS1408">
        <f t="shared" si="43"/>
        <v>11561263.479999999</v>
      </c>
      <c r="AT1408" t="s">
        <v>82</v>
      </c>
    </row>
    <row r="1409" spans="1:46" x14ac:dyDescent="0.35">
      <c r="A1409" t="s">
        <v>52</v>
      </c>
      <c r="B1409" t="s">
        <v>53</v>
      </c>
      <c r="C1409" t="s">
        <v>54</v>
      </c>
      <c r="D1409" t="s">
        <v>55</v>
      </c>
      <c r="E1409" t="s">
        <v>56</v>
      </c>
      <c r="F1409" t="s">
        <v>4316</v>
      </c>
      <c r="G1409" t="s">
        <v>4331</v>
      </c>
      <c r="H1409" t="s">
        <v>111</v>
      </c>
      <c r="I1409" t="s">
        <v>4335</v>
      </c>
      <c r="J1409" t="s">
        <v>56</v>
      </c>
      <c r="K1409" t="s">
        <v>62</v>
      </c>
      <c r="L1409" t="s">
        <v>56</v>
      </c>
      <c r="M1409" t="s">
        <v>56</v>
      </c>
      <c r="N1409" t="s">
        <v>147</v>
      </c>
      <c r="O1409" t="s">
        <v>2476</v>
      </c>
      <c r="P1409" t="s">
        <v>2477</v>
      </c>
      <c r="Q1409" t="s">
        <v>393</v>
      </c>
      <c r="R1409" t="s">
        <v>248</v>
      </c>
      <c r="S1409">
        <v>116077996</v>
      </c>
      <c r="T1409">
        <v>104117609.53</v>
      </c>
      <c r="U1409" t="s">
        <v>68</v>
      </c>
      <c r="V1409" t="s">
        <v>4319</v>
      </c>
      <c r="W1409" s="9">
        <v>20000014</v>
      </c>
      <c r="X1409" t="s">
        <v>4336</v>
      </c>
      <c r="Y1409" s="1">
        <v>45077</v>
      </c>
      <c r="Z1409" s="1">
        <v>45137</v>
      </c>
      <c r="AA1409" s="2">
        <v>1701560</v>
      </c>
      <c r="AB1409" s="2">
        <v>1442000</v>
      </c>
      <c r="AC1409" s="2">
        <v>259560</v>
      </c>
      <c r="AD1409" s="2">
        <v>100365.6</v>
      </c>
      <c r="AE1409" t="s">
        <v>4337</v>
      </c>
      <c r="AF1409" t="s">
        <v>72</v>
      </c>
      <c r="AG1409">
        <v>941</v>
      </c>
      <c r="AH1409" t="s">
        <v>473</v>
      </c>
      <c r="AI1409" t="s">
        <v>74</v>
      </c>
      <c r="AJ1409" t="s">
        <v>127</v>
      </c>
      <c r="AK1409" t="s">
        <v>128</v>
      </c>
      <c r="AL1409" t="s">
        <v>77</v>
      </c>
      <c r="AM1409" t="s">
        <v>103</v>
      </c>
      <c r="AN1409" t="s">
        <v>2346</v>
      </c>
      <c r="AO1409" t="s">
        <v>80</v>
      </c>
      <c r="AP1409" t="e">
        <v>#N/A</v>
      </c>
      <c r="AQ1409" t="s">
        <v>129</v>
      </c>
      <c r="AR1409" t="str">
        <f t="shared" si="42"/>
        <v>20000014.SPMINEQ</v>
      </c>
      <c r="AS1409">
        <f t="shared" si="43"/>
        <v>11561263.479999999</v>
      </c>
      <c r="AT1409" t="s">
        <v>82</v>
      </c>
    </row>
    <row r="1410" spans="1:46" x14ac:dyDescent="0.35">
      <c r="A1410" t="s">
        <v>52</v>
      </c>
      <c r="B1410" t="s">
        <v>53</v>
      </c>
      <c r="C1410" t="s">
        <v>54</v>
      </c>
      <c r="D1410" t="s">
        <v>55</v>
      </c>
      <c r="E1410" t="s">
        <v>56</v>
      </c>
      <c r="F1410" t="s">
        <v>4316</v>
      </c>
      <c r="G1410" t="s">
        <v>4331</v>
      </c>
      <c r="H1410" t="s">
        <v>111</v>
      </c>
      <c r="I1410" t="s">
        <v>4338</v>
      </c>
      <c r="J1410" t="s">
        <v>56</v>
      </c>
      <c r="K1410" t="s">
        <v>62</v>
      </c>
      <c r="L1410" t="s">
        <v>56</v>
      </c>
      <c r="M1410" t="s">
        <v>56</v>
      </c>
      <c r="N1410" t="s">
        <v>147</v>
      </c>
      <c r="O1410" t="s">
        <v>2476</v>
      </c>
      <c r="P1410" t="s">
        <v>2477</v>
      </c>
      <c r="Q1410" t="s">
        <v>393</v>
      </c>
      <c r="R1410" t="s">
        <v>248</v>
      </c>
      <c r="S1410">
        <v>116077996</v>
      </c>
      <c r="T1410">
        <v>104117609.53</v>
      </c>
      <c r="U1410" t="s">
        <v>68</v>
      </c>
      <c r="V1410" t="s">
        <v>4319</v>
      </c>
      <c r="W1410" s="9">
        <v>20000014</v>
      </c>
      <c r="X1410" t="s">
        <v>4339</v>
      </c>
      <c r="Y1410" s="1">
        <v>45120</v>
      </c>
      <c r="Z1410" s="1">
        <v>45180</v>
      </c>
      <c r="AA1410" s="2">
        <v>5743060</v>
      </c>
      <c r="AB1410" s="2">
        <v>4867000</v>
      </c>
      <c r="AC1410" s="2">
        <v>876060</v>
      </c>
      <c r="AD1410" s="2">
        <v>339306</v>
      </c>
      <c r="AE1410" t="s">
        <v>4340</v>
      </c>
      <c r="AF1410" t="s">
        <v>72</v>
      </c>
      <c r="AG1410">
        <v>898</v>
      </c>
      <c r="AH1410" t="s">
        <v>473</v>
      </c>
      <c r="AI1410" t="s">
        <v>74</v>
      </c>
      <c r="AJ1410" t="s">
        <v>127</v>
      </c>
      <c r="AK1410" t="s">
        <v>128</v>
      </c>
      <c r="AL1410" t="s">
        <v>77</v>
      </c>
      <c r="AM1410" t="s">
        <v>103</v>
      </c>
      <c r="AN1410" t="s">
        <v>2346</v>
      </c>
      <c r="AO1410" t="s">
        <v>80</v>
      </c>
      <c r="AP1410" t="e">
        <v>#N/A</v>
      </c>
      <c r="AQ1410" t="s">
        <v>129</v>
      </c>
      <c r="AR1410" t="str">
        <f t="shared" si="42"/>
        <v>20000014.SPMINEQ</v>
      </c>
      <c r="AS1410">
        <f t="shared" si="43"/>
        <v>11561263.479999999</v>
      </c>
      <c r="AT1410" t="s">
        <v>82</v>
      </c>
    </row>
    <row r="1411" spans="1:46" x14ac:dyDescent="0.35">
      <c r="A1411" t="s">
        <v>52</v>
      </c>
      <c r="B1411" t="s">
        <v>53</v>
      </c>
      <c r="C1411" t="s">
        <v>54</v>
      </c>
      <c r="D1411" t="s">
        <v>55</v>
      </c>
      <c r="E1411" t="s">
        <v>56</v>
      </c>
      <c r="F1411" t="s">
        <v>4316</v>
      </c>
      <c r="G1411" t="s">
        <v>4331</v>
      </c>
      <c r="H1411" t="s">
        <v>111</v>
      </c>
      <c r="I1411" t="s">
        <v>4341</v>
      </c>
      <c r="J1411" t="s">
        <v>56</v>
      </c>
      <c r="K1411" t="s">
        <v>62</v>
      </c>
      <c r="L1411" t="s">
        <v>56</v>
      </c>
      <c r="M1411" t="s">
        <v>56</v>
      </c>
      <c r="N1411" t="s">
        <v>147</v>
      </c>
      <c r="O1411" t="s">
        <v>2476</v>
      </c>
      <c r="P1411" t="s">
        <v>2477</v>
      </c>
      <c r="Q1411" t="s">
        <v>393</v>
      </c>
      <c r="R1411" t="s">
        <v>248</v>
      </c>
      <c r="S1411">
        <v>116077996</v>
      </c>
      <c r="T1411">
        <v>104117609.53</v>
      </c>
      <c r="U1411" t="s">
        <v>68</v>
      </c>
      <c r="V1411" t="s">
        <v>4319</v>
      </c>
      <c r="W1411" s="9">
        <v>20000014</v>
      </c>
      <c r="X1411" t="s">
        <v>4342</v>
      </c>
      <c r="Y1411" s="1">
        <v>45120</v>
      </c>
      <c r="Z1411" s="1">
        <v>45180</v>
      </c>
      <c r="AA1411" s="2">
        <v>5743060</v>
      </c>
      <c r="AB1411" s="2">
        <v>4867000</v>
      </c>
      <c r="AC1411" s="2">
        <v>876060</v>
      </c>
      <c r="AD1411" s="2">
        <v>339306</v>
      </c>
      <c r="AE1411" t="s">
        <v>4343</v>
      </c>
      <c r="AF1411" t="s">
        <v>72</v>
      </c>
      <c r="AG1411">
        <v>898</v>
      </c>
      <c r="AH1411" t="s">
        <v>473</v>
      </c>
      <c r="AI1411" t="s">
        <v>74</v>
      </c>
      <c r="AJ1411" t="s">
        <v>127</v>
      </c>
      <c r="AK1411" t="s">
        <v>128</v>
      </c>
      <c r="AL1411" t="s">
        <v>77</v>
      </c>
      <c r="AM1411" t="s">
        <v>103</v>
      </c>
      <c r="AN1411" t="s">
        <v>2346</v>
      </c>
      <c r="AO1411" t="s">
        <v>80</v>
      </c>
      <c r="AP1411" t="e">
        <v>#N/A</v>
      </c>
      <c r="AQ1411" t="s">
        <v>129</v>
      </c>
      <c r="AR1411" t="str">
        <f t="shared" si="42"/>
        <v>20000014.SPMINEQ</v>
      </c>
      <c r="AS1411">
        <f t="shared" si="43"/>
        <v>11561263.479999999</v>
      </c>
      <c r="AT1411" t="s">
        <v>82</v>
      </c>
    </row>
    <row r="1412" spans="1:46" x14ac:dyDescent="0.35">
      <c r="A1412" t="s">
        <v>52</v>
      </c>
      <c r="B1412" t="s">
        <v>53</v>
      </c>
      <c r="C1412" t="s">
        <v>54</v>
      </c>
      <c r="D1412" t="s">
        <v>55</v>
      </c>
      <c r="E1412" t="s">
        <v>56</v>
      </c>
      <c r="F1412" t="s">
        <v>4316</v>
      </c>
      <c r="G1412" t="s">
        <v>4317</v>
      </c>
      <c r="H1412" t="s">
        <v>111</v>
      </c>
      <c r="I1412" t="s">
        <v>4344</v>
      </c>
      <c r="J1412" t="s">
        <v>56</v>
      </c>
      <c r="K1412" t="s">
        <v>62</v>
      </c>
      <c r="L1412" t="s">
        <v>56</v>
      </c>
      <c r="M1412" t="s">
        <v>56</v>
      </c>
      <c r="N1412" t="s">
        <v>56</v>
      </c>
      <c r="O1412" t="s">
        <v>2476</v>
      </c>
      <c r="P1412" t="s">
        <v>2477</v>
      </c>
      <c r="Q1412" t="s">
        <v>247</v>
      </c>
      <c r="R1412" t="s">
        <v>248</v>
      </c>
      <c r="S1412">
        <v>116077996</v>
      </c>
      <c r="T1412">
        <v>104117609.53</v>
      </c>
      <c r="U1412" t="s">
        <v>68</v>
      </c>
      <c r="V1412" t="s">
        <v>4319</v>
      </c>
      <c r="W1412" s="9">
        <v>20000014</v>
      </c>
      <c r="X1412" t="s">
        <v>4345</v>
      </c>
      <c r="Y1412" s="1">
        <v>45120</v>
      </c>
      <c r="Z1412" s="1">
        <v>45180</v>
      </c>
      <c r="AA1412" s="2">
        <v>11776.16</v>
      </c>
      <c r="AB1412" s="2">
        <v>9979.7999999999993</v>
      </c>
      <c r="AC1412" s="2">
        <v>1796.36</v>
      </c>
      <c r="AD1412" s="2">
        <v>702.37</v>
      </c>
      <c r="AE1412" t="s">
        <v>4345</v>
      </c>
      <c r="AF1412" t="s">
        <v>72</v>
      </c>
      <c r="AG1412">
        <v>898</v>
      </c>
      <c r="AH1412" t="s">
        <v>473</v>
      </c>
      <c r="AI1412" t="s">
        <v>74</v>
      </c>
      <c r="AJ1412" t="s">
        <v>127</v>
      </c>
      <c r="AK1412" t="s">
        <v>128</v>
      </c>
      <c r="AL1412" t="s">
        <v>77</v>
      </c>
      <c r="AM1412" t="s">
        <v>103</v>
      </c>
      <c r="AN1412" t="s">
        <v>2346</v>
      </c>
      <c r="AO1412" t="s">
        <v>80</v>
      </c>
      <c r="AP1412" t="e">
        <v>#N/A</v>
      </c>
      <c r="AQ1412" t="s">
        <v>129</v>
      </c>
      <c r="AR1412" t="str">
        <f t="shared" si="42"/>
        <v>20000014.SPMINEQ</v>
      </c>
      <c r="AS1412">
        <f t="shared" si="43"/>
        <v>11561263.479999999</v>
      </c>
      <c r="AT1412" t="s">
        <v>82</v>
      </c>
    </row>
    <row r="1413" spans="1:46" x14ac:dyDescent="0.35">
      <c r="A1413" t="s">
        <v>52</v>
      </c>
      <c r="B1413" t="s">
        <v>53</v>
      </c>
      <c r="C1413" t="s">
        <v>54</v>
      </c>
      <c r="D1413" t="s">
        <v>55</v>
      </c>
      <c r="E1413" t="s">
        <v>56</v>
      </c>
      <c r="F1413" t="s">
        <v>4316</v>
      </c>
      <c r="G1413" t="s">
        <v>4317</v>
      </c>
      <c r="H1413" t="s">
        <v>111</v>
      </c>
      <c r="I1413" t="s">
        <v>4344</v>
      </c>
      <c r="J1413" t="s">
        <v>56</v>
      </c>
      <c r="K1413" t="s">
        <v>62</v>
      </c>
      <c r="L1413" t="s">
        <v>56</v>
      </c>
      <c r="M1413" t="s">
        <v>56</v>
      </c>
      <c r="N1413" t="s">
        <v>147</v>
      </c>
      <c r="O1413" t="s">
        <v>2476</v>
      </c>
      <c r="P1413" t="s">
        <v>2477</v>
      </c>
      <c r="Q1413" t="s">
        <v>247</v>
      </c>
      <c r="R1413" t="s">
        <v>248</v>
      </c>
      <c r="S1413">
        <v>116077996</v>
      </c>
      <c r="T1413">
        <v>104117609.53</v>
      </c>
      <c r="U1413" t="s">
        <v>68</v>
      </c>
      <c r="V1413" t="s">
        <v>4319</v>
      </c>
      <c r="W1413" s="9">
        <v>20000014</v>
      </c>
      <c r="X1413" t="s">
        <v>4345</v>
      </c>
      <c r="Y1413" s="1">
        <v>45120</v>
      </c>
      <c r="Z1413" s="1">
        <v>45180</v>
      </c>
      <c r="AA1413" s="2">
        <v>5817423.8399999999</v>
      </c>
      <c r="AB1413" s="2">
        <v>4930020.2</v>
      </c>
      <c r="AC1413" s="2">
        <v>887403.64</v>
      </c>
      <c r="AD1413" s="2">
        <v>346970.63</v>
      </c>
      <c r="AE1413" t="s">
        <v>4346</v>
      </c>
      <c r="AF1413" t="s">
        <v>72</v>
      </c>
      <c r="AG1413">
        <v>898</v>
      </c>
      <c r="AH1413" t="s">
        <v>473</v>
      </c>
      <c r="AI1413" t="s">
        <v>74</v>
      </c>
      <c r="AJ1413" t="s">
        <v>127</v>
      </c>
      <c r="AK1413" t="s">
        <v>128</v>
      </c>
      <c r="AL1413" t="s">
        <v>77</v>
      </c>
      <c r="AM1413" t="s">
        <v>103</v>
      </c>
      <c r="AN1413" t="s">
        <v>2346</v>
      </c>
      <c r="AO1413" t="s">
        <v>80</v>
      </c>
      <c r="AP1413" t="e">
        <v>#N/A</v>
      </c>
      <c r="AQ1413" t="s">
        <v>129</v>
      </c>
      <c r="AR1413" t="str">
        <f t="shared" si="42"/>
        <v>20000014.SPMINEQ</v>
      </c>
      <c r="AS1413">
        <f t="shared" si="43"/>
        <v>11561263.479999999</v>
      </c>
      <c r="AT1413" t="s">
        <v>82</v>
      </c>
    </row>
    <row r="1414" spans="1:46" x14ac:dyDescent="0.35">
      <c r="A1414" t="s">
        <v>52</v>
      </c>
      <c r="B1414" t="s">
        <v>53</v>
      </c>
      <c r="C1414" t="s">
        <v>54</v>
      </c>
      <c r="D1414" t="s">
        <v>55</v>
      </c>
      <c r="E1414" t="s">
        <v>56</v>
      </c>
      <c r="F1414" t="s">
        <v>4316</v>
      </c>
      <c r="G1414" t="s">
        <v>4317</v>
      </c>
      <c r="H1414" t="s">
        <v>111</v>
      </c>
      <c r="I1414" t="s">
        <v>4347</v>
      </c>
      <c r="J1414" t="s">
        <v>56</v>
      </c>
      <c r="K1414" t="s">
        <v>62</v>
      </c>
      <c r="L1414" t="s">
        <v>56</v>
      </c>
      <c r="M1414" t="s">
        <v>56</v>
      </c>
      <c r="N1414" t="s">
        <v>147</v>
      </c>
      <c r="O1414" t="s">
        <v>2476</v>
      </c>
      <c r="P1414" t="s">
        <v>2477</v>
      </c>
      <c r="Q1414" t="s">
        <v>247</v>
      </c>
      <c r="R1414" t="s">
        <v>248</v>
      </c>
      <c r="S1414">
        <v>116077996</v>
      </c>
      <c r="T1414">
        <v>104117609.53</v>
      </c>
      <c r="U1414" t="s">
        <v>68</v>
      </c>
      <c r="V1414" t="s">
        <v>4319</v>
      </c>
      <c r="W1414" s="9">
        <v>20000014</v>
      </c>
      <c r="X1414" t="s">
        <v>4348</v>
      </c>
      <c r="Y1414" s="1">
        <v>45120</v>
      </c>
      <c r="Z1414" s="1">
        <v>45180</v>
      </c>
      <c r="AA1414" s="2">
        <v>5829200</v>
      </c>
      <c r="AB1414" s="2">
        <v>4940000</v>
      </c>
      <c r="AC1414" s="2">
        <v>889200</v>
      </c>
      <c r="AD1414" s="2">
        <v>347673</v>
      </c>
      <c r="AE1414" t="s">
        <v>4349</v>
      </c>
      <c r="AF1414" t="s">
        <v>72</v>
      </c>
      <c r="AG1414">
        <v>898</v>
      </c>
      <c r="AH1414" t="s">
        <v>473</v>
      </c>
      <c r="AI1414" t="s">
        <v>74</v>
      </c>
      <c r="AJ1414" t="s">
        <v>127</v>
      </c>
      <c r="AK1414" t="s">
        <v>128</v>
      </c>
      <c r="AL1414" t="s">
        <v>77</v>
      </c>
      <c r="AM1414" t="s">
        <v>103</v>
      </c>
      <c r="AN1414" t="s">
        <v>2346</v>
      </c>
      <c r="AO1414" t="s">
        <v>80</v>
      </c>
      <c r="AP1414" t="e">
        <v>#N/A</v>
      </c>
      <c r="AQ1414" t="s">
        <v>129</v>
      </c>
      <c r="AR1414" t="str">
        <f t="shared" si="42"/>
        <v>20000014.SPMINEQ</v>
      </c>
      <c r="AS1414">
        <f t="shared" si="43"/>
        <v>11561263.479999999</v>
      </c>
      <c r="AT1414" t="s">
        <v>82</v>
      </c>
    </row>
    <row r="1415" spans="1:46" x14ac:dyDescent="0.35">
      <c r="A1415" t="s">
        <v>52</v>
      </c>
      <c r="B1415" t="s">
        <v>53</v>
      </c>
      <c r="C1415" t="s">
        <v>54</v>
      </c>
      <c r="D1415" t="s">
        <v>55</v>
      </c>
      <c r="E1415" t="s">
        <v>56</v>
      </c>
      <c r="F1415" t="s">
        <v>4316</v>
      </c>
      <c r="G1415" t="s">
        <v>4331</v>
      </c>
      <c r="H1415" t="s">
        <v>111</v>
      </c>
      <c r="I1415" t="s">
        <v>4350</v>
      </c>
      <c r="J1415" t="s">
        <v>56</v>
      </c>
      <c r="K1415" t="s">
        <v>62</v>
      </c>
      <c r="L1415" t="s">
        <v>56</v>
      </c>
      <c r="M1415" t="s">
        <v>56</v>
      </c>
      <c r="N1415" t="s">
        <v>147</v>
      </c>
      <c r="O1415" t="s">
        <v>2476</v>
      </c>
      <c r="P1415" t="s">
        <v>2477</v>
      </c>
      <c r="Q1415" t="s">
        <v>393</v>
      </c>
      <c r="R1415" t="s">
        <v>248</v>
      </c>
      <c r="S1415">
        <v>116077996</v>
      </c>
      <c r="T1415">
        <v>104117609.53</v>
      </c>
      <c r="U1415" t="s">
        <v>68</v>
      </c>
      <c r="V1415" t="s">
        <v>4319</v>
      </c>
      <c r="W1415" s="9">
        <v>20000014</v>
      </c>
      <c r="X1415" t="s">
        <v>4351</v>
      </c>
      <c r="Y1415" s="1">
        <v>45121</v>
      </c>
      <c r="Z1415" s="1">
        <v>45181</v>
      </c>
      <c r="AA1415" s="2">
        <v>1701560</v>
      </c>
      <c r="AB1415" s="2">
        <v>1442000</v>
      </c>
      <c r="AC1415" s="2">
        <v>259560</v>
      </c>
      <c r="AD1415" s="2">
        <v>99556</v>
      </c>
      <c r="AE1415" t="s">
        <v>4352</v>
      </c>
      <c r="AF1415" t="s">
        <v>72</v>
      </c>
      <c r="AG1415">
        <v>897</v>
      </c>
      <c r="AH1415" t="s">
        <v>473</v>
      </c>
      <c r="AI1415" t="s">
        <v>74</v>
      </c>
      <c r="AJ1415" t="s">
        <v>127</v>
      </c>
      <c r="AK1415" t="s">
        <v>128</v>
      </c>
      <c r="AL1415" t="s">
        <v>77</v>
      </c>
      <c r="AM1415" t="s">
        <v>103</v>
      </c>
      <c r="AN1415" t="s">
        <v>2346</v>
      </c>
      <c r="AO1415" t="s">
        <v>80</v>
      </c>
      <c r="AP1415" t="e">
        <v>#N/A</v>
      </c>
      <c r="AQ1415" t="s">
        <v>129</v>
      </c>
      <c r="AR1415" t="str">
        <f t="shared" si="42"/>
        <v>20000014.SPMINEQ</v>
      </c>
      <c r="AS1415">
        <f t="shared" si="43"/>
        <v>11561263.479999999</v>
      </c>
      <c r="AT1415" t="s">
        <v>82</v>
      </c>
    </row>
    <row r="1416" spans="1:46" x14ac:dyDescent="0.35">
      <c r="A1416" t="s">
        <v>52</v>
      </c>
      <c r="B1416" t="s">
        <v>53</v>
      </c>
      <c r="C1416" t="s">
        <v>54</v>
      </c>
      <c r="D1416" t="s">
        <v>55</v>
      </c>
      <c r="E1416" t="s">
        <v>56</v>
      </c>
      <c r="F1416" t="s">
        <v>4316</v>
      </c>
      <c r="G1416" t="s">
        <v>4331</v>
      </c>
      <c r="H1416" t="s">
        <v>111</v>
      </c>
      <c r="I1416" t="s">
        <v>4353</v>
      </c>
      <c r="J1416" t="s">
        <v>56</v>
      </c>
      <c r="K1416" t="s">
        <v>62</v>
      </c>
      <c r="L1416" t="s">
        <v>56</v>
      </c>
      <c r="M1416" t="s">
        <v>56</v>
      </c>
      <c r="N1416" t="s">
        <v>147</v>
      </c>
      <c r="O1416" t="s">
        <v>2476</v>
      </c>
      <c r="P1416" t="s">
        <v>2477</v>
      </c>
      <c r="Q1416" t="s">
        <v>393</v>
      </c>
      <c r="R1416" t="s">
        <v>248</v>
      </c>
      <c r="S1416">
        <v>116077996</v>
      </c>
      <c r="T1416">
        <v>104117609.53</v>
      </c>
      <c r="U1416" t="s">
        <v>68</v>
      </c>
      <c r="V1416" t="s">
        <v>4319</v>
      </c>
      <c r="W1416" s="9">
        <v>20000014</v>
      </c>
      <c r="X1416" t="s">
        <v>4354</v>
      </c>
      <c r="Y1416" s="1">
        <v>45121</v>
      </c>
      <c r="Z1416" s="1">
        <v>45181</v>
      </c>
      <c r="AA1416" s="2">
        <v>1701560</v>
      </c>
      <c r="AB1416" s="2">
        <v>1442000</v>
      </c>
      <c r="AC1416" s="2">
        <v>259560</v>
      </c>
      <c r="AD1416" s="2">
        <v>99556</v>
      </c>
      <c r="AE1416" t="s">
        <v>4355</v>
      </c>
      <c r="AF1416" t="s">
        <v>72</v>
      </c>
      <c r="AG1416">
        <v>897</v>
      </c>
      <c r="AH1416" t="s">
        <v>473</v>
      </c>
      <c r="AI1416" t="s">
        <v>74</v>
      </c>
      <c r="AJ1416" t="s">
        <v>127</v>
      </c>
      <c r="AK1416" t="s">
        <v>128</v>
      </c>
      <c r="AL1416" t="s">
        <v>77</v>
      </c>
      <c r="AM1416" t="s">
        <v>103</v>
      </c>
      <c r="AN1416" t="s">
        <v>2346</v>
      </c>
      <c r="AO1416" t="s">
        <v>80</v>
      </c>
      <c r="AP1416" t="e">
        <v>#N/A</v>
      </c>
      <c r="AQ1416" t="s">
        <v>129</v>
      </c>
      <c r="AR1416" t="str">
        <f t="shared" ref="AR1416:AR1479" si="44">W1416&amp;"."&amp;AQ1416</f>
        <v>20000014.SPMINEQ</v>
      </c>
      <c r="AS1416">
        <f t="shared" ref="AS1416:AS1479" si="45">SUMIFS(AD:AD,AQ:AQ,AQ1416,W:W,W1416)</f>
        <v>11561263.479999999</v>
      </c>
      <c r="AT1416" t="s">
        <v>82</v>
      </c>
    </row>
    <row r="1417" spans="1:46" x14ac:dyDescent="0.35">
      <c r="A1417" t="s">
        <v>52</v>
      </c>
      <c r="B1417" t="s">
        <v>53</v>
      </c>
      <c r="C1417" t="s">
        <v>54</v>
      </c>
      <c r="D1417" t="s">
        <v>55</v>
      </c>
      <c r="E1417" t="s">
        <v>56</v>
      </c>
      <c r="F1417" t="s">
        <v>4316</v>
      </c>
      <c r="G1417" t="s">
        <v>4317</v>
      </c>
      <c r="H1417" t="s">
        <v>111</v>
      </c>
      <c r="I1417" t="s">
        <v>4356</v>
      </c>
      <c r="J1417" t="s">
        <v>56</v>
      </c>
      <c r="K1417" t="s">
        <v>62</v>
      </c>
      <c r="L1417" t="s">
        <v>56</v>
      </c>
      <c r="M1417" t="s">
        <v>56</v>
      </c>
      <c r="N1417" t="s">
        <v>56</v>
      </c>
      <c r="O1417" t="s">
        <v>2476</v>
      </c>
      <c r="P1417" t="s">
        <v>2477</v>
      </c>
      <c r="Q1417" t="s">
        <v>247</v>
      </c>
      <c r="R1417" t="s">
        <v>248</v>
      </c>
      <c r="S1417">
        <v>116077996</v>
      </c>
      <c r="T1417">
        <v>104117609.53</v>
      </c>
      <c r="U1417" t="s">
        <v>68</v>
      </c>
      <c r="V1417" t="s">
        <v>4319</v>
      </c>
      <c r="W1417" s="9">
        <v>20000014</v>
      </c>
      <c r="X1417" t="s">
        <v>4357</v>
      </c>
      <c r="Y1417" s="1">
        <v>45180</v>
      </c>
      <c r="Z1417" s="1">
        <v>45240</v>
      </c>
      <c r="AA1417" s="2">
        <v>11786.51</v>
      </c>
      <c r="AB1417" s="2">
        <v>9988.57</v>
      </c>
      <c r="AC1417" s="2">
        <v>1797.94</v>
      </c>
      <c r="AD1417" s="2">
        <v>676.02</v>
      </c>
      <c r="AE1417" t="s">
        <v>4357</v>
      </c>
      <c r="AF1417" t="s">
        <v>72</v>
      </c>
      <c r="AG1417">
        <v>838</v>
      </c>
      <c r="AH1417" t="s">
        <v>473</v>
      </c>
      <c r="AI1417" t="s">
        <v>74</v>
      </c>
      <c r="AJ1417" t="s">
        <v>127</v>
      </c>
      <c r="AK1417" t="s">
        <v>128</v>
      </c>
      <c r="AL1417" t="s">
        <v>77</v>
      </c>
      <c r="AM1417" t="s">
        <v>103</v>
      </c>
      <c r="AN1417" t="s">
        <v>2346</v>
      </c>
      <c r="AO1417" t="s">
        <v>80</v>
      </c>
      <c r="AP1417" t="e">
        <v>#N/A</v>
      </c>
      <c r="AQ1417" t="s">
        <v>129</v>
      </c>
      <c r="AR1417" t="str">
        <f t="shared" si="44"/>
        <v>20000014.SPMINEQ</v>
      </c>
      <c r="AS1417">
        <f t="shared" si="45"/>
        <v>11561263.479999999</v>
      </c>
      <c r="AT1417" t="s">
        <v>82</v>
      </c>
    </row>
    <row r="1418" spans="1:46" x14ac:dyDescent="0.35">
      <c r="A1418" t="s">
        <v>52</v>
      </c>
      <c r="B1418" t="s">
        <v>53</v>
      </c>
      <c r="C1418" t="s">
        <v>54</v>
      </c>
      <c r="D1418" t="s">
        <v>55</v>
      </c>
      <c r="E1418" t="s">
        <v>56</v>
      </c>
      <c r="F1418" t="s">
        <v>4316</v>
      </c>
      <c r="G1418" t="s">
        <v>4317</v>
      </c>
      <c r="H1418" t="s">
        <v>111</v>
      </c>
      <c r="I1418" t="s">
        <v>4356</v>
      </c>
      <c r="J1418" t="s">
        <v>56</v>
      </c>
      <c r="K1418" t="s">
        <v>62</v>
      </c>
      <c r="L1418" t="s">
        <v>56</v>
      </c>
      <c r="M1418" t="s">
        <v>56</v>
      </c>
      <c r="N1418" t="s">
        <v>147</v>
      </c>
      <c r="O1418" t="s">
        <v>2476</v>
      </c>
      <c r="P1418" t="s">
        <v>2477</v>
      </c>
      <c r="Q1418" t="s">
        <v>247</v>
      </c>
      <c r="R1418" t="s">
        <v>248</v>
      </c>
      <c r="S1418">
        <v>116077996</v>
      </c>
      <c r="T1418">
        <v>104117609.53</v>
      </c>
      <c r="U1418" t="s">
        <v>68</v>
      </c>
      <c r="V1418" t="s">
        <v>4319</v>
      </c>
      <c r="W1418" s="9">
        <v>20000014</v>
      </c>
      <c r="X1418" t="s">
        <v>4357</v>
      </c>
      <c r="Y1418" s="1">
        <v>45180</v>
      </c>
      <c r="Z1418" s="1">
        <v>45240</v>
      </c>
      <c r="AA1418" s="2">
        <v>10301412.310000001</v>
      </c>
      <c r="AB1418" s="2">
        <v>8730010.4299999997</v>
      </c>
      <c r="AC1418" s="2">
        <v>1571401.88</v>
      </c>
      <c r="AD1418" s="2">
        <v>590842.26</v>
      </c>
      <c r="AE1418" t="s">
        <v>4358</v>
      </c>
      <c r="AF1418" t="s">
        <v>72</v>
      </c>
      <c r="AG1418">
        <v>838</v>
      </c>
      <c r="AH1418" t="s">
        <v>473</v>
      </c>
      <c r="AI1418" t="s">
        <v>74</v>
      </c>
      <c r="AJ1418" t="s">
        <v>127</v>
      </c>
      <c r="AK1418" t="s">
        <v>128</v>
      </c>
      <c r="AL1418" t="s">
        <v>77</v>
      </c>
      <c r="AM1418" t="s">
        <v>103</v>
      </c>
      <c r="AN1418" t="s">
        <v>2346</v>
      </c>
      <c r="AO1418" t="s">
        <v>80</v>
      </c>
      <c r="AP1418" t="e">
        <v>#N/A</v>
      </c>
      <c r="AQ1418" t="s">
        <v>129</v>
      </c>
      <c r="AR1418" t="str">
        <f t="shared" si="44"/>
        <v>20000014.SPMINEQ</v>
      </c>
      <c r="AS1418">
        <f t="shared" si="45"/>
        <v>11561263.479999999</v>
      </c>
      <c r="AT1418" t="s">
        <v>82</v>
      </c>
    </row>
    <row r="1419" spans="1:46" x14ac:dyDescent="0.35">
      <c r="A1419" t="s">
        <v>52</v>
      </c>
      <c r="B1419" t="s">
        <v>53</v>
      </c>
      <c r="C1419" t="s">
        <v>54</v>
      </c>
      <c r="D1419" t="s">
        <v>55</v>
      </c>
      <c r="E1419" t="s">
        <v>56</v>
      </c>
      <c r="F1419" t="s">
        <v>4316</v>
      </c>
      <c r="G1419" t="s">
        <v>4317</v>
      </c>
      <c r="H1419" t="s">
        <v>111</v>
      </c>
      <c r="I1419" t="s">
        <v>4359</v>
      </c>
      <c r="J1419" t="s">
        <v>56</v>
      </c>
      <c r="K1419" t="s">
        <v>62</v>
      </c>
      <c r="L1419" t="s">
        <v>56</v>
      </c>
      <c r="M1419" t="s">
        <v>56</v>
      </c>
      <c r="N1419" t="s">
        <v>147</v>
      </c>
      <c r="O1419" t="s">
        <v>2476</v>
      </c>
      <c r="P1419" t="s">
        <v>2477</v>
      </c>
      <c r="Q1419" t="s">
        <v>247</v>
      </c>
      <c r="R1419" t="s">
        <v>248</v>
      </c>
      <c r="S1419">
        <v>116077996</v>
      </c>
      <c r="T1419">
        <v>104117609.53</v>
      </c>
      <c r="U1419" t="s">
        <v>68</v>
      </c>
      <c r="V1419" t="s">
        <v>4319</v>
      </c>
      <c r="W1419" s="9">
        <v>20000014</v>
      </c>
      <c r="X1419" t="s">
        <v>4360</v>
      </c>
      <c r="Y1419" s="1">
        <v>45180</v>
      </c>
      <c r="Z1419" s="1">
        <v>45240</v>
      </c>
      <c r="AA1419" s="2">
        <v>10313198.82</v>
      </c>
      <c r="AB1419" s="2">
        <v>8739999</v>
      </c>
      <c r="AC1419" s="2">
        <v>1573199.82</v>
      </c>
      <c r="AD1419" s="2">
        <v>614746.18000000005</v>
      </c>
      <c r="AE1419" t="s">
        <v>4361</v>
      </c>
      <c r="AF1419" t="s">
        <v>72</v>
      </c>
      <c r="AG1419">
        <v>838</v>
      </c>
      <c r="AH1419" t="s">
        <v>473</v>
      </c>
      <c r="AI1419" t="s">
        <v>74</v>
      </c>
      <c r="AJ1419" t="s">
        <v>127</v>
      </c>
      <c r="AK1419" t="s">
        <v>128</v>
      </c>
      <c r="AL1419" t="s">
        <v>77</v>
      </c>
      <c r="AM1419" t="s">
        <v>103</v>
      </c>
      <c r="AN1419" t="s">
        <v>2346</v>
      </c>
      <c r="AO1419" t="s">
        <v>80</v>
      </c>
      <c r="AP1419" t="e">
        <v>#N/A</v>
      </c>
      <c r="AQ1419" t="s">
        <v>129</v>
      </c>
      <c r="AR1419" t="str">
        <f t="shared" si="44"/>
        <v>20000014.SPMINEQ</v>
      </c>
      <c r="AS1419">
        <f t="shared" si="45"/>
        <v>11561263.479999999</v>
      </c>
      <c r="AT1419" t="s">
        <v>82</v>
      </c>
    </row>
    <row r="1420" spans="1:46" x14ac:dyDescent="0.35">
      <c r="A1420" t="s">
        <v>52</v>
      </c>
      <c r="B1420" t="s">
        <v>53</v>
      </c>
      <c r="C1420" t="s">
        <v>54</v>
      </c>
      <c r="D1420" t="s">
        <v>55</v>
      </c>
      <c r="E1420" t="s">
        <v>56</v>
      </c>
      <c r="F1420" t="s">
        <v>4316</v>
      </c>
      <c r="G1420" t="s">
        <v>4317</v>
      </c>
      <c r="H1420" t="s">
        <v>111</v>
      </c>
      <c r="I1420" t="s">
        <v>4362</v>
      </c>
      <c r="J1420" t="s">
        <v>56</v>
      </c>
      <c r="K1420" t="s">
        <v>62</v>
      </c>
      <c r="L1420" t="s">
        <v>56</v>
      </c>
      <c r="M1420" t="s">
        <v>56</v>
      </c>
      <c r="N1420" t="s">
        <v>147</v>
      </c>
      <c r="O1420" t="s">
        <v>2476</v>
      </c>
      <c r="P1420" t="s">
        <v>2477</v>
      </c>
      <c r="Q1420" t="s">
        <v>247</v>
      </c>
      <c r="R1420" t="s">
        <v>248</v>
      </c>
      <c r="S1420">
        <v>116077996</v>
      </c>
      <c r="T1420">
        <v>104117609.53</v>
      </c>
      <c r="U1420" t="s">
        <v>68</v>
      </c>
      <c r="V1420" t="s">
        <v>4319</v>
      </c>
      <c r="W1420" s="9">
        <v>20000014</v>
      </c>
      <c r="X1420" t="s">
        <v>4363</v>
      </c>
      <c r="Y1420" s="1">
        <v>45191</v>
      </c>
      <c r="Z1420" s="1">
        <v>45251</v>
      </c>
      <c r="AA1420" s="2">
        <v>10903200</v>
      </c>
      <c r="AB1420" s="2">
        <v>9240000</v>
      </c>
      <c r="AC1420" s="2">
        <v>1663200</v>
      </c>
      <c r="AD1420" s="2">
        <v>595402.12</v>
      </c>
      <c r="AE1420" t="s">
        <v>4364</v>
      </c>
      <c r="AF1420" t="s">
        <v>72</v>
      </c>
      <c r="AG1420">
        <v>827</v>
      </c>
      <c r="AH1420" t="s">
        <v>473</v>
      </c>
      <c r="AI1420" t="s">
        <v>74</v>
      </c>
      <c r="AJ1420" t="s">
        <v>127</v>
      </c>
      <c r="AK1420" t="s">
        <v>128</v>
      </c>
      <c r="AL1420" t="s">
        <v>77</v>
      </c>
      <c r="AM1420" t="s">
        <v>103</v>
      </c>
      <c r="AN1420" t="s">
        <v>2346</v>
      </c>
      <c r="AO1420" t="s">
        <v>80</v>
      </c>
      <c r="AP1420" t="e">
        <v>#N/A</v>
      </c>
      <c r="AQ1420" t="s">
        <v>129</v>
      </c>
      <c r="AR1420" t="str">
        <f t="shared" si="44"/>
        <v>20000014.SPMINEQ</v>
      </c>
      <c r="AS1420">
        <f t="shared" si="45"/>
        <v>11561263.479999999</v>
      </c>
      <c r="AT1420" t="s">
        <v>82</v>
      </c>
    </row>
    <row r="1421" spans="1:46" x14ac:dyDescent="0.35">
      <c r="A1421" t="s">
        <v>52</v>
      </c>
      <c r="B1421" t="s">
        <v>53</v>
      </c>
      <c r="C1421" t="s">
        <v>54</v>
      </c>
      <c r="D1421" t="s">
        <v>55</v>
      </c>
      <c r="E1421" t="s">
        <v>56</v>
      </c>
      <c r="F1421" t="s">
        <v>4316</v>
      </c>
      <c r="G1421" t="s">
        <v>4317</v>
      </c>
      <c r="H1421" t="s">
        <v>111</v>
      </c>
      <c r="I1421" t="s">
        <v>4365</v>
      </c>
      <c r="J1421" t="s">
        <v>56</v>
      </c>
      <c r="K1421" t="s">
        <v>62</v>
      </c>
      <c r="L1421" t="s">
        <v>56</v>
      </c>
      <c r="M1421" t="s">
        <v>56</v>
      </c>
      <c r="N1421" t="s">
        <v>147</v>
      </c>
      <c r="O1421" t="s">
        <v>2476</v>
      </c>
      <c r="P1421" t="s">
        <v>2477</v>
      </c>
      <c r="Q1421" t="s">
        <v>247</v>
      </c>
      <c r="R1421" t="s">
        <v>248</v>
      </c>
      <c r="S1421">
        <v>116077996</v>
      </c>
      <c r="T1421">
        <v>104117609.53</v>
      </c>
      <c r="U1421" t="s">
        <v>68</v>
      </c>
      <c r="V1421" t="s">
        <v>4319</v>
      </c>
      <c r="W1421" s="9">
        <v>20000014</v>
      </c>
      <c r="X1421" t="s">
        <v>4366</v>
      </c>
      <c r="Y1421" s="1">
        <v>45191</v>
      </c>
      <c r="Z1421" s="1">
        <v>45251</v>
      </c>
      <c r="AA1421" s="2">
        <v>10903200</v>
      </c>
      <c r="AB1421" s="2">
        <v>9240000</v>
      </c>
      <c r="AC1421" s="2">
        <v>1663200</v>
      </c>
      <c r="AD1421" s="2">
        <v>95160</v>
      </c>
      <c r="AE1421" t="s">
        <v>4367</v>
      </c>
      <c r="AF1421" t="s">
        <v>72</v>
      </c>
      <c r="AG1421">
        <v>827</v>
      </c>
      <c r="AH1421" t="s">
        <v>473</v>
      </c>
      <c r="AI1421" t="s">
        <v>74</v>
      </c>
      <c r="AJ1421" t="s">
        <v>127</v>
      </c>
      <c r="AK1421" t="s">
        <v>128</v>
      </c>
      <c r="AL1421" t="s">
        <v>77</v>
      </c>
      <c r="AM1421" t="s">
        <v>103</v>
      </c>
      <c r="AN1421" t="s">
        <v>2346</v>
      </c>
      <c r="AO1421" t="s">
        <v>80</v>
      </c>
      <c r="AP1421" t="e">
        <v>#N/A</v>
      </c>
      <c r="AQ1421" t="s">
        <v>129</v>
      </c>
      <c r="AR1421" t="str">
        <f t="shared" si="44"/>
        <v>20000014.SPMINEQ</v>
      </c>
      <c r="AS1421">
        <f t="shared" si="45"/>
        <v>11561263.479999999</v>
      </c>
      <c r="AT1421" t="s">
        <v>82</v>
      </c>
    </row>
    <row r="1422" spans="1:46" x14ac:dyDescent="0.35">
      <c r="A1422" t="s">
        <v>52</v>
      </c>
      <c r="B1422" t="s">
        <v>53</v>
      </c>
      <c r="C1422" t="s">
        <v>54</v>
      </c>
      <c r="D1422" t="s">
        <v>55</v>
      </c>
      <c r="E1422" t="s">
        <v>56</v>
      </c>
      <c r="F1422" t="s">
        <v>4316</v>
      </c>
      <c r="G1422" t="s">
        <v>4368</v>
      </c>
      <c r="H1422" t="s">
        <v>111</v>
      </c>
      <c r="I1422" t="s">
        <v>4369</v>
      </c>
      <c r="J1422" t="s">
        <v>56</v>
      </c>
      <c r="K1422" t="s">
        <v>62</v>
      </c>
      <c r="L1422" t="s">
        <v>56</v>
      </c>
      <c r="M1422" t="s">
        <v>56</v>
      </c>
      <c r="N1422" t="s">
        <v>56</v>
      </c>
      <c r="O1422" t="s">
        <v>2476</v>
      </c>
      <c r="P1422" t="s">
        <v>2477</v>
      </c>
      <c r="Q1422" t="s">
        <v>853</v>
      </c>
      <c r="R1422" t="s">
        <v>248</v>
      </c>
      <c r="S1422">
        <v>116077996</v>
      </c>
      <c r="T1422">
        <v>104117609.53</v>
      </c>
      <c r="U1422" t="s">
        <v>68</v>
      </c>
      <c r="V1422" t="s">
        <v>4319</v>
      </c>
      <c r="W1422" s="9">
        <v>20000014</v>
      </c>
      <c r="X1422" t="s">
        <v>4370</v>
      </c>
      <c r="Y1422" s="1">
        <v>45194</v>
      </c>
      <c r="Z1422" s="1">
        <v>45254</v>
      </c>
      <c r="AA1422" s="2">
        <v>11775.87</v>
      </c>
      <c r="AB1422" s="2">
        <v>9979.5499999999993</v>
      </c>
      <c r="AC1422" s="2">
        <v>1796.32</v>
      </c>
      <c r="AD1422" s="2">
        <v>1006.94</v>
      </c>
      <c r="AE1422" t="s">
        <v>4370</v>
      </c>
      <c r="AF1422" t="s">
        <v>72</v>
      </c>
      <c r="AG1422">
        <v>824</v>
      </c>
      <c r="AH1422" t="s">
        <v>473</v>
      </c>
      <c r="AI1422" t="s">
        <v>74</v>
      </c>
      <c r="AJ1422" t="s">
        <v>127</v>
      </c>
      <c r="AK1422" t="s">
        <v>128</v>
      </c>
      <c r="AL1422" t="s">
        <v>77</v>
      </c>
      <c r="AM1422" t="s">
        <v>103</v>
      </c>
      <c r="AN1422" t="s">
        <v>2346</v>
      </c>
      <c r="AO1422" t="s">
        <v>80</v>
      </c>
      <c r="AP1422" t="e">
        <v>#N/A</v>
      </c>
      <c r="AQ1422" t="s">
        <v>129</v>
      </c>
      <c r="AR1422" t="str">
        <f t="shared" si="44"/>
        <v>20000014.SPMINEQ</v>
      </c>
      <c r="AS1422">
        <f t="shared" si="45"/>
        <v>11561263.479999999</v>
      </c>
      <c r="AT1422" t="s">
        <v>82</v>
      </c>
    </row>
    <row r="1423" spans="1:46" x14ac:dyDescent="0.35">
      <c r="A1423" t="s">
        <v>52</v>
      </c>
      <c r="B1423" t="s">
        <v>53</v>
      </c>
      <c r="C1423" t="s">
        <v>54</v>
      </c>
      <c r="D1423" t="s">
        <v>55</v>
      </c>
      <c r="E1423" t="s">
        <v>56</v>
      </c>
      <c r="F1423" t="s">
        <v>4316</v>
      </c>
      <c r="G1423" t="s">
        <v>4368</v>
      </c>
      <c r="H1423" t="s">
        <v>111</v>
      </c>
      <c r="I1423" t="s">
        <v>4369</v>
      </c>
      <c r="J1423" t="s">
        <v>56</v>
      </c>
      <c r="K1423" t="s">
        <v>62</v>
      </c>
      <c r="L1423" t="s">
        <v>56</v>
      </c>
      <c r="M1423" t="s">
        <v>56</v>
      </c>
      <c r="N1423" t="s">
        <v>147</v>
      </c>
      <c r="O1423" t="s">
        <v>2476</v>
      </c>
      <c r="P1423" t="s">
        <v>2477</v>
      </c>
      <c r="Q1423" t="s">
        <v>853</v>
      </c>
      <c r="R1423" t="s">
        <v>248</v>
      </c>
      <c r="S1423">
        <v>116077996</v>
      </c>
      <c r="T1423">
        <v>104117609.53</v>
      </c>
      <c r="U1423" t="s">
        <v>68</v>
      </c>
      <c r="V1423" t="s">
        <v>4319</v>
      </c>
      <c r="W1423" s="9">
        <v>20000014</v>
      </c>
      <c r="X1423" t="s">
        <v>4370</v>
      </c>
      <c r="Y1423" s="1">
        <v>45194</v>
      </c>
      <c r="Z1423" s="1">
        <v>45254</v>
      </c>
      <c r="AA1423" s="2">
        <v>5746624.1299999999</v>
      </c>
      <c r="AB1423" s="2">
        <v>4870020.45</v>
      </c>
      <c r="AC1423" s="2">
        <v>876603.68</v>
      </c>
      <c r="AD1423" s="2">
        <v>491385.06</v>
      </c>
      <c r="AE1423" t="s">
        <v>4371</v>
      </c>
      <c r="AF1423" t="s">
        <v>72</v>
      </c>
      <c r="AG1423">
        <v>824</v>
      </c>
      <c r="AH1423" t="s">
        <v>473</v>
      </c>
      <c r="AI1423" t="s">
        <v>74</v>
      </c>
      <c r="AJ1423" t="s">
        <v>127</v>
      </c>
      <c r="AK1423" t="s">
        <v>128</v>
      </c>
      <c r="AL1423" t="s">
        <v>77</v>
      </c>
      <c r="AM1423" t="s">
        <v>103</v>
      </c>
      <c r="AN1423" t="s">
        <v>2346</v>
      </c>
      <c r="AO1423" t="s">
        <v>80</v>
      </c>
      <c r="AP1423" t="e">
        <v>#N/A</v>
      </c>
      <c r="AQ1423" t="s">
        <v>129</v>
      </c>
      <c r="AR1423" t="str">
        <f t="shared" si="44"/>
        <v>20000014.SPMINEQ</v>
      </c>
      <c r="AS1423">
        <f t="shared" si="45"/>
        <v>11561263.479999999</v>
      </c>
      <c r="AT1423" t="s">
        <v>82</v>
      </c>
    </row>
    <row r="1424" spans="1:46" x14ac:dyDescent="0.35">
      <c r="A1424" t="s">
        <v>52</v>
      </c>
      <c r="B1424" t="s">
        <v>53</v>
      </c>
      <c r="C1424" t="s">
        <v>54</v>
      </c>
      <c r="D1424" t="s">
        <v>55</v>
      </c>
      <c r="E1424" t="s">
        <v>56</v>
      </c>
      <c r="F1424" t="s">
        <v>4316</v>
      </c>
      <c r="G1424" t="s">
        <v>4368</v>
      </c>
      <c r="H1424" t="s">
        <v>111</v>
      </c>
      <c r="I1424" t="s">
        <v>4372</v>
      </c>
      <c r="J1424" t="s">
        <v>56</v>
      </c>
      <c r="K1424" t="s">
        <v>62</v>
      </c>
      <c r="L1424" t="s">
        <v>56</v>
      </c>
      <c r="M1424" t="s">
        <v>56</v>
      </c>
      <c r="N1424" t="s">
        <v>147</v>
      </c>
      <c r="O1424" t="s">
        <v>2476</v>
      </c>
      <c r="P1424" t="s">
        <v>2477</v>
      </c>
      <c r="Q1424" t="s">
        <v>853</v>
      </c>
      <c r="R1424" t="s">
        <v>248</v>
      </c>
      <c r="S1424">
        <v>116077996</v>
      </c>
      <c r="T1424">
        <v>104117609.53</v>
      </c>
      <c r="U1424" t="s">
        <v>68</v>
      </c>
      <c r="V1424" t="s">
        <v>4319</v>
      </c>
      <c r="W1424" s="9">
        <v>20000014</v>
      </c>
      <c r="X1424" t="s">
        <v>4373</v>
      </c>
      <c r="Y1424" s="1">
        <v>45195</v>
      </c>
      <c r="Z1424" s="1">
        <v>45255</v>
      </c>
      <c r="AA1424" s="2">
        <v>5758400</v>
      </c>
      <c r="AB1424" s="2">
        <v>4880000</v>
      </c>
      <c r="AC1424" s="2">
        <v>878400</v>
      </c>
      <c r="AD1424" s="2">
        <v>404552</v>
      </c>
      <c r="AE1424" t="s">
        <v>4374</v>
      </c>
      <c r="AF1424" t="s">
        <v>72</v>
      </c>
      <c r="AG1424">
        <v>823</v>
      </c>
      <c r="AH1424" t="s">
        <v>473</v>
      </c>
      <c r="AI1424" t="s">
        <v>74</v>
      </c>
      <c r="AJ1424" t="s">
        <v>127</v>
      </c>
      <c r="AK1424" t="s">
        <v>128</v>
      </c>
      <c r="AL1424" t="s">
        <v>77</v>
      </c>
      <c r="AM1424" t="s">
        <v>103</v>
      </c>
      <c r="AN1424" t="s">
        <v>2346</v>
      </c>
      <c r="AO1424" t="s">
        <v>80</v>
      </c>
      <c r="AP1424" t="e">
        <v>#N/A</v>
      </c>
      <c r="AQ1424" t="s">
        <v>129</v>
      </c>
      <c r="AR1424" t="str">
        <f t="shared" si="44"/>
        <v>20000014.SPMINEQ</v>
      </c>
      <c r="AS1424">
        <f t="shared" si="45"/>
        <v>11561263.479999999</v>
      </c>
      <c r="AT1424" t="s">
        <v>82</v>
      </c>
    </row>
    <row r="1425" spans="1:46" x14ac:dyDescent="0.35">
      <c r="A1425" t="s">
        <v>52</v>
      </c>
      <c r="B1425" t="s">
        <v>53</v>
      </c>
      <c r="C1425" t="s">
        <v>54</v>
      </c>
      <c r="D1425" t="s">
        <v>55</v>
      </c>
      <c r="E1425" t="s">
        <v>56</v>
      </c>
      <c r="F1425" t="s">
        <v>4316</v>
      </c>
      <c r="G1425" t="s">
        <v>4331</v>
      </c>
      <c r="H1425" t="s">
        <v>111</v>
      </c>
      <c r="I1425" t="s">
        <v>4375</v>
      </c>
      <c r="J1425" t="s">
        <v>56</v>
      </c>
      <c r="K1425" t="s">
        <v>62</v>
      </c>
      <c r="L1425" t="s">
        <v>56</v>
      </c>
      <c r="M1425" t="s">
        <v>56</v>
      </c>
      <c r="N1425" t="s">
        <v>56</v>
      </c>
      <c r="O1425" t="s">
        <v>2476</v>
      </c>
      <c r="P1425" t="s">
        <v>2477</v>
      </c>
      <c r="Q1425" t="s">
        <v>393</v>
      </c>
      <c r="R1425" t="s">
        <v>248</v>
      </c>
      <c r="S1425">
        <v>116077996</v>
      </c>
      <c r="T1425">
        <v>104117609.53</v>
      </c>
      <c r="U1425" t="s">
        <v>68</v>
      </c>
      <c r="V1425" t="s">
        <v>4319</v>
      </c>
      <c r="W1425" s="9">
        <v>20000014</v>
      </c>
      <c r="X1425" t="s">
        <v>4376</v>
      </c>
      <c r="Y1425" s="1">
        <v>45197</v>
      </c>
      <c r="Z1425" s="1">
        <v>45257</v>
      </c>
      <c r="AA1425" s="2">
        <v>11776.12</v>
      </c>
      <c r="AB1425" s="2">
        <v>9979.77</v>
      </c>
      <c r="AC1425" s="2">
        <v>1796.36</v>
      </c>
      <c r="AD1425" s="2">
        <v>704.12</v>
      </c>
      <c r="AE1425" t="s">
        <v>4376</v>
      </c>
      <c r="AF1425" t="s">
        <v>72</v>
      </c>
      <c r="AG1425">
        <v>821</v>
      </c>
      <c r="AH1425" t="s">
        <v>473</v>
      </c>
      <c r="AI1425" t="s">
        <v>74</v>
      </c>
      <c r="AJ1425" t="s">
        <v>127</v>
      </c>
      <c r="AK1425" t="s">
        <v>128</v>
      </c>
      <c r="AL1425" t="s">
        <v>77</v>
      </c>
      <c r="AM1425" t="s">
        <v>103</v>
      </c>
      <c r="AN1425" t="s">
        <v>2346</v>
      </c>
      <c r="AO1425" t="s">
        <v>80</v>
      </c>
      <c r="AP1425" t="e">
        <v>#N/A</v>
      </c>
      <c r="AQ1425" t="s">
        <v>129</v>
      </c>
      <c r="AR1425" t="str">
        <f t="shared" si="44"/>
        <v>20000014.SPMINEQ</v>
      </c>
      <c r="AS1425">
        <f t="shared" si="45"/>
        <v>11561263.479999999</v>
      </c>
      <c r="AT1425" t="s">
        <v>82</v>
      </c>
    </row>
    <row r="1426" spans="1:46" x14ac:dyDescent="0.35">
      <c r="A1426" t="s">
        <v>52</v>
      </c>
      <c r="B1426" t="s">
        <v>53</v>
      </c>
      <c r="C1426" t="s">
        <v>54</v>
      </c>
      <c r="D1426" t="s">
        <v>55</v>
      </c>
      <c r="E1426" t="s">
        <v>56</v>
      </c>
      <c r="F1426" t="s">
        <v>4316</v>
      </c>
      <c r="G1426" t="s">
        <v>4331</v>
      </c>
      <c r="H1426" t="s">
        <v>111</v>
      </c>
      <c r="I1426" t="s">
        <v>4375</v>
      </c>
      <c r="J1426" t="s">
        <v>56</v>
      </c>
      <c r="K1426" t="s">
        <v>62</v>
      </c>
      <c r="L1426" t="s">
        <v>56</v>
      </c>
      <c r="M1426" t="s">
        <v>56</v>
      </c>
      <c r="N1426" t="s">
        <v>147</v>
      </c>
      <c r="O1426" t="s">
        <v>2476</v>
      </c>
      <c r="P1426" t="s">
        <v>2477</v>
      </c>
      <c r="Q1426" t="s">
        <v>393</v>
      </c>
      <c r="R1426" t="s">
        <v>248</v>
      </c>
      <c r="S1426">
        <v>116077996</v>
      </c>
      <c r="T1426">
        <v>104117609.53</v>
      </c>
      <c r="U1426" t="s">
        <v>68</v>
      </c>
      <c r="V1426" t="s">
        <v>4319</v>
      </c>
      <c r="W1426" s="9">
        <v>20000014</v>
      </c>
      <c r="X1426" t="s">
        <v>4376</v>
      </c>
      <c r="Y1426" s="1">
        <v>45197</v>
      </c>
      <c r="Z1426" s="1">
        <v>45257</v>
      </c>
      <c r="AA1426" s="2">
        <v>5807982.7000000002</v>
      </c>
      <c r="AB1426" s="2">
        <v>4922019.2300000004</v>
      </c>
      <c r="AC1426" s="2">
        <v>885963.46</v>
      </c>
      <c r="AD1426" s="2">
        <v>347269.76</v>
      </c>
      <c r="AE1426" t="s">
        <v>4377</v>
      </c>
      <c r="AF1426" t="s">
        <v>72</v>
      </c>
      <c r="AG1426">
        <v>821</v>
      </c>
      <c r="AH1426" t="s">
        <v>473</v>
      </c>
      <c r="AI1426" t="s">
        <v>74</v>
      </c>
      <c r="AJ1426" t="s">
        <v>127</v>
      </c>
      <c r="AK1426" t="s">
        <v>128</v>
      </c>
      <c r="AL1426" t="s">
        <v>77</v>
      </c>
      <c r="AM1426" t="s">
        <v>103</v>
      </c>
      <c r="AN1426" t="s">
        <v>2346</v>
      </c>
      <c r="AO1426" t="s">
        <v>80</v>
      </c>
      <c r="AP1426" t="e">
        <v>#N/A</v>
      </c>
      <c r="AQ1426" t="s">
        <v>129</v>
      </c>
      <c r="AR1426" t="str">
        <f t="shared" si="44"/>
        <v>20000014.SPMINEQ</v>
      </c>
      <c r="AS1426">
        <f t="shared" si="45"/>
        <v>11561263.479999999</v>
      </c>
      <c r="AT1426" t="s">
        <v>82</v>
      </c>
    </row>
    <row r="1427" spans="1:46" x14ac:dyDescent="0.35">
      <c r="A1427" t="s">
        <v>52</v>
      </c>
      <c r="B1427" t="s">
        <v>53</v>
      </c>
      <c r="C1427" t="s">
        <v>54</v>
      </c>
      <c r="D1427" t="s">
        <v>55</v>
      </c>
      <c r="E1427" t="s">
        <v>56</v>
      </c>
      <c r="F1427" t="s">
        <v>4316</v>
      </c>
      <c r="G1427" t="s">
        <v>4331</v>
      </c>
      <c r="H1427" t="s">
        <v>111</v>
      </c>
      <c r="I1427" t="s">
        <v>4378</v>
      </c>
      <c r="J1427" t="s">
        <v>56</v>
      </c>
      <c r="K1427" t="s">
        <v>62</v>
      </c>
      <c r="L1427" t="s">
        <v>56</v>
      </c>
      <c r="M1427" t="s">
        <v>56</v>
      </c>
      <c r="N1427" t="s">
        <v>147</v>
      </c>
      <c r="O1427" t="s">
        <v>2476</v>
      </c>
      <c r="P1427" t="s">
        <v>2477</v>
      </c>
      <c r="Q1427" t="s">
        <v>393</v>
      </c>
      <c r="R1427" t="s">
        <v>248</v>
      </c>
      <c r="S1427">
        <v>116077996</v>
      </c>
      <c r="T1427">
        <v>104117609.53</v>
      </c>
      <c r="U1427" t="s">
        <v>68</v>
      </c>
      <c r="V1427" t="s">
        <v>4319</v>
      </c>
      <c r="W1427" s="9">
        <v>20000014</v>
      </c>
      <c r="X1427" t="s">
        <v>4379</v>
      </c>
      <c r="Y1427" s="1">
        <v>45197</v>
      </c>
      <c r="Z1427" s="1">
        <v>45257</v>
      </c>
      <c r="AA1427" s="2">
        <v>5819758.8200000003</v>
      </c>
      <c r="AB1427" s="2">
        <v>4931999</v>
      </c>
      <c r="AC1427" s="2">
        <v>887759.82</v>
      </c>
      <c r="AD1427" s="2">
        <v>347973.93</v>
      </c>
      <c r="AE1427" t="s">
        <v>4380</v>
      </c>
      <c r="AF1427" t="s">
        <v>72</v>
      </c>
      <c r="AG1427">
        <v>821</v>
      </c>
      <c r="AH1427" t="s">
        <v>473</v>
      </c>
      <c r="AI1427" t="s">
        <v>74</v>
      </c>
      <c r="AJ1427" t="s">
        <v>127</v>
      </c>
      <c r="AK1427" t="s">
        <v>128</v>
      </c>
      <c r="AL1427" t="s">
        <v>77</v>
      </c>
      <c r="AM1427" t="s">
        <v>103</v>
      </c>
      <c r="AN1427" t="s">
        <v>2346</v>
      </c>
      <c r="AO1427" t="s">
        <v>80</v>
      </c>
      <c r="AP1427" t="e">
        <v>#N/A</v>
      </c>
      <c r="AQ1427" t="s">
        <v>129</v>
      </c>
      <c r="AR1427" t="str">
        <f t="shared" si="44"/>
        <v>20000014.SPMINEQ</v>
      </c>
      <c r="AS1427">
        <f t="shared" si="45"/>
        <v>11561263.479999999</v>
      </c>
      <c r="AT1427" t="s">
        <v>82</v>
      </c>
    </row>
    <row r="1428" spans="1:46" x14ac:dyDescent="0.35">
      <c r="A1428" t="s">
        <v>52</v>
      </c>
      <c r="B1428" t="s">
        <v>53</v>
      </c>
      <c r="C1428" t="s">
        <v>54</v>
      </c>
      <c r="D1428" t="s">
        <v>55</v>
      </c>
      <c r="E1428" t="s">
        <v>56</v>
      </c>
      <c r="F1428" t="s">
        <v>4316</v>
      </c>
      <c r="G1428" t="s">
        <v>4317</v>
      </c>
      <c r="H1428" t="s">
        <v>111</v>
      </c>
      <c r="I1428" t="s">
        <v>4381</v>
      </c>
      <c r="J1428" t="s">
        <v>56</v>
      </c>
      <c r="K1428" t="s">
        <v>62</v>
      </c>
      <c r="L1428" t="s">
        <v>56</v>
      </c>
      <c r="M1428" t="s">
        <v>56</v>
      </c>
      <c r="N1428" t="s">
        <v>147</v>
      </c>
      <c r="O1428" t="s">
        <v>2476</v>
      </c>
      <c r="P1428" t="s">
        <v>2477</v>
      </c>
      <c r="Q1428" t="s">
        <v>393</v>
      </c>
      <c r="R1428" t="s">
        <v>248</v>
      </c>
      <c r="S1428">
        <v>116077996</v>
      </c>
      <c r="T1428">
        <v>104117609.53</v>
      </c>
      <c r="U1428" t="s">
        <v>68</v>
      </c>
      <c r="V1428" t="s">
        <v>4319</v>
      </c>
      <c r="W1428" s="9">
        <v>20000014</v>
      </c>
      <c r="X1428" t="s">
        <v>4382</v>
      </c>
      <c r="Y1428" s="1">
        <v>45278</v>
      </c>
      <c r="Z1428" s="1">
        <v>45338</v>
      </c>
      <c r="AA1428" s="2">
        <v>10522060</v>
      </c>
      <c r="AB1428" s="2">
        <v>8917000</v>
      </c>
      <c r="AC1428" s="2">
        <v>1605060</v>
      </c>
      <c r="AD1428" s="2">
        <v>613212.4</v>
      </c>
      <c r="AE1428" t="s">
        <v>4383</v>
      </c>
      <c r="AF1428" t="s">
        <v>72</v>
      </c>
      <c r="AG1428">
        <v>740</v>
      </c>
      <c r="AH1428" t="s">
        <v>473</v>
      </c>
      <c r="AI1428" t="s">
        <v>74</v>
      </c>
      <c r="AJ1428" t="s">
        <v>127</v>
      </c>
      <c r="AK1428" t="s">
        <v>128</v>
      </c>
      <c r="AL1428" t="s">
        <v>77</v>
      </c>
      <c r="AM1428" t="s">
        <v>103</v>
      </c>
      <c r="AN1428" t="s">
        <v>2346</v>
      </c>
      <c r="AO1428" t="s">
        <v>80</v>
      </c>
      <c r="AP1428" t="e">
        <v>#N/A</v>
      </c>
      <c r="AQ1428" t="s">
        <v>129</v>
      </c>
      <c r="AR1428" t="str">
        <f t="shared" si="44"/>
        <v>20000014.SPMINEQ</v>
      </c>
      <c r="AS1428">
        <f t="shared" si="45"/>
        <v>11561263.479999999</v>
      </c>
      <c r="AT1428" t="s">
        <v>82</v>
      </c>
    </row>
    <row r="1429" spans="1:46" x14ac:dyDescent="0.35">
      <c r="A1429" t="s">
        <v>52</v>
      </c>
      <c r="B1429" t="s">
        <v>53</v>
      </c>
      <c r="C1429" t="s">
        <v>54</v>
      </c>
      <c r="D1429" t="s">
        <v>55</v>
      </c>
      <c r="E1429" t="s">
        <v>56</v>
      </c>
      <c r="F1429" t="s">
        <v>4316</v>
      </c>
      <c r="G1429" t="s">
        <v>4317</v>
      </c>
      <c r="H1429" t="s">
        <v>111</v>
      </c>
      <c r="I1429" t="s">
        <v>4384</v>
      </c>
      <c r="J1429" t="s">
        <v>56</v>
      </c>
      <c r="K1429" t="s">
        <v>62</v>
      </c>
      <c r="L1429" t="s">
        <v>56</v>
      </c>
      <c r="M1429" t="s">
        <v>56</v>
      </c>
      <c r="N1429" t="s">
        <v>147</v>
      </c>
      <c r="O1429" t="s">
        <v>2476</v>
      </c>
      <c r="P1429" t="s">
        <v>2477</v>
      </c>
      <c r="Q1429" t="s">
        <v>393</v>
      </c>
      <c r="R1429" t="s">
        <v>248</v>
      </c>
      <c r="S1429">
        <v>116077996</v>
      </c>
      <c r="T1429">
        <v>104117609.53</v>
      </c>
      <c r="U1429" t="s">
        <v>68</v>
      </c>
      <c r="V1429" t="s">
        <v>4319</v>
      </c>
      <c r="W1429" s="9">
        <v>20000014</v>
      </c>
      <c r="X1429" t="s">
        <v>4385</v>
      </c>
      <c r="Y1429" s="1">
        <v>45278</v>
      </c>
      <c r="Z1429" s="1">
        <v>45338</v>
      </c>
      <c r="AA1429" s="2">
        <v>10522060</v>
      </c>
      <c r="AB1429" s="2">
        <v>8917000</v>
      </c>
      <c r="AC1429" s="2">
        <v>1605060</v>
      </c>
      <c r="AD1429" s="2">
        <v>187391.72</v>
      </c>
      <c r="AE1429" t="s">
        <v>4386</v>
      </c>
      <c r="AF1429" t="s">
        <v>72</v>
      </c>
      <c r="AG1429">
        <v>740</v>
      </c>
      <c r="AH1429" t="s">
        <v>473</v>
      </c>
      <c r="AI1429" t="s">
        <v>74</v>
      </c>
      <c r="AJ1429" t="s">
        <v>127</v>
      </c>
      <c r="AK1429" t="s">
        <v>128</v>
      </c>
      <c r="AL1429" t="s">
        <v>77</v>
      </c>
      <c r="AM1429" t="s">
        <v>103</v>
      </c>
      <c r="AN1429" t="s">
        <v>2346</v>
      </c>
      <c r="AO1429" t="s">
        <v>80</v>
      </c>
      <c r="AP1429" t="e">
        <v>#N/A</v>
      </c>
      <c r="AQ1429" t="s">
        <v>129</v>
      </c>
      <c r="AR1429" t="str">
        <f t="shared" si="44"/>
        <v>20000014.SPMINEQ</v>
      </c>
      <c r="AS1429">
        <f t="shared" si="45"/>
        <v>11561263.479999999</v>
      </c>
      <c r="AT1429" t="s">
        <v>82</v>
      </c>
    </row>
    <row r="1430" spans="1:46" x14ac:dyDescent="0.35">
      <c r="A1430" t="s">
        <v>52</v>
      </c>
      <c r="B1430" t="s">
        <v>53</v>
      </c>
      <c r="C1430" t="s">
        <v>54</v>
      </c>
      <c r="D1430" t="s">
        <v>55</v>
      </c>
      <c r="E1430" t="s">
        <v>56</v>
      </c>
      <c r="F1430" t="s">
        <v>4316</v>
      </c>
      <c r="G1430" t="s">
        <v>4387</v>
      </c>
      <c r="H1430" t="s">
        <v>153</v>
      </c>
      <c r="I1430" t="s">
        <v>4388</v>
      </c>
      <c r="J1430" t="s">
        <v>56</v>
      </c>
      <c r="K1430" t="s">
        <v>62</v>
      </c>
      <c r="L1430" t="s">
        <v>56</v>
      </c>
      <c r="M1430" t="s">
        <v>56</v>
      </c>
      <c r="N1430" t="s">
        <v>4389</v>
      </c>
      <c r="O1430" t="s">
        <v>2476</v>
      </c>
      <c r="P1430" t="s">
        <v>2477</v>
      </c>
      <c r="Q1430" t="s">
        <v>247</v>
      </c>
      <c r="R1430" t="s">
        <v>248</v>
      </c>
      <c r="S1430">
        <v>116077996</v>
      </c>
      <c r="T1430">
        <v>104117609.53</v>
      </c>
      <c r="U1430" t="s">
        <v>68</v>
      </c>
      <c r="V1430" t="s">
        <v>4319</v>
      </c>
      <c r="W1430" s="9">
        <v>20000014</v>
      </c>
      <c r="X1430" t="s">
        <v>4390</v>
      </c>
      <c r="Y1430" s="1">
        <v>45338</v>
      </c>
      <c r="Z1430" s="1">
        <v>45398</v>
      </c>
      <c r="AA1430" s="2">
        <v>1748760</v>
      </c>
      <c r="AB1430" s="2">
        <v>1482000</v>
      </c>
      <c r="AC1430" s="2">
        <v>266760</v>
      </c>
      <c r="AD1430" s="2">
        <v>26678</v>
      </c>
      <c r="AE1430" t="s">
        <v>4391</v>
      </c>
      <c r="AF1430" t="s">
        <v>72</v>
      </c>
      <c r="AG1430">
        <v>680</v>
      </c>
      <c r="AH1430" t="s">
        <v>473</v>
      </c>
      <c r="AI1430" t="s">
        <v>74</v>
      </c>
      <c r="AJ1430" t="s">
        <v>127</v>
      </c>
      <c r="AK1430" t="s">
        <v>128</v>
      </c>
      <c r="AL1430" t="s">
        <v>77</v>
      </c>
      <c r="AM1430" t="s">
        <v>103</v>
      </c>
      <c r="AN1430" t="s">
        <v>2346</v>
      </c>
      <c r="AO1430" t="s">
        <v>80</v>
      </c>
      <c r="AP1430" t="e">
        <v>#N/A</v>
      </c>
      <c r="AQ1430" t="s">
        <v>129</v>
      </c>
      <c r="AR1430" t="str">
        <f t="shared" si="44"/>
        <v>20000014.SPMINEQ</v>
      </c>
      <c r="AS1430">
        <f t="shared" si="45"/>
        <v>11561263.479999999</v>
      </c>
      <c r="AT1430" t="s">
        <v>82</v>
      </c>
    </row>
    <row r="1431" spans="1:46" x14ac:dyDescent="0.35">
      <c r="A1431" t="s">
        <v>52</v>
      </c>
      <c r="B1431" t="s">
        <v>53</v>
      </c>
      <c r="C1431" t="s">
        <v>54</v>
      </c>
      <c r="D1431" t="s">
        <v>55</v>
      </c>
      <c r="E1431" t="s">
        <v>56</v>
      </c>
      <c r="F1431" t="s">
        <v>4316</v>
      </c>
      <c r="G1431" t="s">
        <v>4387</v>
      </c>
      <c r="H1431" t="s">
        <v>153</v>
      </c>
      <c r="I1431" t="s">
        <v>4388</v>
      </c>
      <c r="J1431" t="s">
        <v>56</v>
      </c>
      <c r="K1431" t="s">
        <v>62</v>
      </c>
      <c r="L1431" t="s">
        <v>56</v>
      </c>
      <c r="M1431" t="s">
        <v>56</v>
      </c>
      <c r="N1431" t="s">
        <v>4389</v>
      </c>
      <c r="O1431" t="s">
        <v>2476</v>
      </c>
      <c r="P1431" t="s">
        <v>2477</v>
      </c>
      <c r="Q1431" t="s">
        <v>247</v>
      </c>
      <c r="R1431" t="s">
        <v>248</v>
      </c>
      <c r="S1431">
        <v>116077996</v>
      </c>
      <c r="T1431">
        <v>104117609.53</v>
      </c>
      <c r="U1431" t="s">
        <v>68</v>
      </c>
      <c r="V1431" t="s">
        <v>4319</v>
      </c>
      <c r="W1431" s="9">
        <v>20000014</v>
      </c>
      <c r="X1431" t="s">
        <v>4392</v>
      </c>
      <c r="Y1431" s="1">
        <v>45348</v>
      </c>
      <c r="Z1431" s="1">
        <v>45408</v>
      </c>
      <c r="AA1431" s="2">
        <v>2558240</v>
      </c>
      <c r="AB1431" s="2">
        <v>2168000</v>
      </c>
      <c r="AC1431" s="2">
        <v>390240</v>
      </c>
      <c r="AD1431" s="2">
        <v>39241.199999999997</v>
      </c>
      <c r="AE1431" t="s">
        <v>4393</v>
      </c>
      <c r="AF1431" t="s">
        <v>72</v>
      </c>
      <c r="AG1431">
        <v>670</v>
      </c>
      <c r="AH1431" t="s">
        <v>473</v>
      </c>
      <c r="AI1431" t="s">
        <v>74</v>
      </c>
      <c r="AJ1431" t="s">
        <v>127</v>
      </c>
      <c r="AK1431" t="s">
        <v>128</v>
      </c>
      <c r="AL1431" t="s">
        <v>77</v>
      </c>
      <c r="AM1431" t="s">
        <v>103</v>
      </c>
      <c r="AN1431" t="s">
        <v>2346</v>
      </c>
      <c r="AO1431" t="s">
        <v>80</v>
      </c>
      <c r="AP1431" t="e">
        <v>#N/A</v>
      </c>
      <c r="AQ1431" t="s">
        <v>129</v>
      </c>
      <c r="AR1431" t="str">
        <f t="shared" si="44"/>
        <v>20000014.SPMINEQ</v>
      </c>
      <c r="AS1431">
        <f t="shared" si="45"/>
        <v>11561263.479999999</v>
      </c>
      <c r="AT1431" t="s">
        <v>82</v>
      </c>
    </row>
    <row r="1432" spans="1:46" x14ac:dyDescent="0.35">
      <c r="A1432" t="s">
        <v>52</v>
      </c>
      <c r="B1432" t="s">
        <v>53</v>
      </c>
      <c r="C1432" t="s">
        <v>54</v>
      </c>
      <c r="D1432" t="s">
        <v>55</v>
      </c>
      <c r="E1432" t="s">
        <v>56</v>
      </c>
      <c r="F1432" t="s">
        <v>4316</v>
      </c>
      <c r="G1432" t="s">
        <v>4387</v>
      </c>
      <c r="H1432" t="s">
        <v>153</v>
      </c>
      <c r="I1432" t="s">
        <v>4388</v>
      </c>
      <c r="J1432" t="s">
        <v>56</v>
      </c>
      <c r="K1432" t="s">
        <v>62</v>
      </c>
      <c r="L1432" t="s">
        <v>56</v>
      </c>
      <c r="M1432" t="s">
        <v>56</v>
      </c>
      <c r="N1432" t="s">
        <v>4389</v>
      </c>
      <c r="O1432" t="s">
        <v>2476</v>
      </c>
      <c r="P1432" t="s">
        <v>2477</v>
      </c>
      <c r="Q1432" t="s">
        <v>247</v>
      </c>
      <c r="R1432" t="s">
        <v>248</v>
      </c>
      <c r="S1432">
        <v>116077996</v>
      </c>
      <c r="T1432">
        <v>104117609.53</v>
      </c>
      <c r="U1432" t="s">
        <v>68</v>
      </c>
      <c r="V1432" t="s">
        <v>4319</v>
      </c>
      <c r="W1432" s="9">
        <v>20000014</v>
      </c>
      <c r="X1432" t="s">
        <v>4394</v>
      </c>
      <c r="Y1432" s="1">
        <v>45350</v>
      </c>
      <c r="Z1432" s="1">
        <v>45410</v>
      </c>
      <c r="AA1432" s="2">
        <v>2512220</v>
      </c>
      <c r="AB1432" s="2">
        <v>2129000</v>
      </c>
      <c r="AC1432" s="2">
        <v>383220</v>
      </c>
      <c r="AD1432" s="2">
        <v>38535.35</v>
      </c>
      <c r="AE1432" t="s">
        <v>4395</v>
      </c>
      <c r="AF1432" t="s">
        <v>72</v>
      </c>
      <c r="AG1432">
        <v>668</v>
      </c>
      <c r="AH1432" t="s">
        <v>473</v>
      </c>
      <c r="AI1432" t="s">
        <v>74</v>
      </c>
      <c r="AJ1432" t="s">
        <v>127</v>
      </c>
      <c r="AK1432" t="s">
        <v>128</v>
      </c>
      <c r="AL1432" t="s">
        <v>77</v>
      </c>
      <c r="AM1432" t="s">
        <v>103</v>
      </c>
      <c r="AN1432" t="s">
        <v>2346</v>
      </c>
      <c r="AO1432" t="s">
        <v>80</v>
      </c>
      <c r="AP1432" t="e">
        <v>#N/A</v>
      </c>
      <c r="AQ1432" t="s">
        <v>129</v>
      </c>
      <c r="AR1432" t="str">
        <f t="shared" si="44"/>
        <v>20000014.SPMINEQ</v>
      </c>
      <c r="AS1432">
        <f t="shared" si="45"/>
        <v>11561263.479999999</v>
      </c>
      <c r="AT1432" t="s">
        <v>82</v>
      </c>
    </row>
    <row r="1433" spans="1:46" x14ac:dyDescent="0.35">
      <c r="A1433" t="s">
        <v>52</v>
      </c>
      <c r="B1433" t="s">
        <v>53</v>
      </c>
      <c r="C1433" t="s">
        <v>54</v>
      </c>
      <c r="D1433" t="s">
        <v>55</v>
      </c>
      <c r="E1433" t="s">
        <v>56</v>
      </c>
      <c r="F1433" t="s">
        <v>4316</v>
      </c>
      <c r="G1433" t="s">
        <v>4387</v>
      </c>
      <c r="H1433" t="s">
        <v>153</v>
      </c>
      <c r="I1433" t="s">
        <v>4388</v>
      </c>
      <c r="J1433" t="s">
        <v>56</v>
      </c>
      <c r="K1433" t="s">
        <v>62</v>
      </c>
      <c r="L1433" t="s">
        <v>56</v>
      </c>
      <c r="M1433" t="s">
        <v>56</v>
      </c>
      <c r="N1433" t="s">
        <v>4389</v>
      </c>
      <c r="O1433" t="s">
        <v>2476</v>
      </c>
      <c r="P1433" t="s">
        <v>2477</v>
      </c>
      <c r="Q1433" t="s">
        <v>247</v>
      </c>
      <c r="R1433" t="s">
        <v>248</v>
      </c>
      <c r="S1433">
        <v>116077996</v>
      </c>
      <c r="T1433">
        <v>104117609.53</v>
      </c>
      <c r="U1433" t="s">
        <v>68</v>
      </c>
      <c r="V1433" t="s">
        <v>4319</v>
      </c>
      <c r="W1433" s="9">
        <v>20000014</v>
      </c>
      <c r="X1433" t="s">
        <v>4396</v>
      </c>
      <c r="Y1433" s="1">
        <v>45352</v>
      </c>
      <c r="Z1433" s="1">
        <v>45412</v>
      </c>
      <c r="AA1433" s="2">
        <v>219480</v>
      </c>
      <c r="AB1433" s="2">
        <v>186000</v>
      </c>
      <c r="AC1433" s="2">
        <v>33480</v>
      </c>
      <c r="AD1433" s="2">
        <v>3366.6</v>
      </c>
      <c r="AE1433" t="s">
        <v>4397</v>
      </c>
      <c r="AF1433" t="s">
        <v>72</v>
      </c>
      <c r="AG1433">
        <v>666</v>
      </c>
      <c r="AH1433" t="s">
        <v>473</v>
      </c>
      <c r="AI1433" t="s">
        <v>74</v>
      </c>
      <c r="AJ1433" t="s">
        <v>127</v>
      </c>
      <c r="AK1433" t="s">
        <v>128</v>
      </c>
      <c r="AL1433" t="s">
        <v>77</v>
      </c>
      <c r="AM1433" t="s">
        <v>103</v>
      </c>
      <c r="AN1433" t="s">
        <v>2346</v>
      </c>
      <c r="AO1433" t="s">
        <v>80</v>
      </c>
      <c r="AP1433" t="e">
        <v>#N/A</v>
      </c>
      <c r="AQ1433" t="s">
        <v>129</v>
      </c>
      <c r="AR1433" t="str">
        <f t="shared" si="44"/>
        <v>20000014.SPMINEQ</v>
      </c>
      <c r="AS1433">
        <f t="shared" si="45"/>
        <v>11561263.479999999</v>
      </c>
      <c r="AT1433" t="s">
        <v>82</v>
      </c>
    </row>
    <row r="1434" spans="1:46" x14ac:dyDescent="0.35">
      <c r="A1434" t="s">
        <v>52</v>
      </c>
      <c r="B1434" t="s">
        <v>53</v>
      </c>
      <c r="C1434" t="s">
        <v>54</v>
      </c>
      <c r="D1434" t="s">
        <v>55</v>
      </c>
      <c r="E1434" t="s">
        <v>56</v>
      </c>
      <c r="F1434" t="s">
        <v>4316</v>
      </c>
      <c r="G1434" t="s">
        <v>4387</v>
      </c>
      <c r="H1434" t="s">
        <v>153</v>
      </c>
      <c r="I1434" t="s">
        <v>4388</v>
      </c>
      <c r="J1434" t="s">
        <v>56</v>
      </c>
      <c r="K1434" t="s">
        <v>62</v>
      </c>
      <c r="L1434" t="s">
        <v>56</v>
      </c>
      <c r="M1434" t="s">
        <v>56</v>
      </c>
      <c r="N1434" t="s">
        <v>4389</v>
      </c>
      <c r="O1434" t="s">
        <v>2476</v>
      </c>
      <c r="P1434" t="s">
        <v>2477</v>
      </c>
      <c r="Q1434" t="s">
        <v>247</v>
      </c>
      <c r="R1434" t="s">
        <v>248</v>
      </c>
      <c r="S1434">
        <v>116077996</v>
      </c>
      <c r="T1434">
        <v>104117609.53</v>
      </c>
      <c r="U1434" t="s">
        <v>68</v>
      </c>
      <c r="V1434" t="s">
        <v>4319</v>
      </c>
      <c r="W1434" s="9">
        <v>20000014</v>
      </c>
      <c r="X1434" t="s">
        <v>4398</v>
      </c>
      <c r="Y1434" s="1">
        <v>45353</v>
      </c>
      <c r="Z1434" s="1">
        <v>45413</v>
      </c>
      <c r="AA1434" s="2">
        <v>4479280</v>
      </c>
      <c r="AB1434" s="2">
        <v>3796000</v>
      </c>
      <c r="AC1434" s="2">
        <v>683280</v>
      </c>
      <c r="AD1434" s="2">
        <v>68708.399999999994</v>
      </c>
      <c r="AE1434" t="s">
        <v>4399</v>
      </c>
      <c r="AF1434" t="s">
        <v>72</v>
      </c>
      <c r="AG1434">
        <v>665</v>
      </c>
      <c r="AH1434" t="s">
        <v>473</v>
      </c>
      <c r="AI1434" t="s">
        <v>74</v>
      </c>
      <c r="AJ1434" t="s">
        <v>127</v>
      </c>
      <c r="AK1434" t="s">
        <v>128</v>
      </c>
      <c r="AL1434" t="s">
        <v>77</v>
      </c>
      <c r="AM1434" t="s">
        <v>103</v>
      </c>
      <c r="AN1434" t="s">
        <v>2346</v>
      </c>
      <c r="AO1434" t="s">
        <v>80</v>
      </c>
      <c r="AP1434" t="e">
        <v>#N/A</v>
      </c>
      <c r="AQ1434" t="s">
        <v>129</v>
      </c>
      <c r="AR1434" t="str">
        <f t="shared" si="44"/>
        <v>20000014.SPMINEQ</v>
      </c>
      <c r="AS1434">
        <f t="shared" si="45"/>
        <v>11561263.479999999</v>
      </c>
      <c r="AT1434" t="s">
        <v>82</v>
      </c>
    </row>
    <row r="1435" spans="1:46" x14ac:dyDescent="0.35">
      <c r="A1435" t="s">
        <v>52</v>
      </c>
      <c r="B1435" t="s">
        <v>53</v>
      </c>
      <c r="C1435" t="s">
        <v>54</v>
      </c>
      <c r="D1435" t="s">
        <v>55</v>
      </c>
      <c r="E1435" t="s">
        <v>56</v>
      </c>
      <c r="F1435" t="s">
        <v>4316</v>
      </c>
      <c r="G1435" t="s">
        <v>4387</v>
      </c>
      <c r="H1435" t="s">
        <v>153</v>
      </c>
      <c r="I1435" t="s">
        <v>4388</v>
      </c>
      <c r="J1435" t="s">
        <v>56</v>
      </c>
      <c r="K1435" t="s">
        <v>62</v>
      </c>
      <c r="L1435" t="s">
        <v>56</v>
      </c>
      <c r="M1435" t="s">
        <v>56</v>
      </c>
      <c r="N1435" t="s">
        <v>4389</v>
      </c>
      <c r="O1435" t="s">
        <v>2476</v>
      </c>
      <c r="P1435" t="s">
        <v>2477</v>
      </c>
      <c r="Q1435" t="s">
        <v>247</v>
      </c>
      <c r="R1435" t="s">
        <v>248</v>
      </c>
      <c r="S1435">
        <v>116077996</v>
      </c>
      <c r="T1435">
        <v>104117609.53</v>
      </c>
      <c r="U1435" t="s">
        <v>68</v>
      </c>
      <c r="V1435" t="s">
        <v>4319</v>
      </c>
      <c r="W1435" s="9">
        <v>20000014</v>
      </c>
      <c r="X1435" t="s">
        <v>4400</v>
      </c>
      <c r="Y1435" s="1">
        <v>45356</v>
      </c>
      <c r="Z1435" s="1">
        <v>45416</v>
      </c>
      <c r="AA1435" s="2">
        <v>991200</v>
      </c>
      <c r="AB1435" s="2">
        <v>840000</v>
      </c>
      <c r="AC1435" s="2">
        <v>151200</v>
      </c>
      <c r="AD1435" s="2">
        <v>15204</v>
      </c>
      <c r="AE1435" t="s">
        <v>4401</v>
      </c>
      <c r="AF1435" t="s">
        <v>72</v>
      </c>
      <c r="AG1435">
        <v>662</v>
      </c>
      <c r="AH1435" t="s">
        <v>473</v>
      </c>
      <c r="AI1435" t="s">
        <v>74</v>
      </c>
      <c r="AJ1435" t="s">
        <v>127</v>
      </c>
      <c r="AK1435" t="s">
        <v>128</v>
      </c>
      <c r="AL1435" t="s">
        <v>77</v>
      </c>
      <c r="AM1435" t="s">
        <v>103</v>
      </c>
      <c r="AN1435" t="s">
        <v>2346</v>
      </c>
      <c r="AO1435" t="s">
        <v>80</v>
      </c>
      <c r="AP1435" t="e">
        <v>#N/A</v>
      </c>
      <c r="AQ1435" t="s">
        <v>129</v>
      </c>
      <c r="AR1435" t="str">
        <f t="shared" si="44"/>
        <v>20000014.SPMINEQ</v>
      </c>
      <c r="AS1435">
        <f t="shared" si="45"/>
        <v>11561263.479999999</v>
      </c>
      <c r="AT1435" t="s">
        <v>82</v>
      </c>
    </row>
    <row r="1436" spans="1:46" x14ac:dyDescent="0.35">
      <c r="A1436" t="s">
        <v>52</v>
      </c>
      <c r="B1436" t="s">
        <v>53</v>
      </c>
      <c r="C1436" t="s">
        <v>54</v>
      </c>
      <c r="D1436" t="s">
        <v>55</v>
      </c>
      <c r="E1436" t="s">
        <v>56</v>
      </c>
      <c r="F1436" t="s">
        <v>4316</v>
      </c>
      <c r="G1436" t="s">
        <v>4387</v>
      </c>
      <c r="H1436" t="s">
        <v>153</v>
      </c>
      <c r="I1436" t="s">
        <v>4388</v>
      </c>
      <c r="J1436" t="s">
        <v>56</v>
      </c>
      <c r="K1436" t="s">
        <v>62</v>
      </c>
      <c r="L1436" t="s">
        <v>56</v>
      </c>
      <c r="M1436" t="s">
        <v>56</v>
      </c>
      <c r="N1436" t="s">
        <v>4389</v>
      </c>
      <c r="O1436" t="s">
        <v>2476</v>
      </c>
      <c r="P1436" t="s">
        <v>2477</v>
      </c>
      <c r="Q1436" t="s">
        <v>247</v>
      </c>
      <c r="R1436" t="s">
        <v>248</v>
      </c>
      <c r="S1436">
        <v>116077996</v>
      </c>
      <c r="T1436">
        <v>104117609.53</v>
      </c>
      <c r="U1436" t="s">
        <v>68</v>
      </c>
      <c r="V1436" t="s">
        <v>4319</v>
      </c>
      <c r="W1436" s="9">
        <v>20000014</v>
      </c>
      <c r="X1436" t="s">
        <v>4402</v>
      </c>
      <c r="Y1436" s="1">
        <v>45356</v>
      </c>
      <c r="Z1436" s="1">
        <v>45416</v>
      </c>
      <c r="AA1436" s="2">
        <v>10271900</v>
      </c>
      <c r="AB1436" s="2">
        <v>8705000</v>
      </c>
      <c r="AC1436" s="2">
        <v>1566900</v>
      </c>
      <c r="AD1436" s="2">
        <v>670720.5</v>
      </c>
      <c r="AE1436" t="s">
        <v>4403</v>
      </c>
      <c r="AF1436" t="s">
        <v>72</v>
      </c>
      <c r="AG1436">
        <v>662</v>
      </c>
      <c r="AH1436" t="s">
        <v>473</v>
      </c>
      <c r="AI1436" t="s">
        <v>74</v>
      </c>
      <c r="AJ1436" t="s">
        <v>127</v>
      </c>
      <c r="AK1436" t="s">
        <v>128</v>
      </c>
      <c r="AL1436" t="s">
        <v>77</v>
      </c>
      <c r="AM1436" t="s">
        <v>103</v>
      </c>
      <c r="AN1436" t="s">
        <v>2346</v>
      </c>
      <c r="AO1436" t="s">
        <v>80</v>
      </c>
      <c r="AP1436" t="e">
        <v>#N/A</v>
      </c>
      <c r="AQ1436" t="s">
        <v>129</v>
      </c>
      <c r="AR1436" t="str">
        <f t="shared" si="44"/>
        <v>20000014.SPMINEQ</v>
      </c>
      <c r="AS1436">
        <f t="shared" si="45"/>
        <v>11561263.479999999</v>
      </c>
      <c r="AT1436" t="s">
        <v>82</v>
      </c>
    </row>
    <row r="1437" spans="1:46" x14ac:dyDescent="0.35">
      <c r="A1437" t="s">
        <v>52</v>
      </c>
      <c r="B1437" t="s">
        <v>53</v>
      </c>
      <c r="C1437" t="s">
        <v>54</v>
      </c>
      <c r="D1437" t="s">
        <v>55</v>
      </c>
      <c r="E1437" t="s">
        <v>56</v>
      </c>
      <c r="F1437" t="s">
        <v>4316</v>
      </c>
      <c r="G1437" t="s">
        <v>4387</v>
      </c>
      <c r="H1437" t="s">
        <v>153</v>
      </c>
      <c r="I1437" t="s">
        <v>4388</v>
      </c>
      <c r="J1437" t="s">
        <v>56</v>
      </c>
      <c r="K1437" t="s">
        <v>62</v>
      </c>
      <c r="L1437" t="s">
        <v>56</v>
      </c>
      <c r="M1437" t="s">
        <v>56</v>
      </c>
      <c r="N1437" t="s">
        <v>4389</v>
      </c>
      <c r="O1437" t="s">
        <v>2476</v>
      </c>
      <c r="P1437" t="s">
        <v>2477</v>
      </c>
      <c r="Q1437" t="s">
        <v>247</v>
      </c>
      <c r="R1437" t="s">
        <v>248</v>
      </c>
      <c r="S1437">
        <v>116077996</v>
      </c>
      <c r="T1437">
        <v>104117609.53</v>
      </c>
      <c r="U1437" t="s">
        <v>68</v>
      </c>
      <c r="V1437" t="s">
        <v>4319</v>
      </c>
      <c r="W1437" s="9">
        <v>20000014</v>
      </c>
      <c r="X1437" t="s">
        <v>4404</v>
      </c>
      <c r="Y1437" s="1">
        <v>45359</v>
      </c>
      <c r="Z1437" s="1">
        <v>45419</v>
      </c>
      <c r="AA1437" s="2">
        <v>2301000</v>
      </c>
      <c r="AB1437" s="2">
        <v>1950000</v>
      </c>
      <c r="AC1437" s="2">
        <v>351000</v>
      </c>
      <c r="AD1437" s="2">
        <v>35295</v>
      </c>
      <c r="AE1437" t="s">
        <v>4405</v>
      </c>
      <c r="AF1437" t="s">
        <v>72</v>
      </c>
      <c r="AG1437">
        <v>659</v>
      </c>
      <c r="AH1437" t="s">
        <v>473</v>
      </c>
      <c r="AI1437" t="s">
        <v>74</v>
      </c>
      <c r="AJ1437" t="s">
        <v>127</v>
      </c>
      <c r="AK1437" t="s">
        <v>128</v>
      </c>
      <c r="AL1437" t="s">
        <v>77</v>
      </c>
      <c r="AM1437" t="s">
        <v>103</v>
      </c>
      <c r="AN1437" t="s">
        <v>2346</v>
      </c>
      <c r="AO1437" t="s">
        <v>80</v>
      </c>
      <c r="AP1437" t="e">
        <v>#N/A</v>
      </c>
      <c r="AQ1437" t="s">
        <v>129</v>
      </c>
      <c r="AR1437" t="str">
        <f t="shared" si="44"/>
        <v>20000014.SPMINEQ</v>
      </c>
      <c r="AS1437">
        <f t="shared" si="45"/>
        <v>11561263.479999999</v>
      </c>
      <c r="AT1437" t="s">
        <v>82</v>
      </c>
    </row>
    <row r="1438" spans="1:46" x14ac:dyDescent="0.35">
      <c r="A1438" t="s">
        <v>52</v>
      </c>
      <c r="B1438" t="s">
        <v>53</v>
      </c>
      <c r="C1438" t="s">
        <v>54</v>
      </c>
      <c r="D1438" t="s">
        <v>55</v>
      </c>
      <c r="E1438" t="s">
        <v>56</v>
      </c>
      <c r="F1438" t="s">
        <v>4316</v>
      </c>
      <c r="G1438" t="s">
        <v>4387</v>
      </c>
      <c r="H1438" t="s">
        <v>153</v>
      </c>
      <c r="I1438" t="s">
        <v>4388</v>
      </c>
      <c r="J1438" t="s">
        <v>56</v>
      </c>
      <c r="K1438" t="s">
        <v>62</v>
      </c>
      <c r="L1438" t="s">
        <v>56</v>
      </c>
      <c r="M1438" t="s">
        <v>56</v>
      </c>
      <c r="N1438" t="s">
        <v>4389</v>
      </c>
      <c r="O1438" t="s">
        <v>2476</v>
      </c>
      <c r="P1438" t="s">
        <v>2477</v>
      </c>
      <c r="Q1438" t="s">
        <v>247</v>
      </c>
      <c r="R1438" t="s">
        <v>248</v>
      </c>
      <c r="S1438">
        <v>116077996</v>
      </c>
      <c r="T1438">
        <v>104117609.53</v>
      </c>
      <c r="U1438" t="s">
        <v>68</v>
      </c>
      <c r="V1438" t="s">
        <v>4319</v>
      </c>
      <c r="W1438" s="9">
        <v>20000014</v>
      </c>
      <c r="X1438" t="s">
        <v>4406</v>
      </c>
      <c r="Y1438" s="1">
        <v>45362</v>
      </c>
      <c r="Z1438" s="1">
        <v>45422</v>
      </c>
      <c r="AA1438" s="2">
        <v>2389500</v>
      </c>
      <c r="AB1438" s="2">
        <v>2025000</v>
      </c>
      <c r="AC1438" s="2">
        <v>364500</v>
      </c>
      <c r="AD1438" s="2">
        <v>69299.97</v>
      </c>
      <c r="AE1438" t="s">
        <v>4407</v>
      </c>
      <c r="AF1438" t="s">
        <v>72</v>
      </c>
      <c r="AG1438">
        <v>656</v>
      </c>
      <c r="AH1438" t="s">
        <v>473</v>
      </c>
      <c r="AI1438" t="s">
        <v>74</v>
      </c>
      <c r="AJ1438" t="s">
        <v>127</v>
      </c>
      <c r="AK1438" t="s">
        <v>128</v>
      </c>
      <c r="AL1438" t="s">
        <v>77</v>
      </c>
      <c r="AM1438" t="s">
        <v>103</v>
      </c>
      <c r="AN1438" t="s">
        <v>2346</v>
      </c>
      <c r="AO1438" t="s">
        <v>80</v>
      </c>
      <c r="AP1438" t="e">
        <v>#N/A</v>
      </c>
      <c r="AQ1438" t="s">
        <v>129</v>
      </c>
      <c r="AR1438" t="str">
        <f t="shared" si="44"/>
        <v>20000014.SPMINEQ</v>
      </c>
      <c r="AS1438">
        <f t="shared" si="45"/>
        <v>11561263.479999999</v>
      </c>
      <c r="AT1438" t="s">
        <v>82</v>
      </c>
    </row>
    <row r="1439" spans="1:46" x14ac:dyDescent="0.35">
      <c r="A1439" t="s">
        <v>52</v>
      </c>
      <c r="B1439" t="s">
        <v>53</v>
      </c>
      <c r="C1439" t="s">
        <v>54</v>
      </c>
      <c r="D1439" t="s">
        <v>55</v>
      </c>
      <c r="E1439" t="s">
        <v>56</v>
      </c>
      <c r="F1439" t="s">
        <v>4316</v>
      </c>
      <c r="G1439" t="s">
        <v>4387</v>
      </c>
      <c r="H1439" t="s">
        <v>153</v>
      </c>
      <c r="I1439" t="s">
        <v>4388</v>
      </c>
      <c r="J1439" t="s">
        <v>56</v>
      </c>
      <c r="K1439" t="s">
        <v>62</v>
      </c>
      <c r="L1439" t="s">
        <v>56</v>
      </c>
      <c r="M1439" t="s">
        <v>56</v>
      </c>
      <c r="N1439" t="s">
        <v>4389</v>
      </c>
      <c r="O1439" t="s">
        <v>2476</v>
      </c>
      <c r="P1439" t="s">
        <v>2477</v>
      </c>
      <c r="Q1439" t="s">
        <v>247</v>
      </c>
      <c r="R1439" t="s">
        <v>248</v>
      </c>
      <c r="S1439">
        <v>116077996</v>
      </c>
      <c r="T1439">
        <v>104117609.53</v>
      </c>
      <c r="U1439" t="s">
        <v>68</v>
      </c>
      <c r="V1439" t="s">
        <v>4319</v>
      </c>
      <c r="W1439" s="9">
        <v>20000014</v>
      </c>
      <c r="X1439" t="s">
        <v>4408</v>
      </c>
      <c r="Y1439" s="1">
        <v>45368</v>
      </c>
      <c r="Z1439" s="1">
        <v>45428</v>
      </c>
      <c r="AA1439" s="2">
        <v>20095400</v>
      </c>
      <c r="AB1439" s="2">
        <v>17030000</v>
      </c>
      <c r="AC1439" s="2">
        <v>3065400</v>
      </c>
      <c r="AD1439" s="2">
        <v>306764.5</v>
      </c>
      <c r="AE1439" t="s">
        <v>4409</v>
      </c>
      <c r="AF1439" t="s">
        <v>72</v>
      </c>
      <c r="AG1439">
        <v>650</v>
      </c>
      <c r="AH1439" t="s">
        <v>473</v>
      </c>
      <c r="AI1439" t="s">
        <v>74</v>
      </c>
      <c r="AJ1439" t="s">
        <v>127</v>
      </c>
      <c r="AK1439" t="s">
        <v>128</v>
      </c>
      <c r="AL1439" t="s">
        <v>77</v>
      </c>
      <c r="AM1439" t="s">
        <v>103</v>
      </c>
      <c r="AN1439" t="s">
        <v>2346</v>
      </c>
      <c r="AO1439" t="s">
        <v>80</v>
      </c>
      <c r="AP1439" t="e">
        <v>#N/A</v>
      </c>
      <c r="AQ1439" t="s">
        <v>129</v>
      </c>
      <c r="AR1439" t="str">
        <f t="shared" si="44"/>
        <v>20000014.SPMINEQ</v>
      </c>
      <c r="AS1439">
        <f t="shared" si="45"/>
        <v>11561263.479999999</v>
      </c>
      <c r="AT1439" t="s">
        <v>82</v>
      </c>
    </row>
    <row r="1440" spans="1:46" x14ac:dyDescent="0.35">
      <c r="A1440" t="s">
        <v>52</v>
      </c>
      <c r="B1440" t="s">
        <v>53</v>
      </c>
      <c r="C1440" t="s">
        <v>54</v>
      </c>
      <c r="D1440" t="s">
        <v>55</v>
      </c>
      <c r="E1440" t="s">
        <v>56</v>
      </c>
      <c r="F1440" t="s">
        <v>4316</v>
      </c>
      <c r="G1440" t="s">
        <v>4387</v>
      </c>
      <c r="H1440" t="s">
        <v>153</v>
      </c>
      <c r="I1440" t="s">
        <v>4388</v>
      </c>
      <c r="J1440" t="s">
        <v>56</v>
      </c>
      <c r="K1440" t="s">
        <v>62</v>
      </c>
      <c r="L1440" t="s">
        <v>56</v>
      </c>
      <c r="M1440" t="s">
        <v>56</v>
      </c>
      <c r="N1440" t="s">
        <v>4389</v>
      </c>
      <c r="O1440" t="s">
        <v>2476</v>
      </c>
      <c r="P1440" t="s">
        <v>2477</v>
      </c>
      <c r="Q1440" t="s">
        <v>247</v>
      </c>
      <c r="R1440" t="s">
        <v>248</v>
      </c>
      <c r="S1440">
        <v>116077996</v>
      </c>
      <c r="T1440">
        <v>104117609.53</v>
      </c>
      <c r="U1440" t="s">
        <v>68</v>
      </c>
      <c r="V1440" t="s">
        <v>4319</v>
      </c>
      <c r="W1440" s="9">
        <v>20000014</v>
      </c>
      <c r="X1440" t="s">
        <v>4410</v>
      </c>
      <c r="Y1440" s="1">
        <v>45368</v>
      </c>
      <c r="Z1440" s="1">
        <v>45428</v>
      </c>
      <c r="AA1440" s="2">
        <v>3528200</v>
      </c>
      <c r="AB1440" s="2">
        <v>2990000</v>
      </c>
      <c r="AC1440" s="2">
        <v>538200</v>
      </c>
      <c r="AD1440" s="2">
        <v>149500.5</v>
      </c>
      <c r="AE1440" t="s">
        <v>4411</v>
      </c>
      <c r="AF1440" t="s">
        <v>72</v>
      </c>
      <c r="AG1440">
        <v>650</v>
      </c>
      <c r="AH1440" t="s">
        <v>473</v>
      </c>
      <c r="AI1440" t="s">
        <v>74</v>
      </c>
      <c r="AJ1440" t="s">
        <v>127</v>
      </c>
      <c r="AK1440" t="s">
        <v>128</v>
      </c>
      <c r="AL1440" t="s">
        <v>77</v>
      </c>
      <c r="AM1440" t="s">
        <v>103</v>
      </c>
      <c r="AN1440" t="s">
        <v>2346</v>
      </c>
      <c r="AO1440" t="s">
        <v>80</v>
      </c>
      <c r="AP1440" t="e">
        <v>#N/A</v>
      </c>
      <c r="AQ1440" t="s">
        <v>129</v>
      </c>
      <c r="AR1440" t="str">
        <f t="shared" si="44"/>
        <v>20000014.SPMINEQ</v>
      </c>
      <c r="AS1440">
        <f t="shared" si="45"/>
        <v>11561263.479999999</v>
      </c>
      <c r="AT1440" t="s">
        <v>82</v>
      </c>
    </row>
    <row r="1441" spans="1:46" x14ac:dyDescent="0.35">
      <c r="A1441" t="s">
        <v>52</v>
      </c>
      <c r="B1441" t="s">
        <v>53</v>
      </c>
      <c r="C1441" t="s">
        <v>54</v>
      </c>
      <c r="D1441" t="s">
        <v>55</v>
      </c>
      <c r="E1441" t="s">
        <v>56</v>
      </c>
      <c r="F1441" t="s">
        <v>4316</v>
      </c>
      <c r="G1441" t="s">
        <v>4387</v>
      </c>
      <c r="H1441" t="s">
        <v>153</v>
      </c>
      <c r="I1441" t="s">
        <v>4388</v>
      </c>
      <c r="J1441" t="s">
        <v>56</v>
      </c>
      <c r="K1441" t="s">
        <v>62</v>
      </c>
      <c r="L1441" t="s">
        <v>56</v>
      </c>
      <c r="M1441" t="s">
        <v>56</v>
      </c>
      <c r="N1441" t="s">
        <v>4389</v>
      </c>
      <c r="O1441" t="s">
        <v>2476</v>
      </c>
      <c r="P1441" t="s">
        <v>2477</v>
      </c>
      <c r="Q1441" t="s">
        <v>247</v>
      </c>
      <c r="R1441" t="s">
        <v>248</v>
      </c>
      <c r="S1441">
        <v>116077996</v>
      </c>
      <c r="T1441">
        <v>104117609.53</v>
      </c>
      <c r="U1441" t="s">
        <v>68</v>
      </c>
      <c r="V1441" t="s">
        <v>4319</v>
      </c>
      <c r="W1441" s="9">
        <v>20000014</v>
      </c>
      <c r="X1441" t="s">
        <v>4412</v>
      </c>
      <c r="Y1441" s="1">
        <v>45369</v>
      </c>
      <c r="Z1441" s="1">
        <v>45429</v>
      </c>
      <c r="AA1441" s="2">
        <v>3215500</v>
      </c>
      <c r="AB1441" s="2">
        <v>2725000</v>
      </c>
      <c r="AC1441" s="2">
        <v>490500</v>
      </c>
      <c r="AD1441" s="2">
        <v>403685.49</v>
      </c>
      <c r="AE1441" t="s">
        <v>4413</v>
      </c>
      <c r="AF1441" t="s">
        <v>72</v>
      </c>
      <c r="AG1441">
        <v>649</v>
      </c>
      <c r="AH1441" t="s">
        <v>473</v>
      </c>
      <c r="AI1441" t="s">
        <v>74</v>
      </c>
      <c r="AJ1441" t="s">
        <v>127</v>
      </c>
      <c r="AK1441" t="s">
        <v>128</v>
      </c>
      <c r="AL1441" t="s">
        <v>77</v>
      </c>
      <c r="AM1441" t="s">
        <v>103</v>
      </c>
      <c r="AN1441" t="s">
        <v>2346</v>
      </c>
      <c r="AO1441" t="s">
        <v>80</v>
      </c>
      <c r="AP1441" t="e">
        <v>#N/A</v>
      </c>
      <c r="AQ1441" t="s">
        <v>129</v>
      </c>
      <c r="AR1441" t="str">
        <f t="shared" si="44"/>
        <v>20000014.SPMINEQ</v>
      </c>
      <c r="AS1441">
        <f t="shared" si="45"/>
        <v>11561263.479999999</v>
      </c>
      <c r="AT1441" t="s">
        <v>82</v>
      </c>
    </row>
    <row r="1442" spans="1:46" x14ac:dyDescent="0.35">
      <c r="A1442" t="s">
        <v>52</v>
      </c>
      <c r="B1442" t="s">
        <v>53</v>
      </c>
      <c r="C1442" t="s">
        <v>54</v>
      </c>
      <c r="D1442" t="s">
        <v>55</v>
      </c>
      <c r="E1442" t="s">
        <v>56</v>
      </c>
      <c r="F1442" t="s">
        <v>4316</v>
      </c>
      <c r="G1442" t="s">
        <v>4387</v>
      </c>
      <c r="H1442" t="s">
        <v>153</v>
      </c>
      <c r="I1442" t="s">
        <v>4388</v>
      </c>
      <c r="J1442" t="s">
        <v>56</v>
      </c>
      <c r="K1442" t="s">
        <v>62</v>
      </c>
      <c r="L1442" t="s">
        <v>56</v>
      </c>
      <c r="M1442" t="s">
        <v>56</v>
      </c>
      <c r="N1442" t="s">
        <v>4389</v>
      </c>
      <c r="O1442" t="s">
        <v>2476</v>
      </c>
      <c r="P1442" t="s">
        <v>2477</v>
      </c>
      <c r="Q1442" t="s">
        <v>247</v>
      </c>
      <c r="R1442" t="s">
        <v>248</v>
      </c>
      <c r="S1442">
        <v>116077996</v>
      </c>
      <c r="T1442">
        <v>104117609.53</v>
      </c>
      <c r="U1442" t="s">
        <v>68</v>
      </c>
      <c r="V1442" t="s">
        <v>4319</v>
      </c>
      <c r="W1442" s="9">
        <v>20000014</v>
      </c>
      <c r="X1442" t="s">
        <v>4414</v>
      </c>
      <c r="Y1442" s="1">
        <v>45370</v>
      </c>
      <c r="Z1442" s="1">
        <v>45430</v>
      </c>
      <c r="AA1442" s="2">
        <v>3256800</v>
      </c>
      <c r="AB1442" s="2">
        <v>2760000</v>
      </c>
      <c r="AC1442" s="2">
        <v>496800</v>
      </c>
      <c r="AD1442" s="2">
        <v>652090</v>
      </c>
      <c r="AE1442" t="s">
        <v>4415</v>
      </c>
      <c r="AF1442" t="s">
        <v>72</v>
      </c>
      <c r="AG1442">
        <v>648</v>
      </c>
      <c r="AH1442" t="s">
        <v>473</v>
      </c>
      <c r="AI1442" t="s">
        <v>74</v>
      </c>
      <c r="AJ1442" t="s">
        <v>127</v>
      </c>
      <c r="AK1442" t="s">
        <v>128</v>
      </c>
      <c r="AL1442" t="s">
        <v>77</v>
      </c>
      <c r="AM1442" t="s">
        <v>103</v>
      </c>
      <c r="AN1442" t="s">
        <v>2346</v>
      </c>
      <c r="AO1442" t="s">
        <v>80</v>
      </c>
      <c r="AP1442" t="e">
        <v>#N/A</v>
      </c>
      <c r="AQ1442" t="s">
        <v>129</v>
      </c>
      <c r="AR1442" t="str">
        <f t="shared" si="44"/>
        <v>20000014.SPMINEQ</v>
      </c>
      <c r="AS1442">
        <f t="shared" si="45"/>
        <v>11561263.479999999</v>
      </c>
      <c r="AT1442" t="s">
        <v>82</v>
      </c>
    </row>
    <row r="1443" spans="1:46" x14ac:dyDescent="0.35">
      <c r="A1443" t="s">
        <v>52</v>
      </c>
      <c r="B1443" t="s">
        <v>53</v>
      </c>
      <c r="C1443" t="s">
        <v>54</v>
      </c>
      <c r="D1443" t="s">
        <v>55</v>
      </c>
      <c r="E1443" t="s">
        <v>56</v>
      </c>
      <c r="F1443" t="s">
        <v>4316</v>
      </c>
      <c r="G1443" t="s">
        <v>4387</v>
      </c>
      <c r="H1443" t="s">
        <v>153</v>
      </c>
      <c r="I1443" t="s">
        <v>4388</v>
      </c>
      <c r="J1443" t="s">
        <v>56</v>
      </c>
      <c r="K1443" t="s">
        <v>62</v>
      </c>
      <c r="L1443" t="s">
        <v>56</v>
      </c>
      <c r="M1443" t="s">
        <v>56</v>
      </c>
      <c r="N1443" t="s">
        <v>4389</v>
      </c>
      <c r="O1443" t="s">
        <v>2476</v>
      </c>
      <c r="P1443" t="s">
        <v>2477</v>
      </c>
      <c r="Q1443" t="s">
        <v>247</v>
      </c>
      <c r="R1443" t="s">
        <v>248</v>
      </c>
      <c r="S1443">
        <v>116077996</v>
      </c>
      <c r="T1443">
        <v>104117609.53</v>
      </c>
      <c r="U1443" t="s">
        <v>68</v>
      </c>
      <c r="V1443" t="s">
        <v>4319</v>
      </c>
      <c r="W1443" s="9">
        <v>20000014</v>
      </c>
      <c r="X1443" t="s">
        <v>4416</v>
      </c>
      <c r="Y1443" s="1">
        <v>45371</v>
      </c>
      <c r="Z1443" s="1">
        <v>45431</v>
      </c>
      <c r="AA1443" s="2">
        <v>3392500</v>
      </c>
      <c r="AB1443" s="2">
        <v>2875000</v>
      </c>
      <c r="AC1443" s="2">
        <v>517500</v>
      </c>
      <c r="AD1443" s="2">
        <v>103500.75</v>
      </c>
      <c r="AE1443" t="s">
        <v>4417</v>
      </c>
      <c r="AF1443" t="s">
        <v>72</v>
      </c>
      <c r="AG1443">
        <v>647</v>
      </c>
      <c r="AH1443" t="s">
        <v>473</v>
      </c>
      <c r="AI1443" t="s">
        <v>74</v>
      </c>
      <c r="AJ1443" t="s">
        <v>127</v>
      </c>
      <c r="AK1443" t="s">
        <v>128</v>
      </c>
      <c r="AL1443" t="s">
        <v>77</v>
      </c>
      <c r="AM1443" t="s">
        <v>103</v>
      </c>
      <c r="AN1443" t="s">
        <v>2346</v>
      </c>
      <c r="AO1443" t="s">
        <v>80</v>
      </c>
      <c r="AP1443" t="e">
        <v>#N/A</v>
      </c>
      <c r="AQ1443" t="s">
        <v>129</v>
      </c>
      <c r="AR1443" t="str">
        <f t="shared" si="44"/>
        <v>20000014.SPMINEQ</v>
      </c>
      <c r="AS1443">
        <f t="shared" si="45"/>
        <v>11561263.479999999</v>
      </c>
      <c r="AT1443" t="s">
        <v>82</v>
      </c>
    </row>
    <row r="1444" spans="1:46" x14ac:dyDescent="0.35">
      <c r="A1444" t="s">
        <v>52</v>
      </c>
      <c r="B1444" t="s">
        <v>53</v>
      </c>
      <c r="C1444" t="s">
        <v>54</v>
      </c>
      <c r="D1444" t="s">
        <v>55</v>
      </c>
      <c r="E1444" t="s">
        <v>56</v>
      </c>
      <c r="F1444" t="s">
        <v>4316</v>
      </c>
      <c r="G1444" t="s">
        <v>4387</v>
      </c>
      <c r="H1444" t="s">
        <v>153</v>
      </c>
      <c r="I1444" t="s">
        <v>4388</v>
      </c>
      <c r="J1444" t="s">
        <v>56</v>
      </c>
      <c r="K1444" t="s">
        <v>62</v>
      </c>
      <c r="L1444" t="s">
        <v>56</v>
      </c>
      <c r="M1444" t="s">
        <v>56</v>
      </c>
      <c r="N1444" t="s">
        <v>4389</v>
      </c>
      <c r="O1444" t="s">
        <v>2476</v>
      </c>
      <c r="P1444" t="s">
        <v>2477</v>
      </c>
      <c r="Q1444" t="s">
        <v>247</v>
      </c>
      <c r="R1444" t="s">
        <v>248</v>
      </c>
      <c r="S1444">
        <v>116077996</v>
      </c>
      <c r="T1444">
        <v>104117609.53</v>
      </c>
      <c r="U1444" t="s">
        <v>68</v>
      </c>
      <c r="V1444" t="s">
        <v>4319</v>
      </c>
      <c r="W1444" s="9">
        <v>20000014</v>
      </c>
      <c r="X1444" t="s">
        <v>4418</v>
      </c>
      <c r="Y1444" s="1">
        <v>45383</v>
      </c>
      <c r="Z1444" s="1">
        <v>45443</v>
      </c>
      <c r="AA1444" s="2">
        <v>2139340</v>
      </c>
      <c r="AB1444" s="2">
        <v>1813000</v>
      </c>
      <c r="AC1444" s="2">
        <v>326340</v>
      </c>
      <c r="AD1444" s="2">
        <v>65086.75</v>
      </c>
      <c r="AE1444" t="s">
        <v>4419</v>
      </c>
      <c r="AF1444" t="s">
        <v>72</v>
      </c>
      <c r="AG1444">
        <v>635</v>
      </c>
      <c r="AH1444" t="s">
        <v>473</v>
      </c>
      <c r="AI1444" t="s">
        <v>74</v>
      </c>
      <c r="AJ1444" t="s">
        <v>127</v>
      </c>
      <c r="AK1444" t="s">
        <v>128</v>
      </c>
      <c r="AL1444" t="s">
        <v>77</v>
      </c>
      <c r="AM1444" t="s">
        <v>103</v>
      </c>
      <c r="AN1444" t="s">
        <v>2346</v>
      </c>
      <c r="AO1444" t="s">
        <v>80</v>
      </c>
      <c r="AP1444" t="e">
        <v>#N/A</v>
      </c>
      <c r="AQ1444" t="s">
        <v>129</v>
      </c>
      <c r="AR1444" t="str">
        <f t="shared" si="44"/>
        <v>20000014.SPMINEQ</v>
      </c>
      <c r="AS1444">
        <f t="shared" si="45"/>
        <v>11561263.479999999</v>
      </c>
      <c r="AT1444" t="s">
        <v>82</v>
      </c>
    </row>
    <row r="1445" spans="1:46" x14ac:dyDescent="0.35">
      <c r="A1445" t="s">
        <v>52</v>
      </c>
      <c r="B1445" t="s">
        <v>53</v>
      </c>
      <c r="C1445" t="s">
        <v>54</v>
      </c>
      <c r="D1445" t="s">
        <v>55</v>
      </c>
      <c r="E1445" t="s">
        <v>56</v>
      </c>
      <c r="F1445" t="s">
        <v>4316</v>
      </c>
      <c r="G1445" t="s">
        <v>4387</v>
      </c>
      <c r="H1445" t="s">
        <v>153</v>
      </c>
      <c r="I1445" t="s">
        <v>4388</v>
      </c>
      <c r="J1445" t="s">
        <v>56</v>
      </c>
      <c r="K1445" t="s">
        <v>62</v>
      </c>
      <c r="L1445" t="s">
        <v>56</v>
      </c>
      <c r="M1445" t="s">
        <v>56</v>
      </c>
      <c r="N1445" t="s">
        <v>4389</v>
      </c>
      <c r="O1445" t="s">
        <v>2476</v>
      </c>
      <c r="P1445" t="s">
        <v>2477</v>
      </c>
      <c r="Q1445" t="s">
        <v>247</v>
      </c>
      <c r="R1445" t="s">
        <v>248</v>
      </c>
      <c r="S1445">
        <v>116077996</v>
      </c>
      <c r="T1445">
        <v>104117609.53</v>
      </c>
      <c r="U1445" t="s">
        <v>68</v>
      </c>
      <c r="V1445" t="s">
        <v>4319</v>
      </c>
      <c r="W1445" s="9">
        <v>20000014</v>
      </c>
      <c r="X1445" t="s">
        <v>4420</v>
      </c>
      <c r="Y1445" s="1">
        <v>45387</v>
      </c>
      <c r="Z1445" s="1">
        <v>45447</v>
      </c>
      <c r="AA1445" s="2">
        <v>92040</v>
      </c>
      <c r="AB1445" s="2">
        <v>78000</v>
      </c>
      <c r="AC1445" s="2">
        <v>14040</v>
      </c>
      <c r="AD1445" s="2">
        <v>2800.2</v>
      </c>
      <c r="AE1445" t="s">
        <v>4421</v>
      </c>
      <c r="AF1445" t="s">
        <v>72</v>
      </c>
      <c r="AG1445">
        <v>631</v>
      </c>
      <c r="AH1445" t="s">
        <v>473</v>
      </c>
      <c r="AI1445" t="s">
        <v>74</v>
      </c>
      <c r="AJ1445" t="s">
        <v>127</v>
      </c>
      <c r="AK1445" t="s">
        <v>128</v>
      </c>
      <c r="AL1445" t="s">
        <v>77</v>
      </c>
      <c r="AM1445" t="s">
        <v>103</v>
      </c>
      <c r="AN1445" t="s">
        <v>2346</v>
      </c>
      <c r="AO1445" t="s">
        <v>80</v>
      </c>
      <c r="AP1445" t="e">
        <v>#N/A</v>
      </c>
      <c r="AQ1445" t="s">
        <v>129</v>
      </c>
      <c r="AR1445" t="str">
        <f t="shared" si="44"/>
        <v>20000014.SPMINEQ</v>
      </c>
      <c r="AS1445">
        <f t="shared" si="45"/>
        <v>11561263.479999999</v>
      </c>
      <c r="AT1445" t="s">
        <v>82</v>
      </c>
    </row>
    <row r="1446" spans="1:46" x14ac:dyDescent="0.35">
      <c r="A1446" t="s">
        <v>52</v>
      </c>
      <c r="B1446" t="s">
        <v>53</v>
      </c>
      <c r="C1446" t="s">
        <v>54</v>
      </c>
      <c r="D1446" t="s">
        <v>55</v>
      </c>
      <c r="E1446" t="s">
        <v>56</v>
      </c>
      <c r="F1446" t="s">
        <v>4316</v>
      </c>
      <c r="G1446" t="s">
        <v>4387</v>
      </c>
      <c r="H1446" t="s">
        <v>153</v>
      </c>
      <c r="I1446" t="s">
        <v>4388</v>
      </c>
      <c r="J1446" t="s">
        <v>56</v>
      </c>
      <c r="K1446" t="s">
        <v>62</v>
      </c>
      <c r="L1446" t="s">
        <v>56</v>
      </c>
      <c r="M1446" t="s">
        <v>56</v>
      </c>
      <c r="N1446" t="s">
        <v>4389</v>
      </c>
      <c r="O1446" t="s">
        <v>2476</v>
      </c>
      <c r="P1446" t="s">
        <v>2477</v>
      </c>
      <c r="Q1446" t="s">
        <v>247</v>
      </c>
      <c r="R1446" t="s">
        <v>248</v>
      </c>
      <c r="S1446">
        <v>116077996</v>
      </c>
      <c r="T1446">
        <v>104117609.53</v>
      </c>
      <c r="U1446" t="s">
        <v>68</v>
      </c>
      <c r="V1446" t="s">
        <v>4319</v>
      </c>
      <c r="W1446" s="9">
        <v>20000014</v>
      </c>
      <c r="X1446" t="s">
        <v>4422</v>
      </c>
      <c r="Y1446" s="1">
        <v>45387</v>
      </c>
      <c r="Z1446" s="1">
        <v>45447</v>
      </c>
      <c r="AA1446" s="2">
        <v>50740</v>
      </c>
      <c r="AB1446" s="2">
        <v>43000</v>
      </c>
      <c r="AC1446" s="2">
        <v>7740</v>
      </c>
      <c r="AD1446" s="2">
        <v>1156.7</v>
      </c>
      <c r="AE1446" t="s">
        <v>4423</v>
      </c>
      <c r="AF1446" t="s">
        <v>72</v>
      </c>
      <c r="AG1446">
        <v>631</v>
      </c>
      <c r="AH1446" t="s">
        <v>473</v>
      </c>
      <c r="AI1446" t="s">
        <v>74</v>
      </c>
      <c r="AJ1446" t="s">
        <v>127</v>
      </c>
      <c r="AK1446" t="s">
        <v>128</v>
      </c>
      <c r="AL1446" t="s">
        <v>77</v>
      </c>
      <c r="AM1446" t="s">
        <v>103</v>
      </c>
      <c r="AN1446" t="s">
        <v>2346</v>
      </c>
      <c r="AO1446" t="s">
        <v>80</v>
      </c>
      <c r="AP1446" t="e">
        <v>#N/A</v>
      </c>
      <c r="AQ1446" t="s">
        <v>129</v>
      </c>
      <c r="AR1446" t="str">
        <f t="shared" si="44"/>
        <v>20000014.SPMINEQ</v>
      </c>
      <c r="AS1446">
        <f t="shared" si="45"/>
        <v>11561263.479999999</v>
      </c>
      <c r="AT1446" t="s">
        <v>82</v>
      </c>
    </row>
    <row r="1447" spans="1:46" x14ac:dyDescent="0.35">
      <c r="A1447" t="s">
        <v>52</v>
      </c>
      <c r="B1447" t="s">
        <v>53</v>
      </c>
      <c r="C1447" t="s">
        <v>54</v>
      </c>
      <c r="D1447" t="s">
        <v>55</v>
      </c>
      <c r="E1447" t="s">
        <v>56</v>
      </c>
      <c r="F1447" t="s">
        <v>4316</v>
      </c>
      <c r="G1447" t="s">
        <v>4387</v>
      </c>
      <c r="H1447" t="s">
        <v>153</v>
      </c>
      <c r="I1447" t="s">
        <v>4388</v>
      </c>
      <c r="J1447" t="s">
        <v>56</v>
      </c>
      <c r="K1447" t="s">
        <v>62</v>
      </c>
      <c r="L1447" t="s">
        <v>56</v>
      </c>
      <c r="M1447" t="s">
        <v>56</v>
      </c>
      <c r="N1447" t="s">
        <v>4389</v>
      </c>
      <c r="O1447" t="s">
        <v>2476</v>
      </c>
      <c r="P1447" t="s">
        <v>2477</v>
      </c>
      <c r="Q1447" t="s">
        <v>247</v>
      </c>
      <c r="R1447" t="s">
        <v>248</v>
      </c>
      <c r="S1447">
        <v>116077996</v>
      </c>
      <c r="T1447">
        <v>104117609.53</v>
      </c>
      <c r="U1447" t="s">
        <v>68</v>
      </c>
      <c r="V1447" t="s">
        <v>4319</v>
      </c>
      <c r="W1447" s="9">
        <v>20000014</v>
      </c>
      <c r="X1447" t="s">
        <v>4424</v>
      </c>
      <c r="Y1447" s="1">
        <v>45390</v>
      </c>
      <c r="Z1447" s="1">
        <v>45450</v>
      </c>
      <c r="AA1447" s="2">
        <v>4617340</v>
      </c>
      <c r="AB1447" s="2">
        <v>3913000</v>
      </c>
      <c r="AC1447" s="2">
        <v>704340</v>
      </c>
      <c r="AD1447" s="2">
        <v>205094.9</v>
      </c>
      <c r="AE1447" t="s">
        <v>4425</v>
      </c>
      <c r="AF1447" t="s">
        <v>72</v>
      </c>
      <c r="AG1447">
        <v>628</v>
      </c>
      <c r="AH1447" t="s">
        <v>473</v>
      </c>
      <c r="AI1447" t="s">
        <v>74</v>
      </c>
      <c r="AJ1447" t="s">
        <v>127</v>
      </c>
      <c r="AK1447" t="s">
        <v>128</v>
      </c>
      <c r="AL1447" t="s">
        <v>77</v>
      </c>
      <c r="AM1447" t="s">
        <v>103</v>
      </c>
      <c r="AN1447" t="s">
        <v>2346</v>
      </c>
      <c r="AO1447" t="s">
        <v>80</v>
      </c>
      <c r="AP1447" t="e">
        <v>#N/A</v>
      </c>
      <c r="AQ1447" t="s">
        <v>129</v>
      </c>
      <c r="AR1447" t="str">
        <f t="shared" si="44"/>
        <v>20000014.SPMINEQ</v>
      </c>
      <c r="AS1447">
        <f t="shared" si="45"/>
        <v>11561263.479999999</v>
      </c>
      <c r="AT1447" t="s">
        <v>82</v>
      </c>
    </row>
    <row r="1448" spans="1:46" x14ac:dyDescent="0.35">
      <c r="A1448" t="s">
        <v>52</v>
      </c>
      <c r="B1448" t="s">
        <v>53</v>
      </c>
      <c r="C1448" t="s">
        <v>54</v>
      </c>
      <c r="D1448" t="s">
        <v>55</v>
      </c>
      <c r="E1448" t="s">
        <v>56</v>
      </c>
      <c r="F1448" t="s">
        <v>4316</v>
      </c>
      <c r="G1448" t="s">
        <v>4387</v>
      </c>
      <c r="H1448" t="s">
        <v>153</v>
      </c>
      <c r="I1448" t="s">
        <v>4388</v>
      </c>
      <c r="J1448" t="s">
        <v>56</v>
      </c>
      <c r="K1448" t="s">
        <v>62</v>
      </c>
      <c r="L1448" t="s">
        <v>56</v>
      </c>
      <c r="M1448" t="s">
        <v>56</v>
      </c>
      <c r="N1448" t="s">
        <v>4389</v>
      </c>
      <c r="O1448" t="s">
        <v>2476</v>
      </c>
      <c r="P1448" t="s">
        <v>2477</v>
      </c>
      <c r="Q1448" t="s">
        <v>247</v>
      </c>
      <c r="R1448" t="s">
        <v>248</v>
      </c>
      <c r="S1448">
        <v>116077996</v>
      </c>
      <c r="T1448">
        <v>104117609.53</v>
      </c>
      <c r="U1448" t="s">
        <v>68</v>
      </c>
      <c r="V1448" t="s">
        <v>4319</v>
      </c>
      <c r="W1448" s="9">
        <v>20000014</v>
      </c>
      <c r="X1448" t="s">
        <v>4426</v>
      </c>
      <c r="Y1448" s="1">
        <v>45390</v>
      </c>
      <c r="Z1448" s="1">
        <v>45450</v>
      </c>
      <c r="AA1448" s="2">
        <v>3685140</v>
      </c>
      <c r="AB1448" s="2">
        <v>3123000</v>
      </c>
      <c r="AC1448" s="2">
        <v>562140</v>
      </c>
      <c r="AD1448" s="2">
        <v>185028.45</v>
      </c>
      <c r="AE1448" t="s">
        <v>4427</v>
      </c>
      <c r="AF1448" t="s">
        <v>72</v>
      </c>
      <c r="AG1448">
        <v>628</v>
      </c>
      <c r="AH1448" t="s">
        <v>473</v>
      </c>
      <c r="AI1448" t="s">
        <v>74</v>
      </c>
      <c r="AJ1448" t="s">
        <v>127</v>
      </c>
      <c r="AK1448" t="s">
        <v>128</v>
      </c>
      <c r="AL1448" t="s">
        <v>77</v>
      </c>
      <c r="AM1448" t="s">
        <v>103</v>
      </c>
      <c r="AN1448" t="s">
        <v>2346</v>
      </c>
      <c r="AO1448" t="s">
        <v>80</v>
      </c>
      <c r="AP1448" t="e">
        <v>#N/A</v>
      </c>
      <c r="AQ1448" t="s">
        <v>129</v>
      </c>
      <c r="AR1448" t="str">
        <f t="shared" si="44"/>
        <v>20000014.SPMINEQ</v>
      </c>
      <c r="AS1448">
        <f t="shared" si="45"/>
        <v>11561263.479999999</v>
      </c>
      <c r="AT1448" t="s">
        <v>82</v>
      </c>
    </row>
    <row r="1449" spans="1:46" x14ac:dyDescent="0.35">
      <c r="A1449" t="s">
        <v>52</v>
      </c>
      <c r="B1449" t="s">
        <v>53</v>
      </c>
      <c r="C1449" t="s">
        <v>54</v>
      </c>
      <c r="D1449" t="s">
        <v>55</v>
      </c>
      <c r="E1449" t="s">
        <v>56</v>
      </c>
      <c r="F1449" t="s">
        <v>4316</v>
      </c>
      <c r="G1449" t="s">
        <v>4387</v>
      </c>
      <c r="H1449" t="s">
        <v>153</v>
      </c>
      <c r="I1449" t="s">
        <v>4388</v>
      </c>
      <c r="J1449" t="s">
        <v>56</v>
      </c>
      <c r="K1449" t="s">
        <v>62</v>
      </c>
      <c r="L1449" t="s">
        <v>56</v>
      </c>
      <c r="M1449" t="s">
        <v>56</v>
      </c>
      <c r="N1449" t="s">
        <v>4389</v>
      </c>
      <c r="O1449" t="s">
        <v>2476</v>
      </c>
      <c r="P1449" t="s">
        <v>2477</v>
      </c>
      <c r="Q1449" t="s">
        <v>247</v>
      </c>
      <c r="R1449" t="s">
        <v>248</v>
      </c>
      <c r="S1449">
        <v>116077996</v>
      </c>
      <c r="T1449">
        <v>104117609.53</v>
      </c>
      <c r="U1449" t="s">
        <v>68</v>
      </c>
      <c r="V1449" t="s">
        <v>4319</v>
      </c>
      <c r="W1449" s="9">
        <v>20000014</v>
      </c>
      <c r="X1449" t="s">
        <v>4428</v>
      </c>
      <c r="Y1449" s="1">
        <v>45415</v>
      </c>
      <c r="Z1449" s="1">
        <v>45475</v>
      </c>
      <c r="AA1449" s="2">
        <v>37760</v>
      </c>
      <c r="AB1449" s="2">
        <v>32000</v>
      </c>
      <c r="AC1449" s="2">
        <v>5760</v>
      </c>
      <c r="AD1449" s="2">
        <v>1155.4000000000001</v>
      </c>
      <c r="AE1449" t="s">
        <v>4429</v>
      </c>
      <c r="AF1449" t="s">
        <v>72</v>
      </c>
      <c r="AG1449">
        <v>603</v>
      </c>
      <c r="AH1449" t="s">
        <v>473</v>
      </c>
      <c r="AI1449" t="s">
        <v>74</v>
      </c>
      <c r="AJ1449" t="s">
        <v>127</v>
      </c>
      <c r="AK1449" t="s">
        <v>128</v>
      </c>
      <c r="AL1449" t="s">
        <v>77</v>
      </c>
      <c r="AM1449" t="s">
        <v>103</v>
      </c>
      <c r="AN1449" t="s">
        <v>2346</v>
      </c>
      <c r="AO1449" t="s">
        <v>80</v>
      </c>
      <c r="AP1449" t="e">
        <v>#N/A</v>
      </c>
      <c r="AQ1449" t="s">
        <v>129</v>
      </c>
      <c r="AR1449" t="str">
        <f t="shared" si="44"/>
        <v>20000014.SPMINEQ</v>
      </c>
      <c r="AS1449">
        <f t="shared" si="45"/>
        <v>11561263.479999999</v>
      </c>
      <c r="AT1449" t="s">
        <v>82</v>
      </c>
    </row>
    <row r="1450" spans="1:46" x14ac:dyDescent="0.35">
      <c r="A1450" t="s">
        <v>52</v>
      </c>
      <c r="B1450" t="s">
        <v>53</v>
      </c>
      <c r="C1450" t="s">
        <v>54</v>
      </c>
      <c r="D1450" t="s">
        <v>55</v>
      </c>
      <c r="E1450" t="s">
        <v>56</v>
      </c>
      <c r="F1450" t="s">
        <v>4316</v>
      </c>
      <c r="G1450" t="s">
        <v>4387</v>
      </c>
      <c r="H1450" t="s">
        <v>153</v>
      </c>
      <c r="I1450" t="s">
        <v>4388</v>
      </c>
      <c r="J1450" t="s">
        <v>56</v>
      </c>
      <c r="K1450" t="s">
        <v>62</v>
      </c>
      <c r="L1450" t="s">
        <v>56</v>
      </c>
      <c r="M1450" t="s">
        <v>56</v>
      </c>
      <c r="N1450" t="s">
        <v>4389</v>
      </c>
      <c r="O1450" t="s">
        <v>2476</v>
      </c>
      <c r="P1450" t="s">
        <v>2477</v>
      </c>
      <c r="Q1450" t="s">
        <v>247</v>
      </c>
      <c r="R1450" t="s">
        <v>248</v>
      </c>
      <c r="S1450">
        <v>116077996</v>
      </c>
      <c r="T1450">
        <v>104117609.53</v>
      </c>
      <c r="U1450" t="s">
        <v>68</v>
      </c>
      <c r="V1450" t="s">
        <v>4319</v>
      </c>
      <c r="W1450" s="9">
        <v>20000014</v>
      </c>
      <c r="X1450" t="s">
        <v>4430</v>
      </c>
      <c r="Y1450" s="1">
        <v>45419</v>
      </c>
      <c r="Z1450" s="1">
        <v>45479</v>
      </c>
      <c r="AA1450" s="2">
        <v>834260</v>
      </c>
      <c r="AB1450" s="2">
        <v>707000</v>
      </c>
      <c r="AC1450" s="2">
        <v>127260</v>
      </c>
      <c r="AD1450" s="2">
        <v>608797.75</v>
      </c>
      <c r="AE1450" t="s">
        <v>4431</v>
      </c>
      <c r="AF1450" t="s">
        <v>72</v>
      </c>
      <c r="AG1450">
        <v>599</v>
      </c>
      <c r="AH1450" t="s">
        <v>473</v>
      </c>
      <c r="AI1450" t="s">
        <v>74</v>
      </c>
      <c r="AJ1450" t="s">
        <v>127</v>
      </c>
      <c r="AK1450" t="s">
        <v>128</v>
      </c>
      <c r="AL1450" t="s">
        <v>77</v>
      </c>
      <c r="AM1450" t="s">
        <v>103</v>
      </c>
      <c r="AN1450" t="s">
        <v>2346</v>
      </c>
      <c r="AO1450" t="s">
        <v>80</v>
      </c>
      <c r="AP1450" t="e">
        <v>#N/A</v>
      </c>
      <c r="AQ1450" t="s">
        <v>129</v>
      </c>
      <c r="AR1450" t="str">
        <f t="shared" si="44"/>
        <v>20000014.SPMINEQ</v>
      </c>
      <c r="AS1450">
        <f t="shared" si="45"/>
        <v>11561263.479999999</v>
      </c>
      <c r="AT1450" t="s">
        <v>82</v>
      </c>
    </row>
    <row r="1451" spans="1:46" x14ac:dyDescent="0.35">
      <c r="A1451" t="s">
        <v>52</v>
      </c>
      <c r="B1451" t="s">
        <v>53</v>
      </c>
      <c r="C1451" t="s">
        <v>54</v>
      </c>
      <c r="D1451" t="s">
        <v>55</v>
      </c>
      <c r="E1451" t="s">
        <v>56</v>
      </c>
      <c r="F1451" t="s">
        <v>4316</v>
      </c>
      <c r="G1451" t="s">
        <v>4387</v>
      </c>
      <c r="H1451" t="s">
        <v>153</v>
      </c>
      <c r="I1451" t="s">
        <v>4388</v>
      </c>
      <c r="J1451" t="s">
        <v>56</v>
      </c>
      <c r="K1451" t="s">
        <v>62</v>
      </c>
      <c r="L1451" t="s">
        <v>56</v>
      </c>
      <c r="M1451" t="s">
        <v>56</v>
      </c>
      <c r="N1451" t="s">
        <v>4389</v>
      </c>
      <c r="O1451" t="s">
        <v>2476</v>
      </c>
      <c r="P1451" t="s">
        <v>2477</v>
      </c>
      <c r="Q1451" t="s">
        <v>247</v>
      </c>
      <c r="R1451" t="s">
        <v>248</v>
      </c>
      <c r="S1451">
        <v>116077996</v>
      </c>
      <c r="T1451">
        <v>104117609.53</v>
      </c>
      <c r="U1451" t="s">
        <v>68</v>
      </c>
      <c r="V1451" t="s">
        <v>4319</v>
      </c>
      <c r="W1451" s="9">
        <v>20000014</v>
      </c>
      <c r="X1451" t="s">
        <v>4432</v>
      </c>
      <c r="Y1451" s="1">
        <v>45420</v>
      </c>
      <c r="Z1451" s="1">
        <v>45480</v>
      </c>
      <c r="AA1451" s="2">
        <v>1628400</v>
      </c>
      <c r="AB1451" s="2">
        <v>1380000</v>
      </c>
      <c r="AC1451" s="2">
        <v>248400</v>
      </c>
      <c r="AD1451" s="2">
        <v>49818</v>
      </c>
      <c r="AE1451" t="s">
        <v>4433</v>
      </c>
      <c r="AF1451" t="s">
        <v>72</v>
      </c>
      <c r="AG1451">
        <v>598</v>
      </c>
      <c r="AH1451" t="s">
        <v>473</v>
      </c>
      <c r="AI1451" t="s">
        <v>74</v>
      </c>
      <c r="AJ1451" t="s">
        <v>127</v>
      </c>
      <c r="AK1451" t="s">
        <v>128</v>
      </c>
      <c r="AL1451" t="s">
        <v>77</v>
      </c>
      <c r="AM1451" t="s">
        <v>103</v>
      </c>
      <c r="AN1451" t="s">
        <v>2346</v>
      </c>
      <c r="AO1451" t="s">
        <v>80</v>
      </c>
      <c r="AP1451" t="e">
        <v>#N/A</v>
      </c>
      <c r="AQ1451" t="s">
        <v>129</v>
      </c>
      <c r="AR1451" t="str">
        <f t="shared" si="44"/>
        <v>20000014.SPMINEQ</v>
      </c>
      <c r="AS1451">
        <f t="shared" si="45"/>
        <v>11561263.479999999</v>
      </c>
      <c r="AT1451" t="s">
        <v>82</v>
      </c>
    </row>
    <row r="1452" spans="1:46" x14ac:dyDescent="0.35">
      <c r="A1452" t="s">
        <v>52</v>
      </c>
      <c r="B1452" t="s">
        <v>53</v>
      </c>
      <c r="C1452" t="s">
        <v>54</v>
      </c>
      <c r="D1452" t="s">
        <v>55</v>
      </c>
      <c r="E1452" t="s">
        <v>56</v>
      </c>
      <c r="F1452" t="s">
        <v>4316</v>
      </c>
      <c r="G1452" t="s">
        <v>4434</v>
      </c>
      <c r="H1452" t="s">
        <v>403</v>
      </c>
      <c r="I1452" t="s">
        <v>4435</v>
      </c>
      <c r="J1452" t="s">
        <v>56</v>
      </c>
      <c r="K1452" t="s">
        <v>62</v>
      </c>
      <c r="L1452" t="s">
        <v>56</v>
      </c>
      <c r="M1452" t="s">
        <v>56</v>
      </c>
      <c r="N1452" t="s">
        <v>2435</v>
      </c>
      <c r="O1452" t="s">
        <v>4436</v>
      </c>
      <c r="P1452" t="s">
        <v>4437</v>
      </c>
      <c r="Q1452" t="s">
        <v>2899</v>
      </c>
      <c r="R1452" t="s">
        <v>248</v>
      </c>
      <c r="S1452">
        <v>116077996</v>
      </c>
      <c r="T1452">
        <v>104117609.53</v>
      </c>
      <c r="U1452" t="s">
        <v>68</v>
      </c>
      <c r="V1452" t="s">
        <v>4319</v>
      </c>
      <c r="W1452" s="9">
        <v>20000014</v>
      </c>
      <c r="X1452" t="s">
        <v>4438</v>
      </c>
      <c r="Y1452" s="1">
        <v>45588</v>
      </c>
      <c r="Z1452" s="1">
        <v>45633</v>
      </c>
      <c r="AA1452" s="2">
        <v>306800</v>
      </c>
      <c r="AB1452" s="2">
        <v>260000</v>
      </c>
      <c r="AC1452" s="2">
        <v>46800</v>
      </c>
      <c r="AD1452" s="2">
        <v>306800</v>
      </c>
      <c r="AE1452" t="s">
        <v>4439</v>
      </c>
      <c r="AF1452" t="s">
        <v>72</v>
      </c>
      <c r="AG1452">
        <v>445</v>
      </c>
      <c r="AH1452" t="s">
        <v>473</v>
      </c>
      <c r="AI1452" t="s">
        <v>74</v>
      </c>
      <c r="AJ1452" t="s">
        <v>127</v>
      </c>
      <c r="AK1452" t="s">
        <v>334</v>
      </c>
      <c r="AL1452" t="s">
        <v>77</v>
      </c>
      <c r="AM1452" t="s">
        <v>78</v>
      </c>
      <c r="AN1452" t="s">
        <v>795</v>
      </c>
      <c r="AO1452" t="s">
        <v>80</v>
      </c>
      <c r="AP1452" t="e">
        <v>#N/A</v>
      </c>
      <c r="AQ1452" t="s">
        <v>335</v>
      </c>
      <c r="AR1452" t="str">
        <f t="shared" si="44"/>
        <v>20000014.SPMINAM</v>
      </c>
      <c r="AS1452">
        <f t="shared" si="45"/>
        <v>398840</v>
      </c>
      <c r="AT1452" t="s">
        <v>82</v>
      </c>
    </row>
    <row r="1453" spans="1:46" x14ac:dyDescent="0.35">
      <c r="A1453" t="s">
        <v>52</v>
      </c>
      <c r="B1453" t="s">
        <v>53</v>
      </c>
      <c r="C1453" t="s">
        <v>54</v>
      </c>
      <c r="D1453" t="s">
        <v>55</v>
      </c>
      <c r="E1453" t="s">
        <v>56</v>
      </c>
      <c r="F1453" t="s">
        <v>4316</v>
      </c>
      <c r="G1453" t="s">
        <v>4434</v>
      </c>
      <c r="H1453" t="s">
        <v>403</v>
      </c>
      <c r="I1453" t="s">
        <v>4440</v>
      </c>
      <c r="J1453" t="s">
        <v>56</v>
      </c>
      <c r="K1453" t="s">
        <v>62</v>
      </c>
      <c r="L1453" t="s">
        <v>56</v>
      </c>
      <c r="M1453" t="s">
        <v>56</v>
      </c>
      <c r="N1453" t="s">
        <v>2435</v>
      </c>
      <c r="O1453" t="s">
        <v>790</v>
      </c>
      <c r="P1453" t="s">
        <v>791</v>
      </c>
      <c r="Q1453" t="s">
        <v>2899</v>
      </c>
      <c r="R1453" t="s">
        <v>248</v>
      </c>
      <c r="S1453">
        <v>116077996</v>
      </c>
      <c r="T1453">
        <v>104117609.53</v>
      </c>
      <c r="U1453" t="s">
        <v>68</v>
      </c>
      <c r="V1453" t="s">
        <v>4319</v>
      </c>
      <c r="W1453" s="9">
        <v>20000014</v>
      </c>
      <c r="X1453" t="s">
        <v>4441</v>
      </c>
      <c r="Y1453" s="1">
        <v>45629</v>
      </c>
      <c r="Z1453" s="1">
        <v>45674</v>
      </c>
      <c r="AA1453" s="2">
        <v>92040</v>
      </c>
      <c r="AB1453" s="2">
        <v>78000</v>
      </c>
      <c r="AC1453" s="2">
        <v>14040</v>
      </c>
      <c r="AD1453" s="2">
        <v>92040</v>
      </c>
      <c r="AE1453" t="s">
        <v>4442</v>
      </c>
      <c r="AF1453" t="s">
        <v>72</v>
      </c>
      <c r="AG1453">
        <v>404</v>
      </c>
      <c r="AH1453" t="s">
        <v>473</v>
      </c>
      <c r="AI1453" t="s">
        <v>74</v>
      </c>
      <c r="AJ1453" t="s">
        <v>127</v>
      </c>
      <c r="AK1453" t="s">
        <v>334</v>
      </c>
      <c r="AL1453" t="s">
        <v>77</v>
      </c>
      <c r="AM1453" t="s">
        <v>78</v>
      </c>
      <c r="AN1453" t="s">
        <v>795</v>
      </c>
      <c r="AO1453" t="s">
        <v>80</v>
      </c>
      <c r="AP1453" t="e">
        <v>#N/A</v>
      </c>
      <c r="AQ1453" t="s">
        <v>335</v>
      </c>
      <c r="AR1453" t="str">
        <f t="shared" si="44"/>
        <v>20000014.SPMINAM</v>
      </c>
      <c r="AS1453">
        <f t="shared" si="45"/>
        <v>398840</v>
      </c>
      <c r="AT1453" t="s">
        <v>82</v>
      </c>
    </row>
    <row r="1454" spans="1:46" x14ac:dyDescent="0.35">
      <c r="A1454" t="s">
        <v>52</v>
      </c>
      <c r="B1454" t="s">
        <v>53</v>
      </c>
      <c r="C1454" t="s">
        <v>54</v>
      </c>
      <c r="D1454" t="s">
        <v>55</v>
      </c>
      <c r="E1454" t="s">
        <v>56</v>
      </c>
      <c r="F1454" t="s">
        <v>4316</v>
      </c>
      <c r="G1454" t="s">
        <v>4443</v>
      </c>
      <c r="H1454" t="s">
        <v>111</v>
      </c>
      <c r="I1454" t="s">
        <v>4444</v>
      </c>
      <c r="J1454" t="s">
        <v>56</v>
      </c>
      <c r="K1454" t="s">
        <v>62</v>
      </c>
      <c r="L1454" t="s">
        <v>56</v>
      </c>
      <c r="M1454" t="s">
        <v>56</v>
      </c>
      <c r="N1454" t="s">
        <v>147</v>
      </c>
      <c r="O1454" t="s">
        <v>2476</v>
      </c>
      <c r="P1454" t="s">
        <v>2477</v>
      </c>
      <c r="Q1454" t="s">
        <v>515</v>
      </c>
      <c r="R1454" t="s">
        <v>248</v>
      </c>
      <c r="S1454">
        <v>116077996</v>
      </c>
      <c r="T1454">
        <v>104117609.53</v>
      </c>
      <c r="U1454" t="s">
        <v>68</v>
      </c>
      <c r="V1454" t="s">
        <v>4319</v>
      </c>
      <c r="W1454" s="9">
        <v>20000014</v>
      </c>
      <c r="X1454" t="s">
        <v>4445</v>
      </c>
      <c r="Y1454" s="1">
        <v>45677</v>
      </c>
      <c r="Z1454" s="1">
        <v>45737</v>
      </c>
      <c r="AA1454" s="2">
        <v>8409910.7400000002</v>
      </c>
      <c r="AB1454" s="2">
        <v>7127043</v>
      </c>
      <c r="AC1454" s="2">
        <v>1282867.74</v>
      </c>
      <c r="AD1454" s="2">
        <v>209535</v>
      </c>
      <c r="AE1454" t="s">
        <v>4446</v>
      </c>
      <c r="AF1454" t="s">
        <v>72</v>
      </c>
      <c r="AG1454">
        <v>341</v>
      </c>
      <c r="AH1454" t="s">
        <v>101</v>
      </c>
      <c r="AI1454" t="s">
        <v>74</v>
      </c>
      <c r="AJ1454" t="s">
        <v>127</v>
      </c>
      <c r="AK1454" t="s">
        <v>128</v>
      </c>
      <c r="AL1454" t="s">
        <v>77</v>
      </c>
      <c r="AM1454" t="s">
        <v>103</v>
      </c>
      <c r="AN1454" t="s">
        <v>2346</v>
      </c>
      <c r="AO1454" t="s">
        <v>80</v>
      </c>
      <c r="AP1454" t="e">
        <v>#N/A</v>
      </c>
      <c r="AQ1454" t="s">
        <v>129</v>
      </c>
      <c r="AR1454" t="str">
        <f t="shared" si="44"/>
        <v>20000014.SPMINEQ</v>
      </c>
      <c r="AS1454">
        <f t="shared" si="45"/>
        <v>11561263.479999999</v>
      </c>
      <c r="AT1454" t="s">
        <v>82</v>
      </c>
    </row>
    <row r="1455" spans="1:46" x14ac:dyDescent="0.35">
      <c r="A1455" t="s">
        <v>52</v>
      </c>
      <c r="B1455" t="s">
        <v>53</v>
      </c>
      <c r="C1455" t="s">
        <v>54</v>
      </c>
      <c r="D1455" t="s">
        <v>55</v>
      </c>
      <c r="E1455" t="s">
        <v>56</v>
      </c>
      <c r="F1455" t="s">
        <v>4316</v>
      </c>
      <c r="G1455" t="s">
        <v>4443</v>
      </c>
      <c r="H1455" t="s">
        <v>111</v>
      </c>
      <c r="I1455" t="s">
        <v>4447</v>
      </c>
      <c r="J1455" t="s">
        <v>56</v>
      </c>
      <c r="K1455" t="s">
        <v>62</v>
      </c>
      <c r="L1455" t="s">
        <v>56</v>
      </c>
      <c r="M1455" t="s">
        <v>56</v>
      </c>
      <c r="N1455" t="s">
        <v>56</v>
      </c>
      <c r="O1455" t="s">
        <v>2476</v>
      </c>
      <c r="P1455" t="s">
        <v>2477</v>
      </c>
      <c r="Q1455" t="s">
        <v>515</v>
      </c>
      <c r="R1455" t="s">
        <v>248</v>
      </c>
      <c r="S1455">
        <v>116077996</v>
      </c>
      <c r="T1455">
        <v>104117609.53</v>
      </c>
      <c r="U1455" t="s">
        <v>68</v>
      </c>
      <c r="V1455" t="s">
        <v>4319</v>
      </c>
      <c r="W1455" s="9">
        <v>20000014</v>
      </c>
      <c r="X1455" t="s">
        <v>4448</v>
      </c>
      <c r="Y1455" s="1">
        <v>45677</v>
      </c>
      <c r="Z1455" s="1">
        <v>45737</v>
      </c>
      <c r="AA1455" s="2">
        <v>11783.47</v>
      </c>
      <c r="AB1455" s="2">
        <v>9985.99</v>
      </c>
      <c r="AC1455" s="2">
        <v>1797.48</v>
      </c>
      <c r="AD1455" s="2">
        <v>294.58999999999997</v>
      </c>
      <c r="AE1455" t="s">
        <v>4448</v>
      </c>
      <c r="AF1455" t="s">
        <v>72</v>
      </c>
      <c r="AG1455">
        <v>341</v>
      </c>
      <c r="AH1455" t="s">
        <v>101</v>
      </c>
      <c r="AI1455" t="s">
        <v>74</v>
      </c>
      <c r="AJ1455" t="s">
        <v>127</v>
      </c>
      <c r="AK1455" t="s">
        <v>128</v>
      </c>
      <c r="AL1455" t="s">
        <v>77</v>
      </c>
      <c r="AM1455" t="s">
        <v>103</v>
      </c>
      <c r="AN1455" t="s">
        <v>2346</v>
      </c>
      <c r="AO1455" t="s">
        <v>80</v>
      </c>
      <c r="AP1455" t="e">
        <v>#N/A</v>
      </c>
      <c r="AQ1455" t="s">
        <v>129</v>
      </c>
      <c r="AR1455" t="str">
        <f t="shared" si="44"/>
        <v>20000014.SPMINEQ</v>
      </c>
      <c r="AS1455">
        <f t="shared" si="45"/>
        <v>11561263.479999999</v>
      </c>
      <c r="AT1455" t="s">
        <v>82</v>
      </c>
    </row>
    <row r="1456" spans="1:46" x14ac:dyDescent="0.35">
      <c r="A1456" t="s">
        <v>52</v>
      </c>
      <c r="B1456" t="s">
        <v>53</v>
      </c>
      <c r="C1456" t="s">
        <v>54</v>
      </c>
      <c r="D1456" t="s">
        <v>55</v>
      </c>
      <c r="E1456" t="s">
        <v>56</v>
      </c>
      <c r="F1456" t="s">
        <v>4316</v>
      </c>
      <c r="G1456" t="s">
        <v>4443</v>
      </c>
      <c r="H1456" t="s">
        <v>111</v>
      </c>
      <c r="I1456" t="s">
        <v>4447</v>
      </c>
      <c r="J1456" t="s">
        <v>56</v>
      </c>
      <c r="K1456" t="s">
        <v>62</v>
      </c>
      <c r="L1456" t="s">
        <v>56</v>
      </c>
      <c r="M1456" t="s">
        <v>56</v>
      </c>
      <c r="N1456" t="s">
        <v>147</v>
      </c>
      <c r="O1456" t="s">
        <v>2476</v>
      </c>
      <c r="P1456" t="s">
        <v>2477</v>
      </c>
      <c r="Q1456" t="s">
        <v>515</v>
      </c>
      <c r="R1456" t="s">
        <v>248</v>
      </c>
      <c r="S1456">
        <v>116077996</v>
      </c>
      <c r="T1456">
        <v>104117609.53</v>
      </c>
      <c r="U1456" t="s">
        <v>68</v>
      </c>
      <c r="V1456" t="s">
        <v>4319</v>
      </c>
      <c r="W1456" s="9">
        <v>20000014</v>
      </c>
      <c r="X1456" t="s">
        <v>4448</v>
      </c>
      <c r="Y1456" s="1">
        <v>45677</v>
      </c>
      <c r="Z1456" s="1">
        <v>45737</v>
      </c>
      <c r="AA1456" s="2">
        <v>8398127.2699999996</v>
      </c>
      <c r="AB1456" s="2">
        <v>7117057.0099999998</v>
      </c>
      <c r="AC1456" s="2">
        <v>1281070.26</v>
      </c>
      <c r="AD1456" s="2">
        <v>209953.41</v>
      </c>
      <c r="AE1456" t="s">
        <v>4449</v>
      </c>
      <c r="AF1456" t="s">
        <v>72</v>
      </c>
      <c r="AG1456">
        <v>341</v>
      </c>
      <c r="AH1456" t="s">
        <v>101</v>
      </c>
      <c r="AI1456" t="s">
        <v>74</v>
      </c>
      <c r="AJ1456" t="s">
        <v>127</v>
      </c>
      <c r="AK1456" t="s">
        <v>128</v>
      </c>
      <c r="AL1456" t="s">
        <v>77</v>
      </c>
      <c r="AM1456" t="s">
        <v>103</v>
      </c>
      <c r="AN1456" t="s">
        <v>2346</v>
      </c>
      <c r="AO1456" t="s">
        <v>80</v>
      </c>
      <c r="AP1456" t="e">
        <v>#N/A</v>
      </c>
      <c r="AQ1456" t="s">
        <v>129</v>
      </c>
      <c r="AR1456" t="str">
        <f t="shared" si="44"/>
        <v>20000014.SPMINEQ</v>
      </c>
      <c r="AS1456">
        <f t="shared" si="45"/>
        <v>11561263.479999999</v>
      </c>
      <c r="AT1456" t="s">
        <v>82</v>
      </c>
    </row>
    <row r="1457" spans="1:46" x14ac:dyDescent="0.35">
      <c r="A1457" t="s">
        <v>52</v>
      </c>
      <c r="B1457" t="s">
        <v>53</v>
      </c>
      <c r="C1457" t="s">
        <v>54</v>
      </c>
      <c r="D1457" t="s">
        <v>55</v>
      </c>
      <c r="E1457" t="s">
        <v>56</v>
      </c>
      <c r="F1457" t="s">
        <v>4316</v>
      </c>
      <c r="G1457" t="s">
        <v>4443</v>
      </c>
      <c r="H1457" t="s">
        <v>111</v>
      </c>
      <c r="I1457" t="s">
        <v>4450</v>
      </c>
      <c r="J1457" t="s">
        <v>56</v>
      </c>
      <c r="K1457" t="s">
        <v>62</v>
      </c>
      <c r="L1457" t="s">
        <v>56</v>
      </c>
      <c r="M1457" t="s">
        <v>56</v>
      </c>
      <c r="N1457" t="s">
        <v>147</v>
      </c>
      <c r="O1457" t="s">
        <v>2476</v>
      </c>
      <c r="P1457" t="s">
        <v>2477</v>
      </c>
      <c r="Q1457" t="s">
        <v>515</v>
      </c>
      <c r="R1457" t="s">
        <v>248</v>
      </c>
      <c r="S1457">
        <v>116077996</v>
      </c>
      <c r="T1457">
        <v>104117609.53</v>
      </c>
      <c r="U1457" t="s">
        <v>68</v>
      </c>
      <c r="V1457" t="s">
        <v>4319</v>
      </c>
      <c r="W1457" s="9">
        <v>20000014</v>
      </c>
      <c r="X1457" t="s">
        <v>4451</v>
      </c>
      <c r="Y1457" s="1">
        <v>45691</v>
      </c>
      <c r="Z1457" s="1">
        <v>45751</v>
      </c>
      <c r="AA1457" s="2">
        <v>8409910.7400000002</v>
      </c>
      <c r="AB1457" s="2">
        <v>7127043</v>
      </c>
      <c r="AC1457" s="2">
        <v>1282867.74</v>
      </c>
      <c r="AD1457" s="2">
        <v>210248</v>
      </c>
      <c r="AE1457" t="s">
        <v>4452</v>
      </c>
      <c r="AF1457" t="s">
        <v>72</v>
      </c>
      <c r="AG1457">
        <v>327</v>
      </c>
      <c r="AH1457" t="s">
        <v>101</v>
      </c>
      <c r="AI1457" t="s">
        <v>74</v>
      </c>
      <c r="AJ1457" t="s">
        <v>127</v>
      </c>
      <c r="AK1457" t="s">
        <v>128</v>
      </c>
      <c r="AL1457" t="s">
        <v>77</v>
      </c>
      <c r="AM1457" t="s">
        <v>103</v>
      </c>
      <c r="AN1457" t="s">
        <v>2346</v>
      </c>
      <c r="AO1457" t="s">
        <v>80</v>
      </c>
      <c r="AP1457" t="e">
        <v>#N/A</v>
      </c>
      <c r="AQ1457" t="s">
        <v>129</v>
      </c>
      <c r="AR1457" t="str">
        <f t="shared" si="44"/>
        <v>20000014.SPMINEQ</v>
      </c>
      <c r="AS1457">
        <f t="shared" si="45"/>
        <v>11561263.479999999</v>
      </c>
      <c r="AT1457" t="s">
        <v>82</v>
      </c>
    </row>
    <row r="1458" spans="1:46" x14ac:dyDescent="0.35">
      <c r="A1458" t="s">
        <v>52</v>
      </c>
      <c r="B1458" t="s">
        <v>53</v>
      </c>
      <c r="C1458" t="s">
        <v>54</v>
      </c>
      <c r="D1458" t="s">
        <v>55</v>
      </c>
      <c r="E1458" t="s">
        <v>56</v>
      </c>
      <c r="F1458" t="s">
        <v>4316</v>
      </c>
      <c r="G1458" t="s">
        <v>4443</v>
      </c>
      <c r="H1458" t="s">
        <v>111</v>
      </c>
      <c r="I1458" t="s">
        <v>4453</v>
      </c>
      <c r="J1458" t="s">
        <v>56</v>
      </c>
      <c r="K1458" t="s">
        <v>62</v>
      </c>
      <c r="L1458" t="s">
        <v>56</v>
      </c>
      <c r="M1458" t="s">
        <v>56</v>
      </c>
      <c r="N1458" t="s">
        <v>147</v>
      </c>
      <c r="O1458" t="s">
        <v>2476</v>
      </c>
      <c r="P1458" t="s">
        <v>2477</v>
      </c>
      <c r="Q1458" t="s">
        <v>515</v>
      </c>
      <c r="R1458" t="s">
        <v>248</v>
      </c>
      <c r="S1458">
        <v>116077996</v>
      </c>
      <c r="T1458">
        <v>104117609.53</v>
      </c>
      <c r="U1458" t="s">
        <v>68</v>
      </c>
      <c r="V1458" t="s">
        <v>4319</v>
      </c>
      <c r="W1458" s="9">
        <v>20000014</v>
      </c>
      <c r="X1458" t="s">
        <v>4454</v>
      </c>
      <c r="Y1458" s="1">
        <v>45691</v>
      </c>
      <c r="Z1458" s="1">
        <v>45751</v>
      </c>
      <c r="AA1458" s="2">
        <v>11596168.16</v>
      </c>
      <c r="AB1458" s="2">
        <v>9827261.1600000001</v>
      </c>
      <c r="AC1458" s="2">
        <v>1768907.01</v>
      </c>
      <c r="AD1458" s="2">
        <v>278381.01</v>
      </c>
      <c r="AE1458" t="s">
        <v>4455</v>
      </c>
      <c r="AF1458" t="s">
        <v>72</v>
      </c>
      <c r="AG1458">
        <v>327</v>
      </c>
      <c r="AH1458" t="s">
        <v>101</v>
      </c>
      <c r="AI1458" t="s">
        <v>74</v>
      </c>
      <c r="AJ1458" t="s">
        <v>127</v>
      </c>
      <c r="AK1458" t="s">
        <v>128</v>
      </c>
      <c r="AL1458" t="s">
        <v>77</v>
      </c>
      <c r="AM1458" t="s">
        <v>103</v>
      </c>
      <c r="AN1458" t="s">
        <v>2346</v>
      </c>
      <c r="AO1458" t="s">
        <v>80</v>
      </c>
      <c r="AP1458" t="e">
        <v>#N/A</v>
      </c>
      <c r="AQ1458" t="s">
        <v>129</v>
      </c>
      <c r="AR1458" t="str">
        <f t="shared" si="44"/>
        <v>20000014.SPMINEQ</v>
      </c>
      <c r="AS1458">
        <f t="shared" si="45"/>
        <v>11561263.479999999</v>
      </c>
      <c r="AT1458" t="s">
        <v>82</v>
      </c>
    </row>
    <row r="1459" spans="1:46" x14ac:dyDescent="0.35">
      <c r="A1459" t="s">
        <v>52</v>
      </c>
      <c r="B1459" t="s">
        <v>53</v>
      </c>
      <c r="C1459" t="s">
        <v>54</v>
      </c>
      <c r="D1459" t="s">
        <v>55</v>
      </c>
      <c r="E1459" t="s">
        <v>56</v>
      </c>
      <c r="F1459" t="s">
        <v>4316</v>
      </c>
      <c r="G1459" t="s">
        <v>4443</v>
      </c>
      <c r="H1459" t="s">
        <v>111</v>
      </c>
      <c r="I1459" t="s">
        <v>4453</v>
      </c>
      <c r="J1459" t="s">
        <v>56</v>
      </c>
      <c r="K1459" t="s">
        <v>62</v>
      </c>
      <c r="L1459" t="s">
        <v>56</v>
      </c>
      <c r="M1459" t="s">
        <v>56</v>
      </c>
      <c r="N1459" t="s">
        <v>56</v>
      </c>
      <c r="O1459" t="s">
        <v>2476</v>
      </c>
      <c r="P1459" t="s">
        <v>2477</v>
      </c>
      <c r="Q1459" t="s">
        <v>515</v>
      </c>
      <c r="R1459" t="s">
        <v>248</v>
      </c>
      <c r="S1459">
        <v>116077996</v>
      </c>
      <c r="T1459">
        <v>104117609.53</v>
      </c>
      <c r="U1459" t="s">
        <v>68</v>
      </c>
      <c r="V1459" t="s">
        <v>4319</v>
      </c>
      <c r="W1459" s="9">
        <v>20000014</v>
      </c>
      <c r="X1459" t="s">
        <v>4454</v>
      </c>
      <c r="Y1459" s="1">
        <v>45691</v>
      </c>
      <c r="Z1459" s="1">
        <v>45751</v>
      </c>
      <c r="AA1459" s="2">
        <v>11788.02</v>
      </c>
      <c r="AB1459" s="2">
        <v>9989.84</v>
      </c>
      <c r="AC1459" s="2">
        <v>1798.17</v>
      </c>
      <c r="AD1459" s="2">
        <v>282.99</v>
      </c>
      <c r="AE1459" t="s">
        <v>4454</v>
      </c>
      <c r="AF1459" t="s">
        <v>72</v>
      </c>
      <c r="AG1459">
        <v>327</v>
      </c>
      <c r="AH1459" t="s">
        <v>101</v>
      </c>
      <c r="AI1459" t="s">
        <v>74</v>
      </c>
      <c r="AJ1459" t="s">
        <v>75</v>
      </c>
      <c r="AK1459" t="s">
        <v>102</v>
      </c>
      <c r="AL1459" t="s">
        <v>77</v>
      </c>
      <c r="AM1459" t="s">
        <v>103</v>
      </c>
      <c r="AN1459" t="s">
        <v>2346</v>
      </c>
      <c r="AO1459" t="s">
        <v>80</v>
      </c>
      <c r="AP1459" t="e">
        <v>#N/A</v>
      </c>
      <c r="AQ1459" t="s">
        <v>105</v>
      </c>
      <c r="AR1459" t="str">
        <f t="shared" si="44"/>
        <v>20000014.STATEQ</v>
      </c>
      <c r="AS1459">
        <f t="shared" si="45"/>
        <v>282.99</v>
      </c>
      <c r="AT1459" t="s">
        <v>82</v>
      </c>
    </row>
    <row r="1460" spans="1:46" x14ac:dyDescent="0.35">
      <c r="A1460" t="s">
        <v>52</v>
      </c>
      <c r="B1460" t="s">
        <v>53</v>
      </c>
      <c r="C1460" t="s">
        <v>54</v>
      </c>
      <c r="D1460" t="s">
        <v>55</v>
      </c>
      <c r="E1460" t="s">
        <v>56</v>
      </c>
      <c r="F1460" t="s">
        <v>4316</v>
      </c>
      <c r="G1460" t="s">
        <v>4443</v>
      </c>
      <c r="H1460" t="s">
        <v>111</v>
      </c>
      <c r="I1460" t="s">
        <v>4456</v>
      </c>
      <c r="J1460" t="s">
        <v>56</v>
      </c>
      <c r="K1460" t="s">
        <v>62</v>
      </c>
      <c r="L1460" t="s">
        <v>56</v>
      </c>
      <c r="M1460" t="s">
        <v>56</v>
      </c>
      <c r="N1460" t="s">
        <v>147</v>
      </c>
      <c r="O1460" t="s">
        <v>2476</v>
      </c>
      <c r="P1460" t="s">
        <v>2477</v>
      </c>
      <c r="Q1460" t="s">
        <v>515</v>
      </c>
      <c r="R1460" t="s">
        <v>248</v>
      </c>
      <c r="S1460">
        <v>116077996</v>
      </c>
      <c r="T1460">
        <v>104117609.53</v>
      </c>
      <c r="U1460" t="s">
        <v>68</v>
      </c>
      <c r="V1460" t="s">
        <v>4319</v>
      </c>
      <c r="W1460" s="9">
        <v>20000014</v>
      </c>
      <c r="X1460" t="s">
        <v>4457</v>
      </c>
      <c r="Y1460" s="1">
        <v>45698</v>
      </c>
      <c r="Z1460" s="1">
        <v>45758</v>
      </c>
      <c r="AA1460" s="2">
        <v>11607956.18</v>
      </c>
      <c r="AB1460" s="2">
        <v>9837251</v>
      </c>
      <c r="AC1460" s="2">
        <v>1770705.18</v>
      </c>
      <c r="AD1460" s="2">
        <v>290199</v>
      </c>
      <c r="AE1460" t="s">
        <v>4458</v>
      </c>
      <c r="AF1460" t="s">
        <v>72</v>
      </c>
      <c r="AG1460">
        <v>320</v>
      </c>
      <c r="AH1460" t="s">
        <v>101</v>
      </c>
      <c r="AI1460" t="s">
        <v>74</v>
      </c>
      <c r="AJ1460" t="s">
        <v>127</v>
      </c>
      <c r="AK1460" t="s">
        <v>128</v>
      </c>
      <c r="AL1460" t="s">
        <v>77</v>
      </c>
      <c r="AM1460" t="s">
        <v>103</v>
      </c>
      <c r="AN1460" t="s">
        <v>2346</v>
      </c>
      <c r="AO1460" t="s">
        <v>80</v>
      </c>
      <c r="AP1460" t="e">
        <v>#N/A</v>
      </c>
      <c r="AQ1460" t="s">
        <v>129</v>
      </c>
      <c r="AR1460" t="str">
        <f t="shared" si="44"/>
        <v>20000014.SPMINEQ</v>
      </c>
      <c r="AS1460">
        <f t="shared" si="45"/>
        <v>11561263.479999999</v>
      </c>
      <c r="AT1460" t="s">
        <v>82</v>
      </c>
    </row>
    <row r="1461" spans="1:46" x14ac:dyDescent="0.35">
      <c r="A1461" t="s">
        <v>52</v>
      </c>
      <c r="B1461" t="s">
        <v>53</v>
      </c>
      <c r="C1461" t="s">
        <v>54</v>
      </c>
      <c r="D1461" t="s">
        <v>55</v>
      </c>
      <c r="E1461" t="s">
        <v>56</v>
      </c>
      <c r="F1461" t="s">
        <v>4316</v>
      </c>
      <c r="G1461" t="s">
        <v>4443</v>
      </c>
      <c r="H1461" t="s">
        <v>111</v>
      </c>
      <c r="I1461" t="s">
        <v>4459</v>
      </c>
      <c r="J1461" t="s">
        <v>56</v>
      </c>
      <c r="K1461" t="s">
        <v>62</v>
      </c>
      <c r="L1461" t="s">
        <v>56</v>
      </c>
      <c r="M1461" t="s">
        <v>56</v>
      </c>
      <c r="N1461" t="s">
        <v>147</v>
      </c>
      <c r="O1461" t="s">
        <v>2476</v>
      </c>
      <c r="P1461" t="s">
        <v>2477</v>
      </c>
      <c r="Q1461" t="s">
        <v>515</v>
      </c>
      <c r="R1461" t="s">
        <v>248</v>
      </c>
      <c r="S1461">
        <v>116077996</v>
      </c>
      <c r="T1461">
        <v>104117609.53</v>
      </c>
      <c r="U1461" t="s">
        <v>68</v>
      </c>
      <c r="V1461" t="s">
        <v>4319</v>
      </c>
      <c r="W1461" s="9">
        <v>20000014</v>
      </c>
      <c r="X1461" t="s">
        <v>4460</v>
      </c>
      <c r="Y1461" s="1">
        <v>45698</v>
      </c>
      <c r="Z1461" s="1">
        <v>45758</v>
      </c>
      <c r="AA1461" s="2">
        <v>8409910.7400000002</v>
      </c>
      <c r="AB1461" s="2">
        <v>7127043</v>
      </c>
      <c r="AC1461" s="2">
        <v>1282867.74</v>
      </c>
      <c r="AD1461" s="2">
        <v>11692.85</v>
      </c>
      <c r="AE1461" t="s">
        <v>4461</v>
      </c>
      <c r="AF1461" t="s">
        <v>72</v>
      </c>
      <c r="AG1461">
        <v>320</v>
      </c>
      <c r="AH1461" t="s">
        <v>101</v>
      </c>
      <c r="AI1461" t="s">
        <v>74</v>
      </c>
      <c r="AJ1461" t="s">
        <v>127</v>
      </c>
      <c r="AK1461" t="s">
        <v>128</v>
      </c>
      <c r="AL1461" t="s">
        <v>77</v>
      </c>
      <c r="AM1461" t="s">
        <v>103</v>
      </c>
      <c r="AN1461" t="s">
        <v>2346</v>
      </c>
      <c r="AO1461" t="s">
        <v>80</v>
      </c>
      <c r="AP1461" t="e">
        <v>#N/A</v>
      </c>
      <c r="AQ1461" t="s">
        <v>129</v>
      </c>
      <c r="AR1461" t="str">
        <f t="shared" si="44"/>
        <v>20000014.SPMINEQ</v>
      </c>
      <c r="AS1461">
        <f t="shared" si="45"/>
        <v>11561263.479999999</v>
      </c>
      <c r="AT1461" t="s">
        <v>82</v>
      </c>
    </row>
    <row r="1462" spans="1:46" x14ac:dyDescent="0.35">
      <c r="A1462" t="s">
        <v>52</v>
      </c>
      <c r="B1462" t="s">
        <v>53</v>
      </c>
      <c r="C1462" t="s">
        <v>54</v>
      </c>
      <c r="D1462" t="s">
        <v>55</v>
      </c>
      <c r="E1462" t="s">
        <v>56</v>
      </c>
      <c r="F1462" t="s">
        <v>4462</v>
      </c>
      <c r="G1462" t="s">
        <v>56</v>
      </c>
      <c r="H1462" t="s">
        <v>56</v>
      </c>
      <c r="I1462" t="s">
        <v>4463</v>
      </c>
      <c r="J1462" t="s">
        <v>61</v>
      </c>
      <c r="K1462" t="s">
        <v>62</v>
      </c>
      <c r="L1462" t="s">
        <v>56</v>
      </c>
      <c r="M1462" t="s">
        <v>56</v>
      </c>
      <c r="N1462" t="s">
        <v>56</v>
      </c>
      <c r="O1462" t="s">
        <v>64</v>
      </c>
      <c r="P1462" t="s">
        <v>65</v>
      </c>
      <c r="Q1462" t="s">
        <v>87</v>
      </c>
      <c r="R1462" t="s">
        <v>88</v>
      </c>
      <c r="T1462">
        <v>-316900.05</v>
      </c>
      <c r="U1462" t="s">
        <v>68</v>
      </c>
      <c r="V1462" t="s">
        <v>4464</v>
      </c>
      <c r="W1462" s="9">
        <v>60604380</v>
      </c>
      <c r="X1462" t="s">
        <v>4465</v>
      </c>
      <c r="Y1462" s="1">
        <v>45967</v>
      </c>
      <c r="Z1462" s="1">
        <v>45967</v>
      </c>
      <c r="AA1462" s="2">
        <v>-300000</v>
      </c>
      <c r="AB1462" s="2">
        <v>-300000</v>
      </c>
      <c r="AC1462" s="2">
        <v>0</v>
      </c>
      <c r="AD1462" s="2">
        <v>-3666.6</v>
      </c>
      <c r="AE1462" t="s">
        <v>4465</v>
      </c>
      <c r="AF1462" t="s">
        <v>72</v>
      </c>
      <c r="AG1462">
        <v>111</v>
      </c>
      <c r="AH1462" t="s">
        <v>91</v>
      </c>
      <c r="AI1462" t="s">
        <v>74</v>
      </c>
      <c r="AJ1462" t="s">
        <v>75</v>
      </c>
      <c r="AK1462" t="s">
        <v>76</v>
      </c>
      <c r="AL1462" t="s">
        <v>77</v>
      </c>
      <c r="AM1462" t="s">
        <v>78</v>
      </c>
      <c r="AN1462" t="s">
        <v>79</v>
      </c>
      <c r="AO1462" t="s">
        <v>80</v>
      </c>
      <c r="AP1462" t="e">
        <v>#N/A</v>
      </c>
      <c r="AQ1462" t="s">
        <v>81</v>
      </c>
      <c r="AR1462" t="str">
        <f t="shared" si="44"/>
        <v>60604380.STATAM</v>
      </c>
      <c r="AS1462">
        <f t="shared" si="45"/>
        <v>316900.05000000005</v>
      </c>
      <c r="AT1462" t="s">
        <v>82</v>
      </c>
    </row>
    <row r="1463" spans="1:46" x14ac:dyDescent="0.35">
      <c r="A1463" t="s">
        <v>52</v>
      </c>
      <c r="B1463" t="s">
        <v>53</v>
      </c>
      <c r="C1463" t="s">
        <v>54</v>
      </c>
      <c r="D1463" t="s">
        <v>55</v>
      </c>
      <c r="E1463" t="s">
        <v>56</v>
      </c>
      <c r="F1463" t="s">
        <v>4462</v>
      </c>
      <c r="G1463" t="s">
        <v>4466</v>
      </c>
      <c r="H1463" t="s">
        <v>59</v>
      </c>
      <c r="I1463" t="s">
        <v>4467</v>
      </c>
      <c r="J1463" t="s">
        <v>61</v>
      </c>
      <c r="K1463" t="s">
        <v>62</v>
      </c>
      <c r="L1463" t="s">
        <v>56</v>
      </c>
      <c r="M1463" t="s">
        <v>56</v>
      </c>
      <c r="N1463" t="s">
        <v>63</v>
      </c>
      <c r="O1463" t="s">
        <v>64</v>
      </c>
      <c r="P1463" t="s">
        <v>65</v>
      </c>
      <c r="Q1463" t="s">
        <v>4468</v>
      </c>
      <c r="R1463" t="s">
        <v>88</v>
      </c>
      <c r="T1463">
        <v>-316900.05</v>
      </c>
      <c r="U1463" t="s">
        <v>68</v>
      </c>
      <c r="V1463" t="s">
        <v>4464</v>
      </c>
      <c r="W1463" s="9">
        <v>60604380</v>
      </c>
      <c r="X1463" t="s">
        <v>4469</v>
      </c>
      <c r="Y1463" s="1">
        <v>46070</v>
      </c>
      <c r="Z1463" s="1">
        <v>46070</v>
      </c>
      <c r="AA1463" s="2">
        <v>320566.65000000002</v>
      </c>
      <c r="AB1463" s="2">
        <v>271666.65000000002</v>
      </c>
      <c r="AC1463" s="2">
        <v>48900</v>
      </c>
      <c r="AD1463" s="2">
        <v>320566.65000000002</v>
      </c>
      <c r="AE1463" t="s">
        <v>4470</v>
      </c>
      <c r="AF1463" t="s">
        <v>72</v>
      </c>
      <c r="AG1463">
        <v>8</v>
      </c>
      <c r="AH1463" t="s">
        <v>73</v>
      </c>
      <c r="AI1463" t="s">
        <v>74</v>
      </c>
      <c r="AJ1463" t="s">
        <v>75</v>
      </c>
      <c r="AK1463" t="s">
        <v>76</v>
      </c>
      <c r="AL1463" t="s">
        <v>77</v>
      </c>
      <c r="AM1463" t="s">
        <v>78</v>
      </c>
      <c r="AN1463" t="s">
        <v>79</v>
      </c>
      <c r="AO1463" t="s">
        <v>80</v>
      </c>
      <c r="AP1463" t="e">
        <v>#N/A</v>
      </c>
      <c r="AQ1463" t="s">
        <v>81</v>
      </c>
      <c r="AR1463" t="str">
        <f t="shared" si="44"/>
        <v>60604380.STATAM</v>
      </c>
      <c r="AS1463">
        <f t="shared" si="45"/>
        <v>316900.05000000005</v>
      </c>
      <c r="AT1463" t="s">
        <v>82</v>
      </c>
    </row>
    <row r="1464" spans="1:46" x14ac:dyDescent="0.35">
      <c r="A1464" t="s">
        <v>52</v>
      </c>
      <c r="B1464" t="s">
        <v>53</v>
      </c>
      <c r="C1464" t="s">
        <v>54</v>
      </c>
      <c r="D1464" t="s">
        <v>55</v>
      </c>
      <c r="E1464" t="s">
        <v>56</v>
      </c>
      <c r="F1464" t="s">
        <v>4471</v>
      </c>
      <c r="G1464" t="s">
        <v>4472</v>
      </c>
      <c r="H1464" t="s">
        <v>56</v>
      </c>
      <c r="I1464" t="s">
        <v>4473</v>
      </c>
      <c r="J1464" t="s">
        <v>61</v>
      </c>
      <c r="K1464" t="s">
        <v>62</v>
      </c>
      <c r="L1464" t="s">
        <v>56</v>
      </c>
      <c r="M1464" t="s">
        <v>56</v>
      </c>
      <c r="N1464" t="s">
        <v>252</v>
      </c>
      <c r="O1464" t="s">
        <v>391</v>
      </c>
      <c r="P1464" t="s">
        <v>392</v>
      </c>
      <c r="Q1464" t="s">
        <v>87</v>
      </c>
      <c r="R1464" t="s">
        <v>88</v>
      </c>
      <c r="T1464">
        <v>-42562.17</v>
      </c>
      <c r="U1464" t="s">
        <v>68</v>
      </c>
      <c r="V1464" t="s">
        <v>4474</v>
      </c>
      <c r="W1464" s="9">
        <v>60600636</v>
      </c>
      <c r="X1464" t="s">
        <v>4475</v>
      </c>
      <c r="Y1464" s="1">
        <v>46053</v>
      </c>
      <c r="Z1464" s="1">
        <v>46053</v>
      </c>
      <c r="AA1464" s="2">
        <v>42562.17</v>
      </c>
      <c r="AB1464" s="2">
        <v>36069.629999999997</v>
      </c>
      <c r="AC1464" s="2">
        <v>6492.54</v>
      </c>
      <c r="AD1464" s="2">
        <v>42562.17</v>
      </c>
      <c r="AE1464" t="s">
        <v>4476</v>
      </c>
      <c r="AF1464" t="s">
        <v>72</v>
      </c>
      <c r="AG1464">
        <v>25</v>
      </c>
      <c r="AH1464" t="s">
        <v>73</v>
      </c>
      <c r="AI1464" t="s">
        <v>74</v>
      </c>
      <c r="AJ1464" t="s">
        <v>75</v>
      </c>
      <c r="AK1464" t="s">
        <v>76</v>
      </c>
      <c r="AL1464" t="s">
        <v>77</v>
      </c>
      <c r="AM1464" t="s">
        <v>78</v>
      </c>
      <c r="AN1464" t="s">
        <v>104</v>
      </c>
      <c r="AO1464" t="s">
        <v>80</v>
      </c>
      <c r="AP1464" t="e">
        <v>#N/A</v>
      </c>
      <c r="AQ1464" t="s">
        <v>81</v>
      </c>
      <c r="AR1464" t="str">
        <f t="shared" si="44"/>
        <v>60600636.STATAM</v>
      </c>
      <c r="AS1464">
        <f t="shared" si="45"/>
        <v>42562.17</v>
      </c>
      <c r="AT1464" t="s">
        <v>82</v>
      </c>
    </row>
    <row r="1465" spans="1:46" x14ac:dyDescent="0.35">
      <c r="A1465" t="s">
        <v>52</v>
      </c>
      <c r="B1465" t="s">
        <v>53</v>
      </c>
      <c r="C1465" t="s">
        <v>54</v>
      </c>
      <c r="D1465" t="s">
        <v>55</v>
      </c>
      <c r="E1465" t="s">
        <v>56</v>
      </c>
      <c r="F1465" t="s">
        <v>4477</v>
      </c>
      <c r="G1465" t="s">
        <v>56</v>
      </c>
      <c r="H1465" t="s">
        <v>56</v>
      </c>
      <c r="I1465" t="s">
        <v>4478</v>
      </c>
      <c r="J1465" t="s">
        <v>61</v>
      </c>
      <c r="K1465" t="s">
        <v>2841</v>
      </c>
      <c r="L1465" t="s">
        <v>56</v>
      </c>
      <c r="M1465" t="s">
        <v>56</v>
      </c>
      <c r="N1465" t="s">
        <v>56</v>
      </c>
      <c r="O1465" t="s">
        <v>2476</v>
      </c>
      <c r="P1465" t="s">
        <v>2477</v>
      </c>
      <c r="Q1465" t="s">
        <v>87</v>
      </c>
      <c r="R1465" t="s">
        <v>67</v>
      </c>
      <c r="T1465">
        <v>-4324720</v>
      </c>
      <c r="U1465" t="s">
        <v>68</v>
      </c>
      <c r="V1465" t="s">
        <v>4479</v>
      </c>
      <c r="W1465" s="9">
        <v>20000033</v>
      </c>
      <c r="X1465" t="s">
        <v>4480</v>
      </c>
      <c r="Y1465" s="1">
        <v>45594</v>
      </c>
      <c r="Z1465" s="1">
        <v>45594</v>
      </c>
      <c r="AA1465" s="2">
        <v>-400000</v>
      </c>
      <c r="AB1465" s="2">
        <v>-400000</v>
      </c>
      <c r="AC1465" s="2">
        <v>0</v>
      </c>
      <c r="AD1465" s="2">
        <v>-400000</v>
      </c>
      <c r="AE1465" t="s">
        <v>4480</v>
      </c>
      <c r="AF1465" t="s">
        <v>72</v>
      </c>
      <c r="AG1465">
        <v>484</v>
      </c>
      <c r="AH1465" t="s">
        <v>473</v>
      </c>
      <c r="AI1465" t="s">
        <v>74</v>
      </c>
      <c r="AJ1465" t="s">
        <v>127</v>
      </c>
      <c r="AK1465" t="s">
        <v>128</v>
      </c>
      <c r="AL1465" t="s">
        <v>77</v>
      </c>
      <c r="AM1465" t="s">
        <v>103</v>
      </c>
      <c r="AN1465" t="s">
        <v>239</v>
      </c>
      <c r="AO1465" t="s">
        <v>80</v>
      </c>
      <c r="AP1465" t="e">
        <v>#N/A</v>
      </c>
      <c r="AQ1465" t="s">
        <v>129</v>
      </c>
      <c r="AR1465" t="str">
        <f t="shared" si="44"/>
        <v>20000033.SPMINEQ</v>
      </c>
      <c r="AS1465">
        <f t="shared" si="45"/>
        <v>-400000</v>
      </c>
      <c r="AT1465" t="s">
        <v>93</v>
      </c>
    </row>
    <row r="1466" spans="1:46" x14ac:dyDescent="0.35">
      <c r="A1466" t="s">
        <v>52</v>
      </c>
      <c r="B1466" t="s">
        <v>53</v>
      </c>
      <c r="C1466" t="s">
        <v>54</v>
      </c>
      <c r="D1466" t="s">
        <v>55</v>
      </c>
      <c r="E1466" t="s">
        <v>56</v>
      </c>
      <c r="F1466" t="s">
        <v>4481</v>
      </c>
      <c r="G1466" t="s">
        <v>4482</v>
      </c>
      <c r="H1466" t="s">
        <v>59</v>
      </c>
      <c r="I1466" t="s">
        <v>4483</v>
      </c>
      <c r="J1466" t="s">
        <v>61</v>
      </c>
      <c r="K1466" t="s">
        <v>62</v>
      </c>
      <c r="L1466" t="s">
        <v>56</v>
      </c>
      <c r="M1466" t="s">
        <v>56</v>
      </c>
      <c r="N1466" t="s">
        <v>63</v>
      </c>
      <c r="O1466" t="s">
        <v>974</v>
      </c>
      <c r="P1466" t="s">
        <v>975</v>
      </c>
      <c r="Q1466" t="s">
        <v>4484</v>
      </c>
      <c r="R1466" t="s">
        <v>67</v>
      </c>
      <c r="S1466">
        <v>6000000</v>
      </c>
      <c r="T1466">
        <v>-152364.75</v>
      </c>
      <c r="U1466" t="s">
        <v>68</v>
      </c>
      <c r="V1466" t="s">
        <v>4485</v>
      </c>
      <c r="W1466" s="9">
        <v>60604293</v>
      </c>
      <c r="X1466" t="s">
        <v>4486</v>
      </c>
      <c r="Y1466" s="1">
        <v>45965</v>
      </c>
      <c r="Z1466" s="1">
        <v>45995</v>
      </c>
      <c r="AA1466" s="2">
        <v>2307445.0299999998</v>
      </c>
      <c r="AB1466" s="2">
        <v>1955461.89</v>
      </c>
      <c r="AC1466" s="2">
        <v>351983.14</v>
      </c>
      <c r="AD1466" s="2">
        <v>39109.24</v>
      </c>
      <c r="AE1466" t="s">
        <v>4487</v>
      </c>
      <c r="AF1466" t="s">
        <v>72</v>
      </c>
      <c r="AG1466">
        <v>83</v>
      </c>
      <c r="AH1466" t="s">
        <v>260</v>
      </c>
      <c r="AI1466" t="s">
        <v>74</v>
      </c>
      <c r="AJ1466" t="s">
        <v>75</v>
      </c>
      <c r="AK1466" t="s">
        <v>76</v>
      </c>
      <c r="AL1466" t="s">
        <v>77</v>
      </c>
      <c r="AM1466" t="s">
        <v>78</v>
      </c>
      <c r="AN1466" t="s">
        <v>979</v>
      </c>
      <c r="AO1466" t="s">
        <v>80</v>
      </c>
      <c r="AP1466" t="e">
        <v>#N/A</v>
      </c>
      <c r="AQ1466" t="s">
        <v>81</v>
      </c>
      <c r="AR1466" t="str">
        <f t="shared" si="44"/>
        <v>60604293.STATAM</v>
      </c>
      <c r="AS1466">
        <f t="shared" si="45"/>
        <v>6152364.75</v>
      </c>
      <c r="AT1466" t="s">
        <v>82</v>
      </c>
    </row>
    <row r="1467" spans="1:46" x14ac:dyDescent="0.35">
      <c r="A1467" t="s">
        <v>52</v>
      </c>
      <c r="B1467" t="s">
        <v>53</v>
      </c>
      <c r="C1467" t="s">
        <v>54</v>
      </c>
      <c r="D1467" t="s">
        <v>55</v>
      </c>
      <c r="E1467" t="s">
        <v>56</v>
      </c>
      <c r="F1467" t="s">
        <v>4481</v>
      </c>
      <c r="G1467" t="s">
        <v>4488</v>
      </c>
      <c r="H1467" t="s">
        <v>59</v>
      </c>
      <c r="I1467" t="s">
        <v>4489</v>
      </c>
      <c r="J1467" t="s">
        <v>61</v>
      </c>
      <c r="K1467" t="s">
        <v>62</v>
      </c>
      <c r="L1467" t="s">
        <v>56</v>
      </c>
      <c r="M1467" t="s">
        <v>56</v>
      </c>
      <c r="N1467" t="s">
        <v>63</v>
      </c>
      <c r="O1467" t="s">
        <v>974</v>
      </c>
      <c r="P1467" t="s">
        <v>975</v>
      </c>
      <c r="Q1467" t="s">
        <v>4490</v>
      </c>
      <c r="R1467" t="s">
        <v>67</v>
      </c>
      <c r="S1467">
        <v>6000000</v>
      </c>
      <c r="T1467">
        <v>-152364.75</v>
      </c>
      <c r="U1467" t="s">
        <v>68</v>
      </c>
      <c r="V1467" t="s">
        <v>4485</v>
      </c>
      <c r="W1467" s="9">
        <v>60604293</v>
      </c>
      <c r="X1467" t="s">
        <v>4491</v>
      </c>
      <c r="Y1467" s="1">
        <v>45965</v>
      </c>
      <c r="Z1467" s="1">
        <v>45995</v>
      </c>
      <c r="AA1467" s="2">
        <v>1606684.84</v>
      </c>
      <c r="AB1467" s="2">
        <v>1361597.32</v>
      </c>
      <c r="AC1467" s="2">
        <v>245087.52</v>
      </c>
      <c r="AD1467" s="2">
        <v>27231.63</v>
      </c>
      <c r="AE1467" t="s">
        <v>4492</v>
      </c>
      <c r="AF1467" t="s">
        <v>72</v>
      </c>
      <c r="AG1467">
        <v>83</v>
      </c>
      <c r="AH1467" t="s">
        <v>260</v>
      </c>
      <c r="AI1467" t="s">
        <v>74</v>
      </c>
      <c r="AJ1467" t="s">
        <v>75</v>
      </c>
      <c r="AK1467" t="s">
        <v>76</v>
      </c>
      <c r="AL1467" t="s">
        <v>77</v>
      </c>
      <c r="AM1467" t="s">
        <v>78</v>
      </c>
      <c r="AN1467" t="s">
        <v>979</v>
      </c>
      <c r="AO1467" t="s">
        <v>80</v>
      </c>
      <c r="AP1467" t="e">
        <v>#N/A</v>
      </c>
      <c r="AQ1467" t="s">
        <v>81</v>
      </c>
      <c r="AR1467" t="str">
        <f t="shared" si="44"/>
        <v>60604293.STATAM</v>
      </c>
      <c r="AS1467">
        <f t="shared" si="45"/>
        <v>6152364.75</v>
      </c>
      <c r="AT1467" t="s">
        <v>82</v>
      </c>
    </row>
    <row r="1468" spans="1:46" x14ac:dyDescent="0.35">
      <c r="A1468" t="s">
        <v>52</v>
      </c>
      <c r="B1468" t="s">
        <v>53</v>
      </c>
      <c r="C1468" t="s">
        <v>54</v>
      </c>
      <c r="D1468" t="s">
        <v>55</v>
      </c>
      <c r="E1468" t="s">
        <v>56</v>
      </c>
      <c r="F1468" t="s">
        <v>4481</v>
      </c>
      <c r="G1468" t="s">
        <v>4482</v>
      </c>
      <c r="H1468" t="s">
        <v>59</v>
      </c>
      <c r="I1468" t="s">
        <v>4483</v>
      </c>
      <c r="J1468" t="s">
        <v>61</v>
      </c>
      <c r="K1468" t="s">
        <v>62</v>
      </c>
      <c r="L1468" t="s">
        <v>56</v>
      </c>
      <c r="M1468" t="s">
        <v>56</v>
      </c>
      <c r="N1468" t="s">
        <v>63</v>
      </c>
      <c r="O1468" t="s">
        <v>974</v>
      </c>
      <c r="P1468" t="s">
        <v>975</v>
      </c>
      <c r="Q1468" t="s">
        <v>4484</v>
      </c>
      <c r="R1468" t="s">
        <v>67</v>
      </c>
      <c r="S1468">
        <v>6000000</v>
      </c>
      <c r="T1468">
        <v>-152364.75</v>
      </c>
      <c r="U1468" t="s">
        <v>68</v>
      </c>
      <c r="V1468" t="s">
        <v>4485</v>
      </c>
      <c r="W1468" s="9">
        <v>60604293</v>
      </c>
      <c r="X1468" t="s">
        <v>4493</v>
      </c>
      <c r="Y1468" s="1">
        <v>45993</v>
      </c>
      <c r="Z1468" s="1">
        <v>46023</v>
      </c>
      <c r="AA1468" s="2">
        <v>3164112.15</v>
      </c>
      <c r="AB1468" s="2">
        <v>2681450.9700000002</v>
      </c>
      <c r="AC1468" s="2">
        <v>482661.18</v>
      </c>
      <c r="AD1468" s="2">
        <v>53629.02</v>
      </c>
      <c r="AE1468" t="s">
        <v>4494</v>
      </c>
      <c r="AF1468" t="s">
        <v>72</v>
      </c>
      <c r="AG1468">
        <v>55</v>
      </c>
      <c r="AH1468" t="s">
        <v>236</v>
      </c>
      <c r="AI1468" t="s">
        <v>74</v>
      </c>
      <c r="AJ1468" t="s">
        <v>75</v>
      </c>
      <c r="AK1468" t="s">
        <v>76</v>
      </c>
      <c r="AL1468" t="s">
        <v>77</v>
      </c>
      <c r="AM1468" t="s">
        <v>78</v>
      </c>
      <c r="AN1468" t="s">
        <v>979</v>
      </c>
      <c r="AO1468" t="s">
        <v>80</v>
      </c>
      <c r="AP1468" t="e">
        <v>#N/A</v>
      </c>
      <c r="AQ1468" t="s">
        <v>81</v>
      </c>
      <c r="AR1468" t="str">
        <f t="shared" si="44"/>
        <v>60604293.STATAM</v>
      </c>
      <c r="AS1468">
        <f t="shared" si="45"/>
        <v>6152364.75</v>
      </c>
      <c r="AT1468" t="s">
        <v>82</v>
      </c>
    </row>
    <row r="1469" spans="1:46" x14ac:dyDescent="0.35">
      <c r="A1469" t="s">
        <v>52</v>
      </c>
      <c r="B1469" t="s">
        <v>53</v>
      </c>
      <c r="C1469" t="s">
        <v>54</v>
      </c>
      <c r="D1469" t="s">
        <v>55</v>
      </c>
      <c r="E1469" t="s">
        <v>56</v>
      </c>
      <c r="F1469" t="s">
        <v>4481</v>
      </c>
      <c r="G1469" t="s">
        <v>4488</v>
      </c>
      <c r="H1469" t="s">
        <v>59</v>
      </c>
      <c r="I1469" t="s">
        <v>4489</v>
      </c>
      <c r="J1469" t="s">
        <v>61</v>
      </c>
      <c r="K1469" t="s">
        <v>62</v>
      </c>
      <c r="L1469" t="s">
        <v>56</v>
      </c>
      <c r="M1469" t="s">
        <v>56</v>
      </c>
      <c r="N1469" t="s">
        <v>63</v>
      </c>
      <c r="O1469" t="s">
        <v>974</v>
      </c>
      <c r="P1469" t="s">
        <v>975</v>
      </c>
      <c r="Q1469" t="s">
        <v>4490</v>
      </c>
      <c r="R1469" t="s">
        <v>67</v>
      </c>
      <c r="S1469">
        <v>6000000</v>
      </c>
      <c r="T1469">
        <v>-152364.75</v>
      </c>
      <c r="U1469" t="s">
        <v>68</v>
      </c>
      <c r="V1469" t="s">
        <v>4485</v>
      </c>
      <c r="W1469" s="9">
        <v>60604293</v>
      </c>
      <c r="X1469" t="s">
        <v>4495</v>
      </c>
      <c r="Y1469" s="1">
        <v>45993</v>
      </c>
      <c r="Z1469" s="1">
        <v>46023</v>
      </c>
      <c r="AA1469" s="2">
        <v>2176192.4500000002</v>
      </c>
      <c r="AB1469" s="2">
        <v>1844230.89</v>
      </c>
      <c r="AC1469" s="2">
        <v>331961.56</v>
      </c>
      <c r="AD1469" s="2">
        <v>36884.58</v>
      </c>
      <c r="AE1469" t="s">
        <v>4496</v>
      </c>
      <c r="AF1469" t="s">
        <v>72</v>
      </c>
      <c r="AG1469">
        <v>55</v>
      </c>
      <c r="AH1469" t="s">
        <v>236</v>
      </c>
      <c r="AI1469" t="s">
        <v>74</v>
      </c>
      <c r="AJ1469" t="s">
        <v>75</v>
      </c>
      <c r="AK1469" t="s">
        <v>76</v>
      </c>
      <c r="AL1469" t="s">
        <v>77</v>
      </c>
      <c r="AM1469" t="s">
        <v>78</v>
      </c>
      <c r="AN1469" t="s">
        <v>979</v>
      </c>
      <c r="AO1469" t="s">
        <v>80</v>
      </c>
      <c r="AP1469" t="e">
        <v>#N/A</v>
      </c>
      <c r="AQ1469" t="s">
        <v>81</v>
      </c>
      <c r="AR1469" t="str">
        <f t="shared" si="44"/>
        <v>60604293.STATAM</v>
      </c>
      <c r="AS1469">
        <f t="shared" si="45"/>
        <v>6152364.75</v>
      </c>
      <c r="AT1469" t="s">
        <v>82</v>
      </c>
    </row>
    <row r="1470" spans="1:46" x14ac:dyDescent="0.35">
      <c r="A1470" t="s">
        <v>52</v>
      </c>
      <c r="B1470" t="s">
        <v>53</v>
      </c>
      <c r="C1470" t="s">
        <v>54</v>
      </c>
      <c r="D1470" t="s">
        <v>55</v>
      </c>
      <c r="E1470" t="s">
        <v>56</v>
      </c>
      <c r="F1470" t="s">
        <v>4481</v>
      </c>
      <c r="G1470" t="s">
        <v>4482</v>
      </c>
      <c r="H1470" t="s">
        <v>59</v>
      </c>
      <c r="I1470" t="s">
        <v>4483</v>
      </c>
      <c r="J1470" t="s">
        <v>61</v>
      </c>
      <c r="K1470" t="s">
        <v>62</v>
      </c>
      <c r="L1470" t="s">
        <v>56</v>
      </c>
      <c r="M1470" t="s">
        <v>56</v>
      </c>
      <c r="N1470" t="s">
        <v>63</v>
      </c>
      <c r="O1470" t="s">
        <v>974</v>
      </c>
      <c r="P1470" t="s">
        <v>975</v>
      </c>
      <c r="Q1470" t="s">
        <v>4484</v>
      </c>
      <c r="R1470" t="s">
        <v>67</v>
      </c>
      <c r="S1470">
        <v>6000000</v>
      </c>
      <c r="T1470">
        <v>-152364.75</v>
      </c>
      <c r="U1470" t="s">
        <v>68</v>
      </c>
      <c r="V1470" t="s">
        <v>4485</v>
      </c>
      <c r="W1470" s="9">
        <v>60604293</v>
      </c>
      <c r="X1470" t="s">
        <v>4497</v>
      </c>
      <c r="Y1470" s="1">
        <v>46028</v>
      </c>
      <c r="Z1470" s="1">
        <v>46058</v>
      </c>
      <c r="AA1470" s="2">
        <v>3347230.46</v>
      </c>
      <c r="AB1470" s="2">
        <v>2836635.98</v>
      </c>
      <c r="AC1470" s="2">
        <v>510594.48</v>
      </c>
      <c r="AD1470" s="2">
        <v>56732.72</v>
      </c>
      <c r="AE1470" t="s">
        <v>4498</v>
      </c>
      <c r="AF1470" t="s">
        <v>72</v>
      </c>
      <c r="AG1470">
        <v>20</v>
      </c>
      <c r="AH1470" t="s">
        <v>73</v>
      </c>
      <c r="AI1470" t="s">
        <v>74</v>
      </c>
      <c r="AJ1470" t="s">
        <v>75</v>
      </c>
      <c r="AK1470" t="s">
        <v>76</v>
      </c>
      <c r="AL1470" t="s">
        <v>77</v>
      </c>
      <c r="AM1470" t="s">
        <v>78</v>
      </c>
      <c r="AN1470" t="s">
        <v>979</v>
      </c>
      <c r="AO1470" t="s">
        <v>80</v>
      </c>
      <c r="AP1470" t="e">
        <v>#N/A</v>
      </c>
      <c r="AQ1470" t="s">
        <v>81</v>
      </c>
      <c r="AR1470" t="str">
        <f t="shared" si="44"/>
        <v>60604293.STATAM</v>
      </c>
      <c r="AS1470">
        <f t="shared" si="45"/>
        <v>6152364.75</v>
      </c>
      <c r="AT1470" t="s">
        <v>82</v>
      </c>
    </row>
    <row r="1471" spans="1:46" x14ac:dyDescent="0.35">
      <c r="A1471" t="s">
        <v>52</v>
      </c>
      <c r="B1471" t="s">
        <v>53</v>
      </c>
      <c r="C1471" t="s">
        <v>54</v>
      </c>
      <c r="D1471" t="s">
        <v>55</v>
      </c>
      <c r="E1471" t="s">
        <v>56</v>
      </c>
      <c r="F1471" t="s">
        <v>4481</v>
      </c>
      <c r="G1471" t="s">
        <v>4488</v>
      </c>
      <c r="H1471" t="s">
        <v>59</v>
      </c>
      <c r="I1471" t="s">
        <v>4489</v>
      </c>
      <c r="J1471" t="s">
        <v>61</v>
      </c>
      <c r="K1471" t="s">
        <v>62</v>
      </c>
      <c r="L1471" t="s">
        <v>56</v>
      </c>
      <c r="M1471" t="s">
        <v>56</v>
      </c>
      <c r="N1471" t="s">
        <v>63</v>
      </c>
      <c r="O1471" t="s">
        <v>974</v>
      </c>
      <c r="P1471" t="s">
        <v>975</v>
      </c>
      <c r="Q1471" t="s">
        <v>4490</v>
      </c>
      <c r="R1471" t="s">
        <v>67</v>
      </c>
      <c r="S1471">
        <v>6000000</v>
      </c>
      <c r="T1471">
        <v>-152364.75</v>
      </c>
      <c r="U1471" t="s">
        <v>68</v>
      </c>
      <c r="V1471" t="s">
        <v>4485</v>
      </c>
      <c r="W1471" s="9">
        <v>60604293</v>
      </c>
      <c r="X1471" t="s">
        <v>4499</v>
      </c>
      <c r="Y1471" s="1">
        <v>46028</v>
      </c>
      <c r="Z1471" s="1">
        <v>46058</v>
      </c>
      <c r="AA1471" s="2">
        <v>2236069.15</v>
      </c>
      <c r="AB1471" s="2">
        <v>1894973.85</v>
      </c>
      <c r="AC1471" s="2">
        <v>341095.3</v>
      </c>
      <c r="AD1471" s="2">
        <v>37899.480000000003</v>
      </c>
      <c r="AE1471" t="s">
        <v>4500</v>
      </c>
      <c r="AF1471" t="s">
        <v>72</v>
      </c>
      <c r="AG1471">
        <v>20</v>
      </c>
      <c r="AH1471" t="s">
        <v>73</v>
      </c>
      <c r="AI1471" t="s">
        <v>74</v>
      </c>
      <c r="AJ1471" t="s">
        <v>75</v>
      </c>
      <c r="AK1471" t="s">
        <v>76</v>
      </c>
      <c r="AL1471" t="s">
        <v>77</v>
      </c>
      <c r="AM1471" t="s">
        <v>78</v>
      </c>
      <c r="AN1471" t="s">
        <v>979</v>
      </c>
      <c r="AO1471" t="s">
        <v>80</v>
      </c>
      <c r="AP1471" t="e">
        <v>#N/A</v>
      </c>
      <c r="AQ1471" t="s">
        <v>81</v>
      </c>
      <c r="AR1471" t="str">
        <f t="shared" si="44"/>
        <v>60604293.STATAM</v>
      </c>
      <c r="AS1471">
        <f t="shared" si="45"/>
        <v>6152364.75</v>
      </c>
      <c r="AT1471" t="s">
        <v>82</v>
      </c>
    </row>
    <row r="1472" spans="1:46" x14ac:dyDescent="0.35">
      <c r="A1472" t="s">
        <v>52</v>
      </c>
      <c r="B1472" t="s">
        <v>53</v>
      </c>
      <c r="C1472" t="s">
        <v>54</v>
      </c>
      <c r="D1472" t="s">
        <v>55</v>
      </c>
      <c r="E1472" t="s">
        <v>56</v>
      </c>
      <c r="F1472" t="s">
        <v>4481</v>
      </c>
      <c r="G1472" t="s">
        <v>4482</v>
      </c>
      <c r="H1472" t="s">
        <v>59</v>
      </c>
      <c r="I1472" t="s">
        <v>4483</v>
      </c>
      <c r="J1472" t="s">
        <v>61</v>
      </c>
      <c r="K1472" t="s">
        <v>62</v>
      </c>
      <c r="L1472" t="s">
        <v>56</v>
      </c>
      <c r="M1472" t="s">
        <v>56</v>
      </c>
      <c r="N1472" t="s">
        <v>63</v>
      </c>
      <c r="O1472" t="s">
        <v>974</v>
      </c>
      <c r="P1472" t="s">
        <v>975</v>
      </c>
      <c r="Q1472" t="s">
        <v>4484</v>
      </c>
      <c r="R1472" t="s">
        <v>67</v>
      </c>
      <c r="S1472">
        <v>6000000</v>
      </c>
      <c r="T1472">
        <v>-152364.75</v>
      </c>
      <c r="U1472" t="s">
        <v>68</v>
      </c>
      <c r="V1472" t="s">
        <v>4485</v>
      </c>
      <c r="W1472" s="9">
        <v>60604293</v>
      </c>
      <c r="X1472" t="s">
        <v>4501</v>
      </c>
      <c r="Y1472" s="1">
        <v>46056</v>
      </c>
      <c r="Z1472" s="1">
        <v>46086</v>
      </c>
      <c r="AA1472" s="2">
        <v>3137459.82</v>
      </c>
      <c r="AB1472" s="2">
        <v>2658864.2599999998</v>
      </c>
      <c r="AC1472" s="2">
        <v>478595.56</v>
      </c>
      <c r="AD1472" s="2">
        <v>3137459.82</v>
      </c>
      <c r="AE1472" t="s">
        <v>4502</v>
      </c>
      <c r="AF1472" t="s">
        <v>72</v>
      </c>
      <c r="AG1472">
        <v>-8</v>
      </c>
      <c r="AH1472" t="s">
        <v>117</v>
      </c>
      <c r="AI1472" t="s">
        <v>74</v>
      </c>
      <c r="AJ1472" t="s">
        <v>75</v>
      </c>
      <c r="AK1472" t="s">
        <v>76</v>
      </c>
      <c r="AL1472" t="s">
        <v>118</v>
      </c>
      <c r="AM1472" t="s">
        <v>78</v>
      </c>
      <c r="AN1472" t="s">
        <v>979</v>
      </c>
      <c r="AO1472" t="s">
        <v>119</v>
      </c>
      <c r="AP1472" t="e">
        <v>#N/A</v>
      </c>
      <c r="AQ1472" t="s">
        <v>81</v>
      </c>
      <c r="AR1472" t="str">
        <f t="shared" si="44"/>
        <v>60604293.STATAM</v>
      </c>
      <c r="AS1472">
        <f t="shared" si="45"/>
        <v>6152364.75</v>
      </c>
      <c r="AT1472" t="s">
        <v>82</v>
      </c>
    </row>
    <row r="1473" spans="1:46" x14ac:dyDescent="0.35">
      <c r="A1473" t="s">
        <v>52</v>
      </c>
      <c r="B1473" t="s">
        <v>53</v>
      </c>
      <c r="C1473" t="s">
        <v>54</v>
      </c>
      <c r="D1473" t="s">
        <v>55</v>
      </c>
      <c r="E1473" t="s">
        <v>56</v>
      </c>
      <c r="F1473" t="s">
        <v>4481</v>
      </c>
      <c r="G1473" t="s">
        <v>4488</v>
      </c>
      <c r="H1473" t="s">
        <v>59</v>
      </c>
      <c r="I1473" t="s">
        <v>4489</v>
      </c>
      <c r="J1473" t="s">
        <v>61</v>
      </c>
      <c r="K1473" t="s">
        <v>62</v>
      </c>
      <c r="L1473" t="s">
        <v>56</v>
      </c>
      <c r="M1473" t="s">
        <v>56</v>
      </c>
      <c r="N1473" t="s">
        <v>63</v>
      </c>
      <c r="O1473" t="s">
        <v>974</v>
      </c>
      <c r="P1473" t="s">
        <v>975</v>
      </c>
      <c r="Q1473" t="s">
        <v>4490</v>
      </c>
      <c r="R1473" t="s">
        <v>67</v>
      </c>
      <c r="S1473">
        <v>6000000</v>
      </c>
      <c r="T1473">
        <v>-152364.75</v>
      </c>
      <c r="U1473" t="s">
        <v>68</v>
      </c>
      <c r="V1473" t="s">
        <v>4485</v>
      </c>
      <c r="W1473" s="9">
        <v>60604293</v>
      </c>
      <c r="X1473" t="s">
        <v>4503</v>
      </c>
      <c r="Y1473" s="1">
        <v>46056</v>
      </c>
      <c r="Z1473" s="1">
        <v>46086</v>
      </c>
      <c r="AA1473" s="2">
        <v>2763418.26</v>
      </c>
      <c r="AB1473" s="2">
        <v>2341879.88</v>
      </c>
      <c r="AC1473" s="2">
        <v>421538.38</v>
      </c>
      <c r="AD1473" s="2">
        <v>2763418.26</v>
      </c>
      <c r="AE1473" t="s">
        <v>4504</v>
      </c>
      <c r="AF1473" t="s">
        <v>72</v>
      </c>
      <c r="AG1473">
        <v>-8</v>
      </c>
      <c r="AH1473" t="s">
        <v>117</v>
      </c>
      <c r="AI1473" t="s">
        <v>74</v>
      </c>
      <c r="AJ1473" t="s">
        <v>75</v>
      </c>
      <c r="AK1473" t="s">
        <v>76</v>
      </c>
      <c r="AL1473" t="s">
        <v>118</v>
      </c>
      <c r="AM1473" t="s">
        <v>78</v>
      </c>
      <c r="AN1473" t="s">
        <v>979</v>
      </c>
      <c r="AO1473" t="s">
        <v>119</v>
      </c>
      <c r="AP1473" t="e">
        <v>#N/A</v>
      </c>
      <c r="AQ1473" t="s">
        <v>81</v>
      </c>
      <c r="AR1473" t="str">
        <f t="shared" si="44"/>
        <v>60604293.STATAM</v>
      </c>
      <c r="AS1473">
        <f t="shared" si="45"/>
        <v>6152364.75</v>
      </c>
      <c r="AT1473" t="s">
        <v>82</v>
      </c>
    </row>
    <row r="1474" spans="1:46" x14ac:dyDescent="0.35">
      <c r="A1474" t="s">
        <v>52</v>
      </c>
      <c r="B1474" t="s">
        <v>53</v>
      </c>
      <c r="C1474" t="s">
        <v>54</v>
      </c>
      <c r="D1474" t="s">
        <v>55</v>
      </c>
      <c r="E1474" t="s">
        <v>56</v>
      </c>
      <c r="F1474" t="s">
        <v>4505</v>
      </c>
      <c r="G1474" t="s">
        <v>4506</v>
      </c>
      <c r="H1474" t="s">
        <v>56</v>
      </c>
      <c r="I1474" t="s">
        <v>4507</v>
      </c>
      <c r="J1474" t="s">
        <v>56</v>
      </c>
      <c r="K1474" t="s">
        <v>62</v>
      </c>
      <c r="L1474" t="s">
        <v>56</v>
      </c>
      <c r="M1474" t="s">
        <v>56</v>
      </c>
      <c r="N1474" t="s">
        <v>295</v>
      </c>
      <c r="O1474" t="s">
        <v>2534</v>
      </c>
      <c r="P1474" t="s">
        <v>2535</v>
      </c>
      <c r="Q1474" t="s">
        <v>114</v>
      </c>
      <c r="R1474" t="s">
        <v>88</v>
      </c>
      <c r="T1474">
        <v>0.35</v>
      </c>
      <c r="U1474" t="s">
        <v>68</v>
      </c>
      <c r="V1474" t="s">
        <v>4508</v>
      </c>
      <c r="W1474" s="9">
        <v>60604433</v>
      </c>
      <c r="X1474" t="s">
        <v>4509</v>
      </c>
      <c r="Y1474" s="1">
        <v>46072</v>
      </c>
      <c r="Z1474" s="1">
        <v>46072</v>
      </c>
      <c r="AA1474" s="2">
        <v>18037.650000000001</v>
      </c>
      <c r="AB1474" s="2">
        <v>15286.14</v>
      </c>
      <c r="AC1474" s="2">
        <v>2751.51</v>
      </c>
      <c r="AD1474" s="2">
        <v>18037.650000000001</v>
      </c>
      <c r="AE1474" t="s">
        <v>4510</v>
      </c>
      <c r="AF1474" t="s">
        <v>72</v>
      </c>
      <c r="AG1474">
        <v>6</v>
      </c>
      <c r="AH1474" t="s">
        <v>73</v>
      </c>
      <c r="AI1474" t="s">
        <v>74</v>
      </c>
      <c r="AJ1474" t="s">
        <v>75</v>
      </c>
      <c r="AK1474" t="s">
        <v>76</v>
      </c>
      <c r="AL1474" t="s">
        <v>77</v>
      </c>
      <c r="AM1474" t="s">
        <v>78</v>
      </c>
      <c r="AN1474" t="s">
        <v>795</v>
      </c>
      <c r="AO1474" t="s">
        <v>80</v>
      </c>
      <c r="AP1474" t="e">
        <v>#N/A</v>
      </c>
      <c r="AQ1474" t="s">
        <v>81</v>
      </c>
      <c r="AR1474" t="str">
        <f t="shared" si="44"/>
        <v>60604433.STATAM</v>
      </c>
      <c r="AS1474">
        <f t="shared" si="45"/>
        <v>-0.34999999999854481</v>
      </c>
      <c r="AT1474" t="s">
        <v>93</v>
      </c>
    </row>
    <row r="1475" spans="1:46" x14ac:dyDescent="0.35">
      <c r="A1475" t="s">
        <v>52</v>
      </c>
      <c r="B1475" t="s">
        <v>53</v>
      </c>
      <c r="C1475" t="s">
        <v>54</v>
      </c>
      <c r="D1475" t="s">
        <v>55</v>
      </c>
      <c r="E1475" t="s">
        <v>56</v>
      </c>
      <c r="F1475" t="s">
        <v>4505</v>
      </c>
      <c r="G1475" t="s">
        <v>56</v>
      </c>
      <c r="H1475" t="s">
        <v>56</v>
      </c>
      <c r="I1475" t="s">
        <v>4511</v>
      </c>
      <c r="J1475" t="s">
        <v>61</v>
      </c>
      <c r="K1475" t="s">
        <v>62</v>
      </c>
      <c r="L1475" t="s">
        <v>56</v>
      </c>
      <c r="M1475" t="s">
        <v>56</v>
      </c>
      <c r="N1475" t="s">
        <v>56</v>
      </c>
      <c r="O1475" t="s">
        <v>2534</v>
      </c>
      <c r="P1475" t="s">
        <v>2535</v>
      </c>
      <c r="Q1475" t="s">
        <v>87</v>
      </c>
      <c r="R1475" t="s">
        <v>88</v>
      </c>
      <c r="T1475">
        <v>0.35</v>
      </c>
      <c r="U1475" t="s">
        <v>68</v>
      </c>
      <c r="V1475" t="s">
        <v>4508</v>
      </c>
      <c r="W1475" s="9">
        <v>60604433</v>
      </c>
      <c r="X1475" t="s">
        <v>4512</v>
      </c>
      <c r="Y1475" s="1">
        <v>46072</v>
      </c>
      <c r="Z1475" s="1">
        <v>46072</v>
      </c>
      <c r="AA1475" s="2">
        <v>-18038</v>
      </c>
      <c r="AB1475" s="2">
        <v>-18038</v>
      </c>
      <c r="AC1475" s="2">
        <v>0</v>
      </c>
      <c r="AD1475" s="2">
        <v>-18038</v>
      </c>
      <c r="AE1475" t="s">
        <v>4512</v>
      </c>
      <c r="AF1475" t="s">
        <v>72</v>
      </c>
      <c r="AG1475">
        <v>6</v>
      </c>
      <c r="AH1475" t="s">
        <v>73</v>
      </c>
      <c r="AI1475" t="s">
        <v>74</v>
      </c>
      <c r="AJ1475" t="s">
        <v>75</v>
      </c>
      <c r="AK1475" t="s">
        <v>76</v>
      </c>
      <c r="AL1475" t="s">
        <v>77</v>
      </c>
      <c r="AM1475" t="s">
        <v>78</v>
      </c>
      <c r="AN1475" t="s">
        <v>795</v>
      </c>
      <c r="AO1475" t="s">
        <v>80</v>
      </c>
      <c r="AP1475" t="e">
        <v>#N/A</v>
      </c>
      <c r="AQ1475" t="s">
        <v>81</v>
      </c>
      <c r="AR1475" t="str">
        <f t="shared" si="44"/>
        <v>60604433.STATAM</v>
      </c>
      <c r="AS1475">
        <f t="shared" si="45"/>
        <v>-0.34999999999854481</v>
      </c>
      <c r="AT1475" t="s">
        <v>93</v>
      </c>
    </row>
    <row r="1476" spans="1:46" x14ac:dyDescent="0.35">
      <c r="A1476" t="s">
        <v>52</v>
      </c>
      <c r="B1476" t="s">
        <v>53</v>
      </c>
      <c r="C1476" t="s">
        <v>54</v>
      </c>
      <c r="D1476" t="s">
        <v>55</v>
      </c>
      <c r="E1476" t="s">
        <v>56</v>
      </c>
      <c r="F1476" t="s">
        <v>4513</v>
      </c>
      <c r="G1476" t="s">
        <v>4514</v>
      </c>
      <c r="H1476" t="s">
        <v>56</v>
      </c>
      <c r="I1476" t="s">
        <v>4515</v>
      </c>
      <c r="J1476" t="s">
        <v>56</v>
      </c>
      <c r="K1476" t="s">
        <v>62</v>
      </c>
      <c r="L1476" t="s">
        <v>56</v>
      </c>
      <c r="M1476" t="s">
        <v>56</v>
      </c>
      <c r="N1476" t="s">
        <v>254</v>
      </c>
      <c r="O1476" t="s">
        <v>435</v>
      </c>
      <c r="P1476" t="s">
        <v>436</v>
      </c>
      <c r="Q1476" t="s">
        <v>114</v>
      </c>
      <c r="R1476" t="s">
        <v>88</v>
      </c>
      <c r="T1476">
        <v>-1414.29</v>
      </c>
      <c r="U1476" t="s">
        <v>68</v>
      </c>
      <c r="V1476" t="s">
        <v>4516</v>
      </c>
      <c r="W1476" s="9">
        <v>60604404</v>
      </c>
      <c r="X1476" t="s">
        <v>4517</v>
      </c>
      <c r="Y1476" s="1">
        <v>46007</v>
      </c>
      <c r="Z1476" s="1">
        <v>46007</v>
      </c>
      <c r="AA1476" s="2">
        <v>999078.28</v>
      </c>
      <c r="AB1476" s="2">
        <v>846676.5</v>
      </c>
      <c r="AC1476" s="2">
        <v>152401.78</v>
      </c>
      <c r="AD1476" s="2">
        <v>1414.29</v>
      </c>
      <c r="AE1476" t="s">
        <v>4518</v>
      </c>
      <c r="AF1476" t="s">
        <v>72</v>
      </c>
      <c r="AG1476">
        <v>71</v>
      </c>
      <c r="AH1476" t="s">
        <v>260</v>
      </c>
      <c r="AI1476" t="s">
        <v>74</v>
      </c>
      <c r="AJ1476" t="s">
        <v>75</v>
      </c>
      <c r="AK1476" t="s">
        <v>76</v>
      </c>
      <c r="AL1476" t="s">
        <v>77</v>
      </c>
      <c r="AM1476" t="s">
        <v>78</v>
      </c>
      <c r="AN1476" t="s">
        <v>104</v>
      </c>
      <c r="AO1476" t="s">
        <v>80</v>
      </c>
      <c r="AP1476" t="e">
        <v>#N/A</v>
      </c>
      <c r="AQ1476" t="s">
        <v>81</v>
      </c>
      <c r="AR1476" t="str">
        <f t="shared" si="44"/>
        <v>60604404.STATAM</v>
      </c>
      <c r="AS1476">
        <f t="shared" si="45"/>
        <v>1414.29</v>
      </c>
      <c r="AT1476" t="s">
        <v>82</v>
      </c>
    </row>
    <row r="1477" spans="1:46" x14ac:dyDescent="0.35">
      <c r="A1477" t="s">
        <v>52</v>
      </c>
      <c r="B1477" t="s">
        <v>53</v>
      </c>
      <c r="C1477" t="s">
        <v>54</v>
      </c>
      <c r="D1477" t="s">
        <v>55</v>
      </c>
      <c r="E1477" t="s">
        <v>56</v>
      </c>
      <c r="F1477" t="s">
        <v>4519</v>
      </c>
      <c r="G1477" t="s">
        <v>56</v>
      </c>
      <c r="H1477" t="s">
        <v>56</v>
      </c>
      <c r="I1477" t="s">
        <v>4520</v>
      </c>
      <c r="J1477" t="s">
        <v>61</v>
      </c>
      <c r="K1477" t="s">
        <v>62</v>
      </c>
      <c r="L1477" t="s">
        <v>56</v>
      </c>
      <c r="M1477" t="s">
        <v>56</v>
      </c>
      <c r="N1477" t="s">
        <v>56</v>
      </c>
      <c r="O1477" t="s">
        <v>4521</v>
      </c>
      <c r="P1477" t="s">
        <v>4522</v>
      </c>
      <c r="Q1477" t="s">
        <v>87</v>
      </c>
      <c r="R1477" t="s">
        <v>88</v>
      </c>
      <c r="T1477">
        <v>800000</v>
      </c>
      <c r="U1477" t="s">
        <v>68</v>
      </c>
      <c r="V1477" t="s">
        <v>4523</v>
      </c>
      <c r="W1477" s="9">
        <v>60604405</v>
      </c>
      <c r="X1477" t="s">
        <v>4524</v>
      </c>
      <c r="Y1477" s="1">
        <v>45990</v>
      </c>
      <c r="Z1477" s="1">
        <v>45990</v>
      </c>
      <c r="AA1477" s="2">
        <v>-800000</v>
      </c>
      <c r="AB1477" s="2">
        <v>-800000</v>
      </c>
      <c r="AC1477" s="2">
        <v>0</v>
      </c>
      <c r="AD1477" s="2">
        <v>-800000</v>
      </c>
      <c r="AE1477" t="s">
        <v>4524</v>
      </c>
      <c r="AF1477" t="s">
        <v>72</v>
      </c>
      <c r="AG1477">
        <v>88</v>
      </c>
      <c r="AH1477" t="s">
        <v>260</v>
      </c>
      <c r="AI1477" t="s">
        <v>74</v>
      </c>
      <c r="AJ1477" t="s">
        <v>75</v>
      </c>
      <c r="AK1477" t="s">
        <v>76</v>
      </c>
      <c r="AL1477" t="s">
        <v>77</v>
      </c>
      <c r="AM1477" t="s">
        <v>78</v>
      </c>
      <c r="AN1477" t="s">
        <v>79</v>
      </c>
      <c r="AO1477" t="s">
        <v>80</v>
      </c>
      <c r="AP1477" t="e">
        <v>#N/A</v>
      </c>
      <c r="AQ1477" t="s">
        <v>81</v>
      </c>
      <c r="AR1477" t="str">
        <f t="shared" si="44"/>
        <v>60604405.STATAM</v>
      </c>
      <c r="AS1477">
        <f t="shared" si="45"/>
        <v>-800000</v>
      </c>
      <c r="AT1477" t="s">
        <v>93</v>
      </c>
    </row>
    <row r="1478" spans="1:46" x14ac:dyDescent="0.35">
      <c r="A1478" t="s">
        <v>52</v>
      </c>
      <c r="B1478" t="s">
        <v>53</v>
      </c>
      <c r="C1478" t="s">
        <v>243</v>
      </c>
      <c r="D1478" t="s">
        <v>55</v>
      </c>
      <c r="E1478" t="s">
        <v>56</v>
      </c>
      <c r="F1478" t="s">
        <v>4525</v>
      </c>
      <c r="G1478" t="s">
        <v>4526</v>
      </c>
      <c r="H1478" t="s">
        <v>56</v>
      </c>
      <c r="I1478" t="s">
        <v>4527</v>
      </c>
      <c r="J1478" t="s">
        <v>56</v>
      </c>
      <c r="K1478" t="s">
        <v>640</v>
      </c>
      <c r="L1478" t="s">
        <v>56</v>
      </c>
      <c r="M1478" t="s">
        <v>56</v>
      </c>
      <c r="N1478" t="s">
        <v>1384</v>
      </c>
      <c r="O1478" t="s">
        <v>1416</v>
      </c>
      <c r="P1478" t="s">
        <v>1417</v>
      </c>
      <c r="Q1478" t="s">
        <v>114</v>
      </c>
      <c r="R1478" t="s">
        <v>248</v>
      </c>
      <c r="S1478">
        <v>2000000</v>
      </c>
      <c r="T1478">
        <v>478901.78</v>
      </c>
      <c r="U1478" t="s">
        <v>68</v>
      </c>
      <c r="V1478" t="s">
        <v>4528</v>
      </c>
      <c r="W1478" s="9" t="s">
        <v>4525</v>
      </c>
      <c r="X1478" t="s">
        <v>4529</v>
      </c>
      <c r="Y1478" s="1">
        <v>46042</v>
      </c>
      <c r="Z1478" s="1">
        <v>46102</v>
      </c>
      <c r="AA1478" s="2">
        <v>4236.96</v>
      </c>
      <c r="AB1478" s="2">
        <v>4236.96</v>
      </c>
      <c r="AC1478" s="2">
        <v>0</v>
      </c>
      <c r="AD1478" s="2">
        <v>4236.96</v>
      </c>
      <c r="AE1478" t="s">
        <v>4530</v>
      </c>
      <c r="AF1478" t="s">
        <v>72</v>
      </c>
      <c r="AG1478">
        <v>-24</v>
      </c>
      <c r="AH1478" t="s">
        <v>117</v>
      </c>
      <c r="AI1478" t="s">
        <v>74</v>
      </c>
      <c r="AJ1478" t="s">
        <v>75</v>
      </c>
      <c r="AK1478" t="s">
        <v>76</v>
      </c>
      <c r="AL1478" t="s">
        <v>118</v>
      </c>
      <c r="AM1478" t="s">
        <v>78</v>
      </c>
      <c r="AN1478" t="s">
        <v>92</v>
      </c>
      <c r="AO1478" t="s">
        <v>119</v>
      </c>
      <c r="AP1478" t="s">
        <v>46</v>
      </c>
      <c r="AQ1478" t="s">
        <v>81</v>
      </c>
      <c r="AR1478" t="str">
        <f t="shared" si="44"/>
        <v>EX000011.STATAM</v>
      </c>
      <c r="AS1478">
        <f t="shared" si="45"/>
        <v>1233858.2200000002</v>
      </c>
      <c r="AT1478" t="s">
        <v>82</v>
      </c>
    </row>
    <row r="1479" spans="1:46" x14ac:dyDescent="0.35">
      <c r="A1479" t="s">
        <v>52</v>
      </c>
      <c r="B1479" t="s">
        <v>53</v>
      </c>
      <c r="C1479" t="s">
        <v>243</v>
      </c>
      <c r="D1479" t="s">
        <v>55</v>
      </c>
      <c r="E1479" t="s">
        <v>56</v>
      </c>
      <c r="F1479" t="s">
        <v>4525</v>
      </c>
      <c r="G1479" t="s">
        <v>4526</v>
      </c>
      <c r="H1479" t="s">
        <v>56</v>
      </c>
      <c r="I1479" t="s">
        <v>4527</v>
      </c>
      <c r="J1479" t="s">
        <v>56</v>
      </c>
      <c r="K1479" t="s">
        <v>640</v>
      </c>
      <c r="L1479" t="s">
        <v>56</v>
      </c>
      <c r="M1479" t="s">
        <v>56</v>
      </c>
      <c r="N1479" t="s">
        <v>331</v>
      </c>
      <c r="O1479" t="s">
        <v>1416</v>
      </c>
      <c r="P1479" t="s">
        <v>1417</v>
      </c>
      <c r="Q1479" t="s">
        <v>114</v>
      </c>
      <c r="R1479" t="s">
        <v>248</v>
      </c>
      <c r="S1479">
        <v>2000000</v>
      </c>
      <c r="T1479">
        <v>478901.78</v>
      </c>
      <c r="U1479" t="s">
        <v>68</v>
      </c>
      <c r="V1479" t="s">
        <v>4528</v>
      </c>
      <c r="W1479" s="9" t="s">
        <v>4525</v>
      </c>
      <c r="X1479" t="s">
        <v>4529</v>
      </c>
      <c r="Y1479" s="1">
        <v>46042</v>
      </c>
      <c r="Z1479" s="1">
        <v>46102</v>
      </c>
      <c r="AA1479" s="2">
        <v>287240</v>
      </c>
      <c r="AB1479" s="2">
        <v>287240</v>
      </c>
      <c r="AC1479" s="2">
        <v>0</v>
      </c>
      <c r="AD1479" s="2">
        <v>287240</v>
      </c>
      <c r="AE1479" t="s">
        <v>4531</v>
      </c>
      <c r="AF1479" t="s">
        <v>72</v>
      </c>
      <c r="AG1479">
        <v>-24</v>
      </c>
      <c r="AH1479" t="s">
        <v>117</v>
      </c>
      <c r="AI1479" t="s">
        <v>74</v>
      </c>
      <c r="AJ1479" t="s">
        <v>127</v>
      </c>
      <c r="AK1479" t="s">
        <v>334</v>
      </c>
      <c r="AL1479" t="s">
        <v>118</v>
      </c>
      <c r="AM1479" t="s">
        <v>78</v>
      </c>
      <c r="AN1479" t="s">
        <v>92</v>
      </c>
      <c r="AO1479" t="s">
        <v>119</v>
      </c>
      <c r="AP1479" t="s">
        <v>46</v>
      </c>
      <c r="AQ1479" t="s">
        <v>335</v>
      </c>
      <c r="AR1479" t="str">
        <f t="shared" si="44"/>
        <v>EX000011.SPMINAM</v>
      </c>
      <c r="AS1479">
        <f t="shared" si="45"/>
        <v>287240</v>
      </c>
      <c r="AT1479" t="s">
        <v>82</v>
      </c>
    </row>
    <row r="1480" spans="1:46" x14ac:dyDescent="0.35">
      <c r="A1480" t="s">
        <v>52</v>
      </c>
      <c r="B1480" t="s">
        <v>53</v>
      </c>
      <c r="C1480" t="s">
        <v>243</v>
      </c>
      <c r="D1480" t="s">
        <v>55</v>
      </c>
      <c r="E1480" t="s">
        <v>56</v>
      </c>
      <c r="F1480" t="s">
        <v>4525</v>
      </c>
      <c r="G1480" t="s">
        <v>4532</v>
      </c>
      <c r="H1480" t="s">
        <v>56</v>
      </c>
      <c r="I1480" t="s">
        <v>4533</v>
      </c>
      <c r="J1480" t="s">
        <v>56</v>
      </c>
      <c r="K1480" t="s">
        <v>640</v>
      </c>
      <c r="L1480" t="s">
        <v>56</v>
      </c>
      <c r="M1480" t="s">
        <v>56</v>
      </c>
      <c r="N1480" t="s">
        <v>261</v>
      </c>
      <c r="O1480" t="s">
        <v>1416</v>
      </c>
      <c r="P1480" t="s">
        <v>1417</v>
      </c>
      <c r="Q1480" t="s">
        <v>114</v>
      </c>
      <c r="R1480" t="s">
        <v>248</v>
      </c>
      <c r="S1480">
        <v>2000000</v>
      </c>
      <c r="T1480">
        <v>478901.78</v>
      </c>
      <c r="U1480" t="s">
        <v>68</v>
      </c>
      <c r="V1480" t="s">
        <v>4528</v>
      </c>
      <c r="W1480" s="9" t="s">
        <v>4525</v>
      </c>
      <c r="X1480" t="s">
        <v>4534</v>
      </c>
      <c r="Y1480" s="1">
        <v>46049</v>
      </c>
      <c r="Z1480" s="1">
        <v>46109</v>
      </c>
      <c r="AA1480" s="2">
        <v>110581.38</v>
      </c>
      <c r="AB1480" s="2">
        <v>110581.38</v>
      </c>
      <c r="AC1480" s="2">
        <v>0</v>
      </c>
      <c r="AD1480" s="2">
        <v>110581.38</v>
      </c>
      <c r="AE1480" t="s">
        <v>4535</v>
      </c>
      <c r="AF1480" t="s">
        <v>72</v>
      </c>
      <c r="AG1480">
        <v>-31</v>
      </c>
      <c r="AH1480" t="s">
        <v>117</v>
      </c>
      <c r="AI1480" t="s">
        <v>74</v>
      </c>
      <c r="AJ1480" t="s">
        <v>75</v>
      </c>
      <c r="AK1480" t="s">
        <v>76</v>
      </c>
      <c r="AL1480" t="s">
        <v>118</v>
      </c>
      <c r="AM1480" t="s">
        <v>78</v>
      </c>
      <c r="AN1480" t="s">
        <v>92</v>
      </c>
      <c r="AO1480" t="s">
        <v>119</v>
      </c>
      <c r="AP1480" t="s">
        <v>46</v>
      </c>
      <c r="AQ1480" t="s">
        <v>81</v>
      </c>
      <c r="AR1480" t="str">
        <f t="shared" ref="AR1480:AR1543" si="46">W1480&amp;"."&amp;AQ1480</f>
        <v>EX000011.STATAM</v>
      </c>
      <c r="AS1480">
        <f t="shared" ref="AS1480:AS1543" si="47">SUMIFS(AD:AD,AQ:AQ,AQ1480,W:W,W1480)</f>
        <v>1233858.2200000002</v>
      </c>
      <c r="AT1480" t="s">
        <v>82</v>
      </c>
    </row>
    <row r="1481" spans="1:46" x14ac:dyDescent="0.35">
      <c r="A1481" t="s">
        <v>52</v>
      </c>
      <c r="B1481" t="s">
        <v>53</v>
      </c>
      <c r="C1481" t="s">
        <v>243</v>
      </c>
      <c r="D1481" t="s">
        <v>55</v>
      </c>
      <c r="E1481" t="s">
        <v>56</v>
      </c>
      <c r="F1481" t="s">
        <v>4525</v>
      </c>
      <c r="G1481" t="s">
        <v>4536</v>
      </c>
      <c r="H1481" t="s">
        <v>56</v>
      </c>
      <c r="I1481" t="s">
        <v>4537</v>
      </c>
      <c r="J1481" t="s">
        <v>56</v>
      </c>
      <c r="K1481" t="s">
        <v>640</v>
      </c>
      <c r="L1481" t="s">
        <v>56</v>
      </c>
      <c r="M1481" t="s">
        <v>56</v>
      </c>
      <c r="N1481" t="s">
        <v>254</v>
      </c>
      <c r="O1481" t="s">
        <v>1416</v>
      </c>
      <c r="P1481" t="s">
        <v>1417</v>
      </c>
      <c r="Q1481" t="s">
        <v>114</v>
      </c>
      <c r="R1481" t="s">
        <v>248</v>
      </c>
      <c r="S1481">
        <v>2000000</v>
      </c>
      <c r="T1481">
        <v>478901.78</v>
      </c>
      <c r="U1481" t="s">
        <v>68</v>
      </c>
      <c r="V1481" t="s">
        <v>4528</v>
      </c>
      <c r="W1481" s="9" t="s">
        <v>4525</v>
      </c>
      <c r="X1481" t="s">
        <v>4538</v>
      </c>
      <c r="Y1481" s="1">
        <v>46064</v>
      </c>
      <c r="Z1481" s="1">
        <v>46124</v>
      </c>
      <c r="AA1481" s="2">
        <v>263770</v>
      </c>
      <c r="AB1481" s="2">
        <v>263770</v>
      </c>
      <c r="AC1481" s="2">
        <v>0</v>
      </c>
      <c r="AD1481" s="2">
        <v>263770</v>
      </c>
      <c r="AE1481" t="s">
        <v>4539</v>
      </c>
      <c r="AF1481" t="s">
        <v>72</v>
      </c>
      <c r="AG1481">
        <v>-46</v>
      </c>
      <c r="AH1481" t="s">
        <v>117</v>
      </c>
      <c r="AI1481" t="s">
        <v>74</v>
      </c>
      <c r="AJ1481" t="s">
        <v>75</v>
      </c>
      <c r="AK1481" t="s">
        <v>76</v>
      </c>
      <c r="AL1481" t="s">
        <v>118</v>
      </c>
      <c r="AM1481" t="s">
        <v>78</v>
      </c>
      <c r="AN1481" t="s">
        <v>92</v>
      </c>
      <c r="AO1481" t="s">
        <v>119</v>
      </c>
      <c r="AP1481" t="s">
        <v>46</v>
      </c>
      <c r="AQ1481" t="s">
        <v>81</v>
      </c>
      <c r="AR1481" t="str">
        <f t="shared" si="46"/>
        <v>EX000011.STATAM</v>
      </c>
      <c r="AS1481">
        <f t="shared" si="47"/>
        <v>1233858.2200000002</v>
      </c>
      <c r="AT1481" t="s">
        <v>82</v>
      </c>
    </row>
    <row r="1482" spans="1:46" x14ac:dyDescent="0.35">
      <c r="A1482" t="s">
        <v>52</v>
      </c>
      <c r="B1482" t="s">
        <v>53</v>
      </c>
      <c r="C1482" t="s">
        <v>243</v>
      </c>
      <c r="D1482" t="s">
        <v>55</v>
      </c>
      <c r="E1482" t="s">
        <v>56</v>
      </c>
      <c r="F1482" t="s">
        <v>4525</v>
      </c>
      <c r="G1482" t="s">
        <v>4536</v>
      </c>
      <c r="H1482" t="s">
        <v>56</v>
      </c>
      <c r="I1482" t="s">
        <v>4537</v>
      </c>
      <c r="J1482" t="s">
        <v>56</v>
      </c>
      <c r="K1482" t="s">
        <v>640</v>
      </c>
      <c r="L1482" t="s">
        <v>56</v>
      </c>
      <c r="M1482" t="s">
        <v>56</v>
      </c>
      <c r="N1482" t="s">
        <v>244</v>
      </c>
      <c r="O1482" t="s">
        <v>1416</v>
      </c>
      <c r="P1482" t="s">
        <v>1417</v>
      </c>
      <c r="Q1482" t="s">
        <v>114</v>
      </c>
      <c r="R1482" t="s">
        <v>248</v>
      </c>
      <c r="S1482">
        <v>2000000</v>
      </c>
      <c r="T1482">
        <v>478901.78</v>
      </c>
      <c r="U1482" t="s">
        <v>68</v>
      </c>
      <c r="V1482" t="s">
        <v>4528</v>
      </c>
      <c r="W1482" s="9" t="s">
        <v>4525</v>
      </c>
      <c r="X1482" t="s">
        <v>4538</v>
      </c>
      <c r="Y1482" s="1">
        <v>46064</v>
      </c>
      <c r="Z1482" s="1">
        <v>46124</v>
      </c>
      <c r="AA1482" s="2">
        <v>781290</v>
      </c>
      <c r="AB1482" s="2">
        <v>781290</v>
      </c>
      <c r="AC1482" s="2">
        <v>0</v>
      </c>
      <c r="AD1482" s="2">
        <v>781290</v>
      </c>
      <c r="AE1482" t="s">
        <v>4540</v>
      </c>
      <c r="AF1482" t="s">
        <v>72</v>
      </c>
      <c r="AG1482">
        <v>-46</v>
      </c>
      <c r="AH1482" t="s">
        <v>117</v>
      </c>
      <c r="AI1482" t="s">
        <v>74</v>
      </c>
      <c r="AJ1482" t="s">
        <v>75</v>
      </c>
      <c r="AK1482" t="s">
        <v>76</v>
      </c>
      <c r="AL1482" t="s">
        <v>118</v>
      </c>
      <c r="AM1482" t="s">
        <v>78</v>
      </c>
      <c r="AN1482" t="s">
        <v>92</v>
      </c>
      <c r="AO1482" t="s">
        <v>119</v>
      </c>
      <c r="AP1482" t="s">
        <v>46</v>
      </c>
      <c r="AQ1482" t="s">
        <v>81</v>
      </c>
      <c r="AR1482" t="str">
        <f t="shared" si="46"/>
        <v>EX000011.STATAM</v>
      </c>
      <c r="AS1482">
        <f t="shared" si="47"/>
        <v>1233858.2200000002</v>
      </c>
      <c r="AT1482" t="s">
        <v>82</v>
      </c>
    </row>
    <row r="1483" spans="1:46" x14ac:dyDescent="0.35">
      <c r="A1483" t="s">
        <v>52</v>
      </c>
      <c r="B1483" t="s">
        <v>53</v>
      </c>
      <c r="C1483" t="s">
        <v>243</v>
      </c>
      <c r="D1483" t="s">
        <v>55</v>
      </c>
      <c r="E1483" t="s">
        <v>56</v>
      </c>
      <c r="F1483" t="s">
        <v>4525</v>
      </c>
      <c r="G1483" t="s">
        <v>4541</v>
      </c>
      <c r="H1483" t="s">
        <v>56</v>
      </c>
      <c r="I1483" t="s">
        <v>4542</v>
      </c>
      <c r="J1483" t="s">
        <v>56</v>
      </c>
      <c r="K1483" t="s">
        <v>640</v>
      </c>
      <c r="L1483" t="s">
        <v>56</v>
      </c>
      <c r="M1483" t="s">
        <v>56</v>
      </c>
      <c r="N1483" t="s">
        <v>252</v>
      </c>
      <c r="O1483" t="s">
        <v>1416</v>
      </c>
      <c r="P1483" t="s">
        <v>1417</v>
      </c>
      <c r="Q1483" t="s">
        <v>114</v>
      </c>
      <c r="R1483" t="s">
        <v>248</v>
      </c>
      <c r="S1483">
        <v>2000000</v>
      </c>
      <c r="T1483">
        <v>478901.78</v>
      </c>
      <c r="U1483" t="s">
        <v>68</v>
      </c>
      <c r="V1483" t="s">
        <v>4528</v>
      </c>
      <c r="W1483" s="9" t="s">
        <v>4525</v>
      </c>
      <c r="X1483" t="s">
        <v>4543</v>
      </c>
      <c r="Y1483" s="1">
        <v>46064</v>
      </c>
      <c r="Z1483" s="1">
        <v>46124</v>
      </c>
      <c r="AA1483" s="2">
        <v>73979.88</v>
      </c>
      <c r="AB1483" s="2">
        <v>73979.88</v>
      </c>
      <c r="AC1483" s="2">
        <v>0</v>
      </c>
      <c r="AD1483" s="2">
        <v>73979.88</v>
      </c>
      <c r="AE1483" t="s">
        <v>4544</v>
      </c>
      <c r="AF1483" t="s">
        <v>72</v>
      </c>
      <c r="AG1483">
        <v>-46</v>
      </c>
      <c r="AH1483" t="s">
        <v>117</v>
      </c>
      <c r="AI1483" t="s">
        <v>74</v>
      </c>
      <c r="AJ1483" t="s">
        <v>75</v>
      </c>
      <c r="AK1483" t="s">
        <v>76</v>
      </c>
      <c r="AL1483" t="s">
        <v>118</v>
      </c>
      <c r="AM1483" t="s">
        <v>78</v>
      </c>
      <c r="AN1483" t="s">
        <v>92</v>
      </c>
      <c r="AO1483" t="s">
        <v>119</v>
      </c>
      <c r="AP1483" t="s">
        <v>46</v>
      </c>
      <c r="AQ1483" t="s">
        <v>81</v>
      </c>
      <c r="AR1483" t="str">
        <f t="shared" si="46"/>
        <v>EX000011.STATAM</v>
      </c>
      <c r="AS1483">
        <f t="shared" si="47"/>
        <v>1233858.2200000002</v>
      </c>
      <c r="AT1483" t="s">
        <v>82</v>
      </c>
    </row>
    <row r="1484" spans="1:46" x14ac:dyDescent="0.35">
      <c r="A1484" t="s">
        <v>52</v>
      </c>
      <c r="B1484" t="s">
        <v>53</v>
      </c>
      <c r="C1484" t="s">
        <v>54</v>
      </c>
      <c r="D1484" t="s">
        <v>55</v>
      </c>
      <c r="E1484" t="s">
        <v>56</v>
      </c>
      <c r="F1484" t="s">
        <v>4545</v>
      </c>
      <c r="G1484" t="s">
        <v>56</v>
      </c>
      <c r="H1484" t="s">
        <v>56</v>
      </c>
      <c r="I1484" t="s">
        <v>4546</v>
      </c>
      <c r="J1484" t="s">
        <v>61</v>
      </c>
      <c r="K1484" t="s">
        <v>62</v>
      </c>
      <c r="L1484" t="s">
        <v>56</v>
      </c>
      <c r="M1484" t="s">
        <v>56</v>
      </c>
      <c r="N1484" t="s">
        <v>56</v>
      </c>
      <c r="O1484" t="s">
        <v>406</v>
      </c>
      <c r="P1484" t="s">
        <v>407</v>
      </c>
      <c r="Q1484" t="s">
        <v>87</v>
      </c>
      <c r="R1484" t="s">
        <v>67</v>
      </c>
      <c r="T1484">
        <v>2651</v>
      </c>
      <c r="U1484" t="s">
        <v>68</v>
      </c>
      <c r="V1484" t="s">
        <v>4547</v>
      </c>
      <c r="W1484" s="9">
        <v>20000020</v>
      </c>
      <c r="X1484" t="s">
        <v>4548</v>
      </c>
      <c r="Y1484" s="1">
        <v>46076</v>
      </c>
      <c r="Z1484" s="1">
        <v>46076</v>
      </c>
      <c r="AA1484" s="2">
        <v>-2651</v>
      </c>
      <c r="AB1484" s="2">
        <v>-2651</v>
      </c>
      <c r="AC1484" s="2">
        <v>0</v>
      </c>
      <c r="AD1484" s="2">
        <v>-2651</v>
      </c>
      <c r="AE1484" t="s">
        <v>4548</v>
      </c>
      <c r="AF1484" t="s">
        <v>72</v>
      </c>
      <c r="AG1484">
        <v>2</v>
      </c>
      <c r="AH1484" t="s">
        <v>73</v>
      </c>
      <c r="AI1484" t="s">
        <v>74</v>
      </c>
      <c r="AJ1484" t="s">
        <v>75</v>
      </c>
      <c r="AK1484" t="s">
        <v>76</v>
      </c>
      <c r="AL1484" t="s">
        <v>77</v>
      </c>
      <c r="AM1484" t="s">
        <v>78</v>
      </c>
      <c r="AN1484" t="s">
        <v>104</v>
      </c>
      <c r="AO1484" t="s">
        <v>80</v>
      </c>
      <c r="AP1484" t="e">
        <v>#N/A</v>
      </c>
      <c r="AQ1484" t="s">
        <v>81</v>
      </c>
      <c r="AR1484" t="str">
        <f t="shared" si="46"/>
        <v>20000020.STATAM</v>
      </c>
      <c r="AS1484">
        <f t="shared" si="47"/>
        <v>-2651</v>
      </c>
      <c r="AT1484" t="s">
        <v>93</v>
      </c>
    </row>
    <row r="1485" spans="1:46" x14ac:dyDescent="0.35">
      <c r="A1485" t="s">
        <v>52</v>
      </c>
      <c r="B1485" t="s">
        <v>53</v>
      </c>
      <c r="C1485" t="s">
        <v>54</v>
      </c>
      <c r="D1485" t="s">
        <v>55</v>
      </c>
      <c r="E1485" t="s">
        <v>56</v>
      </c>
      <c r="F1485" t="s">
        <v>4549</v>
      </c>
      <c r="G1485" t="s">
        <v>56</v>
      </c>
      <c r="H1485" t="s">
        <v>56</v>
      </c>
      <c r="I1485" t="s">
        <v>4550</v>
      </c>
      <c r="J1485" t="s">
        <v>61</v>
      </c>
      <c r="K1485" t="s">
        <v>640</v>
      </c>
      <c r="L1485" t="s">
        <v>56</v>
      </c>
      <c r="M1485" t="s">
        <v>56</v>
      </c>
      <c r="N1485" t="s">
        <v>56</v>
      </c>
      <c r="O1485" t="s">
        <v>3285</v>
      </c>
      <c r="P1485" t="s">
        <v>3286</v>
      </c>
      <c r="Q1485" t="s">
        <v>87</v>
      </c>
      <c r="R1485" t="s">
        <v>67</v>
      </c>
      <c r="S1485">
        <v>140000000</v>
      </c>
      <c r="T1485">
        <v>58451944.159999996</v>
      </c>
      <c r="U1485" t="s">
        <v>68</v>
      </c>
      <c r="V1485" t="s">
        <v>4547</v>
      </c>
      <c r="W1485" s="9">
        <v>60603946</v>
      </c>
      <c r="X1485" t="s">
        <v>4551</v>
      </c>
      <c r="Y1485" s="1">
        <v>45779</v>
      </c>
      <c r="Z1485" s="1">
        <v>45779</v>
      </c>
      <c r="AA1485" s="2">
        <v>-5000000</v>
      </c>
      <c r="AB1485" s="2">
        <v>-5000000</v>
      </c>
      <c r="AC1485" s="2">
        <v>0</v>
      </c>
      <c r="AD1485" s="2">
        <v>-5000000</v>
      </c>
      <c r="AE1485" t="s">
        <v>4551</v>
      </c>
      <c r="AF1485" t="s">
        <v>72</v>
      </c>
      <c r="AG1485">
        <v>299</v>
      </c>
      <c r="AH1485" t="s">
        <v>101</v>
      </c>
      <c r="AI1485" t="s">
        <v>74</v>
      </c>
      <c r="AJ1485" t="s">
        <v>75</v>
      </c>
      <c r="AK1485" t="s">
        <v>102</v>
      </c>
      <c r="AL1485" t="s">
        <v>77</v>
      </c>
      <c r="AM1485" t="s">
        <v>103</v>
      </c>
      <c r="AN1485" t="s">
        <v>104</v>
      </c>
      <c r="AO1485" t="s">
        <v>80</v>
      </c>
      <c r="AP1485" t="e">
        <v>#N/A</v>
      </c>
      <c r="AQ1485" t="s">
        <v>105</v>
      </c>
      <c r="AR1485" t="str">
        <f t="shared" si="46"/>
        <v>60603946.STATEQ</v>
      </c>
      <c r="AS1485">
        <f t="shared" si="47"/>
        <v>-48089590.75</v>
      </c>
      <c r="AT1485" t="s">
        <v>93</v>
      </c>
    </row>
    <row r="1486" spans="1:46" x14ac:dyDescent="0.35">
      <c r="A1486" t="s">
        <v>52</v>
      </c>
      <c r="B1486" t="s">
        <v>53</v>
      </c>
      <c r="C1486" t="s">
        <v>54</v>
      </c>
      <c r="D1486" t="s">
        <v>55</v>
      </c>
      <c r="E1486" t="s">
        <v>56</v>
      </c>
      <c r="F1486" t="s">
        <v>4549</v>
      </c>
      <c r="G1486" t="s">
        <v>56</v>
      </c>
      <c r="H1486" t="s">
        <v>56</v>
      </c>
      <c r="I1486" t="s">
        <v>4552</v>
      </c>
      <c r="J1486" t="s">
        <v>61</v>
      </c>
      <c r="K1486" t="s">
        <v>640</v>
      </c>
      <c r="L1486" t="s">
        <v>56</v>
      </c>
      <c r="M1486" t="s">
        <v>56</v>
      </c>
      <c r="N1486" t="s">
        <v>56</v>
      </c>
      <c r="O1486" t="s">
        <v>3285</v>
      </c>
      <c r="P1486" t="s">
        <v>3286</v>
      </c>
      <c r="Q1486" t="s">
        <v>87</v>
      </c>
      <c r="R1486" t="s">
        <v>67</v>
      </c>
      <c r="S1486">
        <v>140000000</v>
      </c>
      <c r="T1486">
        <v>58451944.159999996</v>
      </c>
      <c r="U1486" t="s">
        <v>68</v>
      </c>
      <c r="V1486" t="s">
        <v>4547</v>
      </c>
      <c r="W1486" s="9">
        <v>60603946</v>
      </c>
      <c r="X1486" t="s">
        <v>4553</v>
      </c>
      <c r="Y1486" s="1">
        <v>45861</v>
      </c>
      <c r="Z1486" s="1">
        <v>45861</v>
      </c>
      <c r="AA1486" s="2">
        <v>-2500000</v>
      </c>
      <c r="AB1486" s="2">
        <v>-2500000</v>
      </c>
      <c r="AC1486" s="2">
        <v>0</v>
      </c>
      <c r="AD1486" s="2">
        <v>-2500000</v>
      </c>
      <c r="AE1486" t="s">
        <v>4553</v>
      </c>
      <c r="AF1486" t="s">
        <v>72</v>
      </c>
      <c r="AG1486">
        <v>217</v>
      </c>
      <c r="AH1486" t="s">
        <v>101</v>
      </c>
      <c r="AI1486" t="s">
        <v>74</v>
      </c>
      <c r="AJ1486" t="s">
        <v>75</v>
      </c>
      <c r="AK1486" t="s">
        <v>102</v>
      </c>
      <c r="AL1486" t="s">
        <v>77</v>
      </c>
      <c r="AM1486" t="s">
        <v>103</v>
      </c>
      <c r="AN1486" t="s">
        <v>104</v>
      </c>
      <c r="AO1486" t="s">
        <v>80</v>
      </c>
      <c r="AP1486" t="e">
        <v>#N/A</v>
      </c>
      <c r="AQ1486" t="s">
        <v>105</v>
      </c>
      <c r="AR1486" t="str">
        <f t="shared" si="46"/>
        <v>60603946.STATEQ</v>
      </c>
      <c r="AS1486">
        <f t="shared" si="47"/>
        <v>-48089590.75</v>
      </c>
      <c r="AT1486" t="s">
        <v>93</v>
      </c>
    </row>
    <row r="1487" spans="1:46" x14ac:dyDescent="0.35">
      <c r="A1487" t="s">
        <v>52</v>
      </c>
      <c r="B1487" t="s">
        <v>53</v>
      </c>
      <c r="C1487" t="s">
        <v>54</v>
      </c>
      <c r="D1487" t="s">
        <v>55</v>
      </c>
      <c r="E1487" t="s">
        <v>56</v>
      </c>
      <c r="F1487" t="s">
        <v>4549</v>
      </c>
      <c r="G1487" t="s">
        <v>56</v>
      </c>
      <c r="H1487" t="s">
        <v>56</v>
      </c>
      <c r="I1487" t="s">
        <v>4554</v>
      </c>
      <c r="J1487" t="s">
        <v>61</v>
      </c>
      <c r="K1487" t="s">
        <v>640</v>
      </c>
      <c r="L1487" t="s">
        <v>56</v>
      </c>
      <c r="M1487" t="s">
        <v>56</v>
      </c>
      <c r="N1487" t="s">
        <v>56</v>
      </c>
      <c r="O1487" t="s">
        <v>3285</v>
      </c>
      <c r="P1487" t="s">
        <v>3286</v>
      </c>
      <c r="Q1487" t="s">
        <v>87</v>
      </c>
      <c r="R1487" t="s">
        <v>67</v>
      </c>
      <c r="S1487">
        <v>140000000</v>
      </c>
      <c r="T1487">
        <v>58451944.159999996</v>
      </c>
      <c r="U1487" t="s">
        <v>68</v>
      </c>
      <c r="V1487" t="s">
        <v>4547</v>
      </c>
      <c r="W1487" s="9">
        <v>60603946</v>
      </c>
      <c r="X1487" t="s">
        <v>4555</v>
      </c>
      <c r="Y1487" s="1">
        <v>45874</v>
      </c>
      <c r="Z1487" s="1">
        <v>45874</v>
      </c>
      <c r="AA1487" s="2">
        <v>-310059.18</v>
      </c>
      <c r="AB1487" s="2">
        <v>-310059.18</v>
      </c>
      <c r="AC1487" s="2">
        <v>0</v>
      </c>
      <c r="AD1487" s="2">
        <v>-129733.29</v>
      </c>
      <c r="AE1487" t="s">
        <v>4555</v>
      </c>
      <c r="AF1487" t="s">
        <v>72</v>
      </c>
      <c r="AG1487">
        <v>204</v>
      </c>
      <c r="AH1487" t="s">
        <v>101</v>
      </c>
      <c r="AI1487" t="s">
        <v>74</v>
      </c>
      <c r="AJ1487" t="s">
        <v>75</v>
      </c>
      <c r="AK1487" t="s">
        <v>102</v>
      </c>
      <c r="AL1487" t="s">
        <v>77</v>
      </c>
      <c r="AM1487" t="s">
        <v>103</v>
      </c>
      <c r="AN1487" t="s">
        <v>104</v>
      </c>
      <c r="AO1487" t="s">
        <v>80</v>
      </c>
      <c r="AP1487" t="e">
        <v>#N/A</v>
      </c>
      <c r="AQ1487" t="s">
        <v>105</v>
      </c>
      <c r="AR1487" t="str">
        <f t="shared" si="46"/>
        <v>60603946.STATEQ</v>
      </c>
      <c r="AS1487">
        <f t="shared" si="47"/>
        <v>-48089590.75</v>
      </c>
      <c r="AT1487" t="s">
        <v>93</v>
      </c>
    </row>
    <row r="1488" spans="1:46" x14ac:dyDescent="0.35">
      <c r="A1488" t="s">
        <v>52</v>
      </c>
      <c r="B1488" t="s">
        <v>53</v>
      </c>
      <c r="C1488" t="s">
        <v>54</v>
      </c>
      <c r="D1488" t="s">
        <v>55</v>
      </c>
      <c r="E1488" t="s">
        <v>56</v>
      </c>
      <c r="F1488" t="s">
        <v>4549</v>
      </c>
      <c r="G1488" t="s">
        <v>56</v>
      </c>
      <c r="H1488" t="s">
        <v>56</v>
      </c>
      <c r="I1488" t="s">
        <v>4556</v>
      </c>
      <c r="J1488" t="s">
        <v>61</v>
      </c>
      <c r="K1488" t="s">
        <v>640</v>
      </c>
      <c r="L1488" t="s">
        <v>56</v>
      </c>
      <c r="M1488" t="s">
        <v>56</v>
      </c>
      <c r="N1488" t="s">
        <v>56</v>
      </c>
      <c r="O1488" t="s">
        <v>3285</v>
      </c>
      <c r="P1488" t="s">
        <v>3286</v>
      </c>
      <c r="Q1488" t="s">
        <v>87</v>
      </c>
      <c r="R1488" t="s">
        <v>67</v>
      </c>
      <c r="S1488">
        <v>140000000</v>
      </c>
      <c r="T1488">
        <v>58451944.159999996</v>
      </c>
      <c r="U1488" t="s">
        <v>68</v>
      </c>
      <c r="V1488" t="s">
        <v>4547</v>
      </c>
      <c r="W1488" s="9">
        <v>60603946</v>
      </c>
      <c r="X1488" t="s">
        <v>4557</v>
      </c>
      <c r="Y1488" s="1">
        <v>45992</v>
      </c>
      <c r="Z1488" s="1">
        <v>45992</v>
      </c>
      <c r="AA1488" s="2">
        <v>-39847900.259999998</v>
      </c>
      <c r="AB1488" s="2">
        <v>-39847900.259999998</v>
      </c>
      <c r="AC1488" s="2">
        <v>0</v>
      </c>
      <c r="AD1488" s="2">
        <v>-1429434.75</v>
      </c>
      <c r="AE1488" t="s">
        <v>4557</v>
      </c>
      <c r="AF1488" t="s">
        <v>72</v>
      </c>
      <c r="AG1488">
        <v>86</v>
      </c>
      <c r="AH1488" t="s">
        <v>260</v>
      </c>
      <c r="AI1488" t="s">
        <v>74</v>
      </c>
      <c r="AJ1488" t="s">
        <v>75</v>
      </c>
      <c r="AK1488" t="s">
        <v>102</v>
      </c>
      <c r="AL1488" t="s">
        <v>77</v>
      </c>
      <c r="AM1488" t="s">
        <v>103</v>
      </c>
      <c r="AN1488" t="s">
        <v>104</v>
      </c>
      <c r="AO1488" t="s">
        <v>80</v>
      </c>
      <c r="AP1488" t="e">
        <v>#N/A</v>
      </c>
      <c r="AQ1488" t="s">
        <v>105</v>
      </c>
      <c r="AR1488" t="str">
        <f t="shared" si="46"/>
        <v>60603946.STATEQ</v>
      </c>
      <c r="AS1488">
        <f t="shared" si="47"/>
        <v>-48089590.75</v>
      </c>
      <c r="AT1488" t="s">
        <v>93</v>
      </c>
    </row>
    <row r="1489" spans="1:46" x14ac:dyDescent="0.35">
      <c r="A1489" t="s">
        <v>52</v>
      </c>
      <c r="B1489" t="s">
        <v>53</v>
      </c>
      <c r="C1489" t="s">
        <v>54</v>
      </c>
      <c r="D1489" t="s">
        <v>55</v>
      </c>
      <c r="E1489" t="s">
        <v>56</v>
      </c>
      <c r="F1489" t="s">
        <v>4549</v>
      </c>
      <c r="G1489" t="s">
        <v>56</v>
      </c>
      <c r="H1489" t="s">
        <v>56</v>
      </c>
      <c r="I1489" t="s">
        <v>4558</v>
      </c>
      <c r="J1489" t="s">
        <v>61</v>
      </c>
      <c r="K1489" t="s">
        <v>640</v>
      </c>
      <c r="L1489" t="s">
        <v>56</v>
      </c>
      <c r="M1489" t="s">
        <v>56</v>
      </c>
      <c r="N1489" t="s">
        <v>56</v>
      </c>
      <c r="O1489" t="s">
        <v>3285</v>
      </c>
      <c r="P1489" t="s">
        <v>3286</v>
      </c>
      <c r="Q1489" t="s">
        <v>87</v>
      </c>
      <c r="R1489" t="s">
        <v>67</v>
      </c>
      <c r="S1489">
        <v>140000000</v>
      </c>
      <c r="T1489">
        <v>58451944.159999996</v>
      </c>
      <c r="U1489" t="s">
        <v>68</v>
      </c>
      <c r="V1489" t="s">
        <v>4547</v>
      </c>
      <c r="W1489" s="9">
        <v>60603946</v>
      </c>
      <c r="X1489" t="s">
        <v>4559</v>
      </c>
      <c r="Y1489" s="1">
        <v>46023</v>
      </c>
      <c r="Z1489" s="1">
        <v>46023</v>
      </c>
      <c r="AA1489" s="2">
        <v>-10000000</v>
      </c>
      <c r="AB1489" s="2">
        <v>-10000000</v>
      </c>
      <c r="AC1489" s="2">
        <v>0</v>
      </c>
      <c r="AD1489" s="2">
        <v>-10000000</v>
      </c>
      <c r="AE1489" t="s">
        <v>4559</v>
      </c>
      <c r="AF1489" t="s">
        <v>72</v>
      </c>
      <c r="AG1489">
        <v>55</v>
      </c>
      <c r="AH1489" t="s">
        <v>236</v>
      </c>
      <c r="AI1489" t="s">
        <v>74</v>
      </c>
      <c r="AJ1489" t="s">
        <v>75</v>
      </c>
      <c r="AK1489" t="s">
        <v>102</v>
      </c>
      <c r="AL1489" t="s">
        <v>77</v>
      </c>
      <c r="AM1489" t="s">
        <v>103</v>
      </c>
      <c r="AN1489" t="s">
        <v>104</v>
      </c>
      <c r="AO1489" t="s">
        <v>80</v>
      </c>
      <c r="AP1489" t="e">
        <v>#N/A</v>
      </c>
      <c r="AQ1489" t="s">
        <v>105</v>
      </c>
      <c r="AR1489" t="str">
        <f t="shared" si="46"/>
        <v>60603946.STATEQ</v>
      </c>
      <c r="AS1489">
        <f t="shared" si="47"/>
        <v>-48089590.75</v>
      </c>
      <c r="AT1489" t="s">
        <v>93</v>
      </c>
    </row>
    <row r="1490" spans="1:46" x14ac:dyDescent="0.35">
      <c r="A1490" t="s">
        <v>52</v>
      </c>
      <c r="B1490" t="s">
        <v>53</v>
      </c>
      <c r="C1490" t="s">
        <v>54</v>
      </c>
      <c r="D1490" t="s">
        <v>55</v>
      </c>
      <c r="E1490" t="s">
        <v>56</v>
      </c>
      <c r="F1490" t="s">
        <v>4549</v>
      </c>
      <c r="G1490" t="s">
        <v>56</v>
      </c>
      <c r="H1490" t="s">
        <v>56</v>
      </c>
      <c r="I1490" t="s">
        <v>4560</v>
      </c>
      <c r="J1490" t="s">
        <v>61</v>
      </c>
      <c r="K1490" t="s">
        <v>640</v>
      </c>
      <c r="L1490" t="s">
        <v>56</v>
      </c>
      <c r="M1490" t="s">
        <v>56</v>
      </c>
      <c r="N1490" t="s">
        <v>56</v>
      </c>
      <c r="O1490" t="s">
        <v>3285</v>
      </c>
      <c r="P1490" t="s">
        <v>3286</v>
      </c>
      <c r="Q1490" t="s">
        <v>87</v>
      </c>
      <c r="R1490" t="s">
        <v>67</v>
      </c>
      <c r="S1490">
        <v>140000000</v>
      </c>
      <c r="T1490">
        <v>58451944.159999996</v>
      </c>
      <c r="U1490" t="s">
        <v>68</v>
      </c>
      <c r="V1490" t="s">
        <v>4547</v>
      </c>
      <c r="W1490" s="9">
        <v>60603946</v>
      </c>
      <c r="X1490" t="s">
        <v>4561</v>
      </c>
      <c r="Y1490" s="1">
        <v>46023</v>
      </c>
      <c r="Z1490" s="1">
        <v>46023</v>
      </c>
      <c r="AA1490" s="2">
        <v>-10000000</v>
      </c>
      <c r="AB1490" s="2">
        <v>-10000000</v>
      </c>
      <c r="AC1490" s="2">
        <v>0</v>
      </c>
      <c r="AD1490" s="2">
        <v>-10000000</v>
      </c>
      <c r="AE1490" t="s">
        <v>4561</v>
      </c>
      <c r="AF1490" t="s">
        <v>72</v>
      </c>
      <c r="AG1490">
        <v>55</v>
      </c>
      <c r="AH1490" t="s">
        <v>236</v>
      </c>
      <c r="AI1490" t="s">
        <v>74</v>
      </c>
      <c r="AJ1490" t="s">
        <v>75</v>
      </c>
      <c r="AK1490" t="s">
        <v>102</v>
      </c>
      <c r="AL1490" t="s">
        <v>77</v>
      </c>
      <c r="AM1490" t="s">
        <v>103</v>
      </c>
      <c r="AN1490" t="s">
        <v>104</v>
      </c>
      <c r="AO1490" t="s">
        <v>80</v>
      </c>
      <c r="AP1490" t="e">
        <v>#N/A</v>
      </c>
      <c r="AQ1490" t="s">
        <v>105</v>
      </c>
      <c r="AR1490" t="str">
        <f t="shared" si="46"/>
        <v>60603946.STATEQ</v>
      </c>
      <c r="AS1490">
        <f t="shared" si="47"/>
        <v>-48089590.75</v>
      </c>
      <c r="AT1490" t="s">
        <v>93</v>
      </c>
    </row>
    <row r="1491" spans="1:46" x14ac:dyDescent="0.35">
      <c r="A1491" t="s">
        <v>52</v>
      </c>
      <c r="B1491" t="s">
        <v>53</v>
      </c>
      <c r="C1491" t="s">
        <v>54</v>
      </c>
      <c r="D1491" t="s">
        <v>55</v>
      </c>
      <c r="E1491" t="s">
        <v>56</v>
      </c>
      <c r="F1491" t="s">
        <v>4549</v>
      </c>
      <c r="G1491" t="s">
        <v>56</v>
      </c>
      <c r="H1491" t="s">
        <v>56</v>
      </c>
      <c r="I1491" t="s">
        <v>4562</v>
      </c>
      <c r="J1491" t="s">
        <v>61</v>
      </c>
      <c r="K1491" t="s">
        <v>640</v>
      </c>
      <c r="L1491" t="s">
        <v>56</v>
      </c>
      <c r="M1491" t="s">
        <v>56</v>
      </c>
      <c r="N1491" t="s">
        <v>56</v>
      </c>
      <c r="O1491" t="s">
        <v>3285</v>
      </c>
      <c r="P1491" t="s">
        <v>3286</v>
      </c>
      <c r="Q1491" t="s">
        <v>87</v>
      </c>
      <c r="R1491" t="s">
        <v>67</v>
      </c>
      <c r="S1491">
        <v>140000000</v>
      </c>
      <c r="T1491">
        <v>58451944.159999996</v>
      </c>
      <c r="U1491" t="s">
        <v>68</v>
      </c>
      <c r="V1491" t="s">
        <v>4547</v>
      </c>
      <c r="W1491" s="9">
        <v>60603946</v>
      </c>
      <c r="X1491" t="s">
        <v>4563</v>
      </c>
      <c r="Y1491" s="1">
        <v>46023</v>
      </c>
      <c r="Z1491" s="1">
        <v>46023</v>
      </c>
      <c r="AA1491" s="2">
        <v>-10000000</v>
      </c>
      <c r="AB1491" s="2">
        <v>-10000000</v>
      </c>
      <c r="AC1491" s="2">
        <v>0</v>
      </c>
      <c r="AD1491" s="2">
        <v>-10000000</v>
      </c>
      <c r="AE1491" t="s">
        <v>4563</v>
      </c>
      <c r="AF1491" t="s">
        <v>72</v>
      </c>
      <c r="AG1491">
        <v>55</v>
      </c>
      <c r="AH1491" t="s">
        <v>236</v>
      </c>
      <c r="AI1491" t="s">
        <v>74</v>
      </c>
      <c r="AJ1491" t="s">
        <v>75</v>
      </c>
      <c r="AK1491" t="s">
        <v>102</v>
      </c>
      <c r="AL1491" t="s">
        <v>77</v>
      </c>
      <c r="AM1491" t="s">
        <v>103</v>
      </c>
      <c r="AN1491" t="s">
        <v>104</v>
      </c>
      <c r="AO1491" t="s">
        <v>80</v>
      </c>
      <c r="AP1491" t="e">
        <v>#N/A</v>
      </c>
      <c r="AQ1491" t="s">
        <v>105</v>
      </c>
      <c r="AR1491" t="str">
        <f t="shared" si="46"/>
        <v>60603946.STATEQ</v>
      </c>
      <c r="AS1491">
        <f t="shared" si="47"/>
        <v>-48089590.75</v>
      </c>
      <c r="AT1491" t="s">
        <v>93</v>
      </c>
    </row>
    <row r="1492" spans="1:46" x14ac:dyDescent="0.35">
      <c r="A1492" t="s">
        <v>52</v>
      </c>
      <c r="B1492" t="s">
        <v>53</v>
      </c>
      <c r="C1492" t="s">
        <v>54</v>
      </c>
      <c r="D1492" t="s">
        <v>55</v>
      </c>
      <c r="E1492" t="s">
        <v>56</v>
      </c>
      <c r="F1492" t="s">
        <v>4549</v>
      </c>
      <c r="G1492" t="s">
        <v>4564</v>
      </c>
      <c r="H1492" t="s">
        <v>153</v>
      </c>
      <c r="I1492" t="s">
        <v>4565</v>
      </c>
      <c r="J1492" t="s">
        <v>56</v>
      </c>
      <c r="K1492" t="s">
        <v>640</v>
      </c>
      <c r="L1492" t="s">
        <v>56</v>
      </c>
      <c r="M1492" t="s">
        <v>56</v>
      </c>
      <c r="N1492" t="s">
        <v>593</v>
      </c>
      <c r="O1492" t="s">
        <v>3285</v>
      </c>
      <c r="P1492" t="s">
        <v>3286</v>
      </c>
      <c r="Q1492" t="s">
        <v>4566</v>
      </c>
      <c r="R1492" t="s">
        <v>67</v>
      </c>
      <c r="S1492">
        <v>140000000</v>
      </c>
      <c r="T1492">
        <v>58451944.159999996</v>
      </c>
      <c r="U1492" t="s">
        <v>68</v>
      </c>
      <c r="V1492" t="s">
        <v>4547</v>
      </c>
      <c r="W1492" s="9">
        <v>60603946</v>
      </c>
      <c r="X1492" t="s">
        <v>4567</v>
      </c>
      <c r="Y1492" s="1">
        <v>46038</v>
      </c>
      <c r="Z1492" s="1">
        <v>46068</v>
      </c>
      <c r="AA1492" s="2">
        <v>619942.89</v>
      </c>
      <c r="AB1492" s="2">
        <v>525375.32999999996</v>
      </c>
      <c r="AC1492" s="2">
        <v>94567.56</v>
      </c>
      <c r="AD1492" s="2">
        <v>619942.89</v>
      </c>
      <c r="AE1492" t="s">
        <v>4568</v>
      </c>
      <c r="AF1492" t="s">
        <v>72</v>
      </c>
      <c r="AG1492">
        <v>10</v>
      </c>
      <c r="AH1492" t="s">
        <v>73</v>
      </c>
      <c r="AI1492" t="s">
        <v>74</v>
      </c>
      <c r="AJ1492" t="s">
        <v>75</v>
      </c>
      <c r="AK1492" t="s">
        <v>102</v>
      </c>
      <c r="AL1492" t="s">
        <v>77</v>
      </c>
      <c r="AM1492" t="s">
        <v>103</v>
      </c>
      <c r="AN1492" t="s">
        <v>104</v>
      </c>
      <c r="AO1492" t="s">
        <v>80</v>
      </c>
      <c r="AP1492" t="e">
        <v>#N/A</v>
      </c>
      <c r="AQ1492" t="s">
        <v>105</v>
      </c>
      <c r="AR1492" t="str">
        <f t="shared" si="46"/>
        <v>60603946.STATEQ</v>
      </c>
      <c r="AS1492">
        <f t="shared" si="47"/>
        <v>-48089590.75</v>
      </c>
      <c r="AT1492" t="s">
        <v>93</v>
      </c>
    </row>
    <row r="1493" spans="1:46" x14ac:dyDescent="0.35">
      <c r="A1493" t="s">
        <v>52</v>
      </c>
      <c r="B1493" t="s">
        <v>53</v>
      </c>
      <c r="C1493" t="s">
        <v>54</v>
      </c>
      <c r="D1493" t="s">
        <v>55</v>
      </c>
      <c r="E1493" t="s">
        <v>56</v>
      </c>
      <c r="F1493" t="s">
        <v>4549</v>
      </c>
      <c r="G1493" t="s">
        <v>4564</v>
      </c>
      <c r="H1493" t="s">
        <v>153</v>
      </c>
      <c r="I1493" t="s">
        <v>4565</v>
      </c>
      <c r="J1493" t="s">
        <v>56</v>
      </c>
      <c r="K1493" t="s">
        <v>640</v>
      </c>
      <c r="L1493" t="s">
        <v>56</v>
      </c>
      <c r="M1493" t="s">
        <v>56</v>
      </c>
      <c r="N1493" t="s">
        <v>155</v>
      </c>
      <c r="O1493" t="s">
        <v>3285</v>
      </c>
      <c r="P1493" t="s">
        <v>3286</v>
      </c>
      <c r="Q1493" t="s">
        <v>4566</v>
      </c>
      <c r="R1493" t="s">
        <v>67</v>
      </c>
      <c r="S1493">
        <v>140000000</v>
      </c>
      <c r="T1493">
        <v>58451944.159999996</v>
      </c>
      <c r="U1493" t="s">
        <v>68</v>
      </c>
      <c r="V1493" t="s">
        <v>4547</v>
      </c>
      <c r="W1493" s="9">
        <v>60603946</v>
      </c>
      <c r="X1493" t="s">
        <v>4567</v>
      </c>
      <c r="Y1493" s="1">
        <v>46038</v>
      </c>
      <c r="Z1493" s="1">
        <v>46068</v>
      </c>
      <c r="AA1493" s="2">
        <v>1239885.79</v>
      </c>
      <c r="AB1493" s="2">
        <v>1050750.67</v>
      </c>
      <c r="AC1493" s="2">
        <v>189135.12</v>
      </c>
      <c r="AD1493" s="2">
        <v>1239885.79</v>
      </c>
      <c r="AE1493" t="s">
        <v>4569</v>
      </c>
      <c r="AF1493" t="s">
        <v>72</v>
      </c>
      <c r="AG1493">
        <v>10</v>
      </c>
      <c r="AH1493" t="s">
        <v>73</v>
      </c>
      <c r="AI1493" t="s">
        <v>74</v>
      </c>
      <c r="AJ1493" t="s">
        <v>75</v>
      </c>
      <c r="AK1493" t="s">
        <v>102</v>
      </c>
      <c r="AL1493" t="s">
        <v>77</v>
      </c>
      <c r="AM1493" t="s">
        <v>103</v>
      </c>
      <c r="AN1493" t="s">
        <v>104</v>
      </c>
      <c r="AO1493" t="s">
        <v>80</v>
      </c>
      <c r="AP1493" t="e">
        <v>#N/A</v>
      </c>
      <c r="AQ1493" t="s">
        <v>105</v>
      </c>
      <c r="AR1493" t="str">
        <f t="shared" si="46"/>
        <v>60603946.STATEQ</v>
      </c>
      <c r="AS1493">
        <f t="shared" si="47"/>
        <v>-48089590.75</v>
      </c>
      <c r="AT1493" t="s">
        <v>93</v>
      </c>
    </row>
    <row r="1494" spans="1:46" x14ac:dyDescent="0.35">
      <c r="A1494" t="s">
        <v>52</v>
      </c>
      <c r="B1494" t="s">
        <v>53</v>
      </c>
      <c r="C1494" t="s">
        <v>54</v>
      </c>
      <c r="D1494" t="s">
        <v>55</v>
      </c>
      <c r="E1494" t="s">
        <v>56</v>
      </c>
      <c r="F1494" t="s">
        <v>4549</v>
      </c>
      <c r="G1494" t="s">
        <v>4564</v>
      </c>
      <c r="H1494" t="s">
        <v>111</v>
      </c>
      <c r="I1494" t="s">
        <v>4570</v>
      </c>
      <c r="J1494" t="s">
        <v>56</v>
      </c>
      <c r="K1494" t="s">
        <v>640</v>
      </c>
      <c r="L1494" t="s">
        <v>56</v>
      </c>
      <c r="M1494" t="s">
        <v>56</v>
      </c>
      <c r="N1494" t="s">
        <v>124</v>
      </c>
      <c r="O1494" t="s">
        <v>3285</v>
      </c>
      <c r="P1494" t="s">
        <v>3286</v>
      </c>
      <c r="Q1494" t="s">
        <v>4566</v>
      </c>
      <c r="R1494" t="s">
        <v>67</v>
      </c>
      <c r="S1494">
        <v>140000000</v>
      </c>
      <c r="T1494">
        <v>58451944.159999996</v>
      </c>
      <c r="U1494" t="s">
        <v>68</v>
      </c>
      <c r="V1494" t="s">
        <v>4547</v>
      </c>
      <c r="W1494" s="9">
        <v>60603946</v>
      </c>
      <c r="X1494" t="s">
        <v>4571</v>
      </c>
      <c r="Y1494" s="1">
        <v>46050</v>
      </c>
      <c r="Z1494" s="1">
        <v>46080</v>
      </c>
      <c r="AA1494" s="2">
        <v>4572156.62</v>
      </c>
      <c r="AB1494" s="2">
        <v>3874709</v>
      </c>
      <c r="AC1494" s="2">
        <v>697447.62</v>
      </c>
      <c r="AD1494" s="2">
        <v>4572156.62</v>
      </c>
      <c r="AE1494" t="s">
        <v>4572</v>
      </c>
      <c r="AF1494" t="s">
        <v>72</v>
      </c>
      <c r="AG1494">
        <v>-2</v>
      </c>
      <c r="AH1494" t="s">
        <v>117</v>
      </c>
      <c r="AI1494" t="s">
        <v>74</v>
      </c>
      <c r="AJ1494" t="s">
        <v>127</v>
      </c>
      <c r="AK1494" t="s">
        <v>128</v>
      </c>
      <c r="AL1494" t="s">
        <v>77</v>
      </c>
      <c r="AM1494" t="s">
        <v>103</v>
      </c>
      <c r="AN1494" t="s">
        <v>104</v>
      </c>
      <c r="AO1494" t="s">
        <v>119</v>
      </c>
      <c r="AP1494" t="e">
        <v>#N/A</v>
      </c>
      <c r="AQ1494" t="s">
        <v>129</v>
      </c>
      <c r="AR1494" t="str">
        <f t="shared" si="46"/>
        <v>60603946.SPMINEQ</v>
      </c>
      <c r="AS1494">
        <f t="shared" si="47"/>
        <v>10250354.07</v>
      </c>
      <c r="AT1494" t="s">
        <v>82</v>
      </c>
    </row>
    <row r="1495" spans="1:46" x14ac:dyDescent="0.35">
      <c r="A1495" t="s">
        <v>52</v>
      </c>
      <c r="B1495" t="s">
        <v>53</v>
      </c>
      <c r="C1495" t="s">
        <v>54</v>
      </c>
      <c r="D1495" t="s">
        <v>55</v>
      </c>
      <c r="E1495" t="s">
        <v>56</v>
      </c>
      <c r="F1495" t="s">
        <v>4549</v>
      </c>
      <c r="G1495" t="s">
        <v>56</v>
      </c>
      <c r="H1495" t="s">
        <v>56</v>
      </c>
      <c r="I1495" t="s">
        <v>4573</v>
      </c>
      <c r="J1495" t="s">
        <v>61</v>
      </c>
      <c r="K1495" t="s">
        <v>640</v>
      </c>
      <c r="L1495" t="s">
        <v>56</v>
      </c>
      <c r="M1495" t="s">
        <v>56</v>
      </c>
      <c r="N1495" t="s">
        <v>56</v>
      </c>
      <c r="O1495" t="s">
        <v>3285</v>
      </c>
      <c r="P1495" t="s">
        <v>3286</v>
      </c>
      <c r="Q1495" t="s">
        <v>87</v>
      </c>
      <c r="R1495" t="s">
        <v>67</v>
      </c>
      <c r="S1495">
        <v>140000000</v>
      </c>
      <c r="T1495">
        <v>58451944.159999996</v>
      </c>
      <c r="U1495" t="s">
        <v>68</v>
      </c>
      <c r="V1495" t="s">
        <v>4547</v>
      </c>
      <c r="W1495" s="9">
        <v>60603946</v>
      </c>
      <c r="X1495" t="s">
        <v>4574</v>
      </c>
      <c r="Y1495" s="1">
        <v>46066</v>
      </c>
      <c r="Z1495" s="1">
        <v>46066</v>
      </c>
      <c r="AA1495" s="2">
        <v>-6227464</v>
      </c>
      <c r="AB1495" s="2">
        <v>-6227464</v>
      </c>
      <c r="AC1495" s="2">
        <v>0</v>
      </c>
      <c r="AD1495" s="2">
        <v>-6227464</v>
      </c>
      <c r="AE1495" t="s">
        <v>4574</v>
      </c>
      <c r="AF1495" t="s">
        <v>72</v>
      </c>
      <c r="AG1495">
        <v>12</v>
      </c>
      <c r="AH1495" t="s">
        <v>73</v>
      </c>
      <c r="AI1495" t="s">
        <v>74</v>
      </c>
      <c r="AJ1495" t="s">
        <v>75</v>
      </c>
      <c r="AK1495" t="s">
        <v>102</v>
      </c>
      <c r="AL1495" t="s">
        <v>77</v>
      </c>
      <c r="AM1495" t="s">
        <v>103</v>
      </c>
      <c r="AN1495" t="s">
        <v>104</v>
      </c>
      <c r="AO1495" t="s">
        <v>80</v>
      </c>
      <c r="AP1495" t="e">
        <v>#N/A</v>
      </c>
      <c r="AQ1495" t="s">
        <v>105</v>
      </c>
      <c r="AR1495" t="str">
        <f t="shared" si="46"/>
        <v>60603946.STATEQ</v>
      </c>
      <c r="AS1495">
        <f t="shared" si="47"/>
        <v>-48089590.75</v>
      </c>
      <c r="AT1495" t="s">
        <v>93</v>
      </c>
    </row>
    <row r="1496" spans="1:46" x14ac:dyDescent="0.35">
      <c r="A1496" t="s">
        <v>52</v>
      </c>
      <c r="B1496" t="s">
        <v>53</v>
      </c>
      <c r="C1496" t="s">
        <v>54</v>
      </c>
      <c r="D1496" t="s">
        <v>55</v>
      </c>
      <c r="E1496" t="s">
        <v>56</v>
      </c>
      <c r="F1496" t="s">
        <v>4549</v>
      </c>
      <c r="G1496" t="s">
        <v>56</v>
      </c>
      <c r="H1496" t="s">
        <v>56</v>
      </c>
      <c r="I1496" t="s">
        <v>4575</v>
      </c>
      <c r="J1496" t="s">
        <v>61</v>
      </c>
      <c r="K1496" t="s">
        <v>640</v>
      </c>
      <c r="L1496" t="s">
        <v>56</v>
      </c>
      <c r="M1496" t="s">
        <v>56</v>
      </c>
      <c r="N1496" t="s">
        <v>56</v>
      </c>
      <c r="O1496" t="s">
        <v>3285</v>
      </c>
      <c r="P1496" t="s">
        <v>3286</v>
      </c>
      <c r="Q1496" t="s">
        <v>87</v>
      </c>
      <c r="R1496" t="s">
        <v>67</v>
      </c>
      <c r="S1496">
        <v>140000000</v>
      </c>
      <c r="T1496">
        <v>58451944.159999996</v>
      </c>
      <c r="U1496" t="s">
        <v>68</v>
      </c>
      <c r="V1496" t="s">
        <v>4547</v>
      </c>
      <c r="W1496" s="9">
        <v>60603946</v>
      </c>
      <c r="X1496" t="s">
        <v>4576</v>
      </c>
      <c r="Y1496" s="1">
        <v>46066</v>
      </c>
      <c r="Z1496" s="1">
        <v>46066</v>
      </c>
      <c r="AA1496" s="2">
        <v>-4572157</v>
      </c>
      <c r="AB1496" s="2">
        <v>-4572157</v>
      </c>
      <c r="AC1496" s="2">
        <v>0</v>
      </c>
      <c r="AD1496" s="2">
        <v>-4572157</v>
      </c>
      <c r="AE1496" t="s">
        <v>4576</v>
      </c>
      <c r="AF1496" t="s">
        <v>72</v>
      </c>
      <c r="AG1496">
        <v>12</v>
      </c>
      <c r="AH1496" t="s">
        <v>73</v>
      </c>
      <c r="AI1496" t="s">
        <v>74</v>
      </c>
      <c r="AJ1496" t="s">
        <v>75</v>
      </c>
      <c r="AK1496" t="s">
        <v>102</v>
      </c>
      <c r="AL1496" t="s">
        <v>77</v>
      </c>
      <c r="AM1496" t="s">
        <v>103</v>
      </c>
      <c r="AN1496" t="s">
        <v>104</v>
      </c>
      <c r="AO1496" t="s">
        <v>80</v>
      </c>
      <c r="AP1496" t="e">
        <v>#N/A</v>
      </c>
      <c r="AQ1496" t="s">
        <v>105</v>
      </c>
      <c r="AR1496" t="str">
        <f t="shared" si="46"/>
        <v>60603946.STATEQ</v>
      </c>
      <c r="AS1496">
        <f t="shared" si="47"/>
        <v>-48089590.75</v>
      </c>
      <c r="AT1496" t="s">
        <v>93</v>
      </c>
    </row>
    <row r="1497" spans="1:46" x14ac:dyDescent="0.35">
      <c r="A1497" t="s">
        <v>52</v>
      </c>
      <c r="B1497" t="s">
        <v>53</v>
      </c>
      <c r="C1497" t="s">
        <v>54</v>
      </c>
      <c r="D1497" t="s">
        <v>55</v>
      </c>
      <c r="E1497" t="s">
        <v>56</v>
      </c>
      <c r="F1497" t="s">
        <v>4549</v>
      </c>
      <c r="G1497" t="s">
        <v>4564</v>
      </c>
      <c r="H1497" t="s">
        <v>111</v>
      </c>
      <c r="I1497" t="s">
        <v>4577</v>
      </c>
      <c r="J1497" t="s">
        <v>56</v>
      </c>
      <c r="K1497" t="s">
        <v>640</v>
      </c>
      <c r="L1497" t="s">
        <v>56</v>
      </c>
      <c r="M1497" t="s">
        <v>56</v>
      </c>
      <c r="N1497" t="s">
        <v>124</v>
      </c>
      <c r="O1497" t="s">
        <v>3285</v>
      </c>
      <c r="P1497" t="s">
        <v>3286</v>
      </c>
      <c r="Q1497" t="s">
        <v>4566</v>
      </c>
      <c r="R1497" t="s">
        <v>67</v>
      </c>
      <c r="S1497">
        <v>140000000</v>
      </c>
      <c r="T1497">
        <v>58451944.159999996</v>
      </c>
      <c r="U1497" t="s">
        <v>68</v>
      </c>
      <c r="V1497" t="s">
        <v>4547</v>
      </c>
      <c r="W1497" s="9">
        <v>60603946</v>
      </c>
      <c r="X1497" t="s">
        <v>4578</v>
      </c>
      <c r="Y1497" s="1">
        <v>46076</v>
      </c>
      <c r="Z1497" s="1">
        <v>46106</v>
      </c>
      <c r="AA1497" s="2">
        <v>5152025.1399999997</v>
      </c>
      <c r="AB1497" s="2">
        <v>4366123</v>
      </c>
      <c r="AC1497" s="2">
        <v>785902.14</v>
      </c>
      <c r="AD1497" s="2">
        <v>5152025.1399999997</v>
      </c>
      <c r="AE1497" t="s">
        <v>4579</v>
      </c>
      <c r="AF1497" t="s">
        <v>72</v>
      </c>
      <c r="AG1497">
        <v>-28</v>
      </c>
      <c r="AH1497" t="s">
        <v>117</v>
      </c>
      <c r="AI1497" t="s">
        <v>74</v>
      </c>
      <c r="AJ1497" t="s">
        <v>127</v>
      </c>
      <c r="AK1497" t="s">
        <v>128</v>
      </c>
      <c r="AL1497" t="s">
        <v>118</v>
      </c>
      <c r="AM1497" t="s">
        <v>103</v>
      </c>
      <c r="AN1497" t="s">
        <v>104</v>
      </c>
      <c r="AO1497" t="s">
        <v>119</v>
      </c>
      <c r="AP1497" t="e">
        <v>#N/A</v>
      </c>
      <c r="AQ1497" t="s">
        <v>129</v>
      </c>
      <c r="AR1497" t="str">
        <f t="shared" si="46"/>
        <v>60603946.SPMINEQ</v>
      </c>
      <c r="AS1497">
        <f t="shared" si="47"/>
        <v>10250354.07</v>
      </c>
      <c r="AT1497" t="s">
        <v>82</v>
      </c>
    </row>
    <row r="1498" spans="1:46" x14ac:dyDescent="0.35">
      <c r="A1498" t="s">
        <v>52</v>
      </c>
      <c r="B1498" t="s">
        <v>53</v>
      </c>
      <c r="C1498" t="s">
        <v>54</v>
      </c>
      <c r="D1498" t="s">
        <v>55</v>
      </c>
      <c r="E1498" t="s">
        <v>56</v>
      </c>
      <c r="F1498" t="s">
        <v>4549</v>
      </c>
      <c r="G1498" t="s">
        <v>4564</v>
      </c>
      <c r="H1498" t="s">
        <v>111</v>
      </c>
      <c r="I1498" t="s">
        <v>4580</v>
      </c>
      <c r="J1498" t="s">
        <v>56</v>
      </c>
      <c r="K1498" t="s">
        <v>640</v>
      </c>
      <c r="L1498" t="s">
        <v>56</v>
      </c>
      <c r="M1498" t="s">
        <v>56</v>
      </c>
      <c r="N1498" t="s">
        <v>56</v>
      </c>
      <c r="O1498" t="s">
        <v>3285</v>
      </c>
      <c r="P1498" t="s">
        <v>3286</v>
      </c>
      <c r="Q1498" t="s">
        <v>4566</v>
      </c>
      <c r="R1498" t="s">
        <v>67</v>
      </c>
      <c r="S1498">
        <v>140000000</v>
      </c>
      <c r="T1498">
        <v>58451944.159999996</v>
      </c>
      <c r="U1498" t="s">
        <v>68</v>
      </c>
      <c r="V1498" t="s">
        <v>4547</v>
      </c>
      <c r="W1498" s="9">
        <v>60603946</v>
      </c>
      <c r="X1498" t="s">
        <v>4581</v>
      </c>
      <c r="Y1498" s="1">
        <v>46076</v>
      </c>
      <c r="Z1498" s="1">
        <v>46106</v>
      </c>
      <c r="AA1498" s="2">
        <v>11546.61</v>
      </c>
      <c r="AB1498" s="2">
        <v>9785.27</v>
      </c>
      <c r="AC1498" s="2">
        <v>1761.35</v>
      </c>
      <c r="AD1498" s="2">
        <v>11546.61</v>
      </c>
      <c r="AE1498" t="s">
        <v>4581</v>
      </c>
      <c r="AF1498" t="s">
        <v>72</v>
      </c>
      <c r="AG1498">
        <v>-28</v>
      </c>
      <c r="AH1498" t="s">
        <v>117</v>
      </c>
      <c r="AI1498" t="s">
        <v>74</v>
      </c>
      <c r="AJ1498" t="s">
        <v>75</v>
      </c>
      <c r="AK1498" t="s">
        <v>102</v>
      </c>
      <c r="AL1498" t="s">
        <v>118</v>
      </c>
      <c r="AM1498" t="s">
        <v>103</v>
      </c>
      <c r="AN1498" t="s">
        <v>104</v>
      </c>
      <c r="AO1498" t="s">
        <v>119</v>
      </c>
      <c r="AP1498" t="e">
        <v>#N/A</v>
      </c>
      <c r="AQ1498" t="s">
        <v>105</v>
      </c>
      <c r="AR1498" t="str">
        <f t="shared" si="46"/>
        <v>60603946.STATEQ</v>
      </c>
      <c r="AS1498">
        <f t="shared" si="47"/>
        <v>-48089590.75</v>
      </c>
      <c r="AT1498" t="s">
        <v>93</v>
      </c>
    </row>
    <row r="1499" spans="1:46" x14ac:dyDescent="0.35">
      <c r="A1499" t="s">
        <v>52</v>
      </c>
      <c r="B1499" t="s">
        <v>53</v>
      </c>
      <c r="C1499" t="s">
        <v>54</v>
      </c>
      <c r="D1499" t="s">
        <v>55</v>
      </c>
      <c r="E1499" t="s">
        <v>56</v>
      </c>
      <c r="F1499" t="s">
        <v>4549</v>
      </c>
      <c r="G1499" t="s">
        <v>4564</v>
      </c>
      <c r="H1499" t="s">
        <v>111</v>
      </c>
      <c r="I1499" t="s">
        <v>4580</v>
      </c>
      <c r="J1499" t="s">
        <v>56</v>
      </c>
      <c r="K1499" t="s">
        <v>640</v>
      </c>
      <c r="L1499" t="s">
        <v>56</v>
      </c>
      <c r="M1499" t="s">
        <v>56</v>
      </c>
      <c r="N1499" t="s">
        <v>174</v>
      </c>
      <c r="O1499" t="s">
        <v>3285</v>
      </c>
      <c r="P1499" t="s">
        <v>3286</v>
      </c>
      <c r="Q1499" t="s">
        <v>4566</v>
      </c>
      <c r="R1499" t="s">
        <v>67</v>
      </c>
      <c r="S1499">
        <v>140000000</v>
      </c>
      <c r="T1499">
        <v>58451944.159999996</v>
      </c>
      <c r="U1499" t="s">
        <v>68</v>
      </c>
      <c r="V1499" t="s">
        <v>4547</v>
      </c>
      <c r="W1499" s="9">
        <v>60603946</v>
      </c>
      <c r="X1499" t="s">
        <v>4581</v>
      </c>
      <c r="Y1499" s="1">
        <v>46076</v>
      </c>
      <c r="Z1499" s="1">
        <v>46106</v>
      </c>
      <c r="AA1499" s="2">
        <v>526172.31000000006</v>
      </c>
      <c r="AB1499" s="2">
        <v>445908.73</v>
      </c>
      <c r="AC1499" s="2">
        <v>80263.570000000007</v>
      </c>
      <c r="AD1499" s="2">
        <v>526172.31000000006</v>
      </c>
      <c r="AE1499" t="s">
        <v>4582</v>
      </c>
      <c r="AF1499" t="s">
        <v>72</v>
      </c>
      <c r="AG1499">
        <v>-28</v>
      </c>
      <c r="AH1499" t="s">
        <v>117</v>
      </c>
      <c r="AI1499" t="s">
        <v>74</v>
      </c>
      <c r="AJ1499" t="s">
        <v>127</v>
      </c>
      <c r="AK1499" t="s">
        <v>128</v>
      </c>
      <c r="AL1499" t="s">
        <v>118</v>
      </c>
      <c r="AM1499" t="s">
        <v>103</v>
      </c>
      <c r="AN1499" t="s">
        <v>104</v>
      </c>
      <c r="AO1499" t="s">
        <v>119</v>
      </c>
      <c r="AP1499" t="e">
        <v>#N/A</v>
      </c>
      <c r="AQ1499" t="s">
        <v>129</v>
      </c>
      <c r="AR1499" t="str">
        <f t="shared" si="46"/>
        <v>60603946.SPMINEQ</v>
      </c>
      <c r="AS1499">
        <f t="shared" si="47"/>
        <v>10250354.07</v>
      </c>
      <c r="AT1499" t="s">
        <v>82</v>
      </c>
    </row>
    <row r="1500" spans="1:46" x14ac:dyDescent="0.35">
      <c r="A1500" t="s">
        <v>52</v>
      </c>
      <c r="B1500" t="s">
        <v>53</v>
      </c>
      <c r="C1500" t="s">
        <v>54</v>
      </c>
      <c r="D1500" t="s">
        <v>55</v>
      </c>
      <c r="E1500" t="s">
        <v>56</v>
      </c>
      <c r="F1500" t="s">
        <v>4549</v>
      </c>
      <c r="G1500" t="s">
        <v>56</v>
      </c>
      <c r="H1500" t="s">
        <v>56</v>
      </c>
      <c r="I1500" t="s">
        <v>4546</v>
      </c>
      <c r="J1500" t="s">
        <v>61</v>
      </c>
      <c r="K1500" t="s">
        <v>640</v>
      </c>
      <c r="L1500" t="s">
        <v>56</v>
      </c>
      <c r="M1500" t="s">
        <v>56</v>
      </c>
      <c r="N1500" t="s">
        <v>56</v>
      </c>
      <c r="O1500" t="s">
        <v>3285</v>
      </c>
      <c r="P1500" t="s">
        <v>3286</v>
      </c>
      <c r="Q1500" t="s">
        <v>87</v>
      </c>
      <c r="R1500" t="s">
        <v>67</v>
      </c>
      <c r="S1500">
        <v>140000000</v>
      </c>
      <c r="T1500">
        <v>58451944.159999996</v>
      </c>
      <c r="U1500" t="s">
        <v>68</v>
      </c>
      <c r="V1500" t="s">
        <v>4547</v>
      </c>
      <c r="W1500" s="9">
        <v>60603946</v>
      </c>
      <c r="X1500" t="s">
        <v>4583</v>
      </c>
      <c r="Y1500" s="1">
        <v>46076</v>
      </c>
      <c r="Z1500" s="1">
        <v>46076</v>
      </c>
      <c r="AA1500" s="2">
        <v>-102177</v>
      </c>
      <c r="AB1500" s="2">
        <v>-102177</v>
      </c>
      <c r="AC1500" s="2">
        <v>0</v>
      </c>
      <c r="AD1500" s="2">
        <v>-102177</v>
      </c>
      <c r="AE1500" t="s">
        <v>4583</v>
      </c>
      <c r="AF1500" t="s">
        <v>72</v>
      </c>
      <c r="AG1500">
        <v>2</v>
      </c>
      <c r="AH1500" t="s">
        <v>73</v>
      </c>
      <c r="AI1500" t="s">
        <v>74</v>
      </c>
      <c r="AJ1500" t="s">
        <v>75</v>
      </c>
      <c r="AK1500" t="s">
        <v>102</v>
      </c>
      <c r="AL1500" t="s">
        <v>77</v>
      </c>
      <c r="AM1500" t="s">
        <v>103</v>
      </c>
      <c r="AN1500" t="s">
        <v>104</v>
      </c>
      <c r="AO1500" t="s">
        <v>80</v>
      </c>
      <c r="AP1500" t="e">
        <v>#N/A</v>
      </c>
      <c r="AQ1500" t="s">
        <v>105</v>
      </c>
      <c r="AR1500" t="str">
        <f t="shared" si="46"/>
        <v>60603946.STATEQ</v>
      </c>
      <c r="AS1500">
        <f t="shared" si="47"/>
        <v>-48089590.75</v>
      </c>
      <c r="AT1500" t="s">
        <v>93</v>
      </c>
    </row>
    <row r="1501" spans="1:46" x14ac:dyDescent="0.35">
      <c r="A1501" t="s">
        <v>52</v>
      </c>
      <c r="B1501" t="s">
        <v>53</v>
      </c>
      <c r="C1501" t="s">
        <v>54</v>
      </c>
      <c r="D1501" t="s">
        <v>55</v>
      </c>
      <c r="E1501" t="s">
        <v>56</v>
      </c>
      <c r="F1501" t="s">
        <v>4584</v>
      </c>
      <c r="G1501" t="s">
        <v>4585</v>
      </c>
      <c r="H1501" t="s">
        <v>780</v>
      </c>
      <c r="I1501" t="s">
        <v>4586</v>
      </c>
      <c r="J1501" t="s">
        <v>61</v>
      </c>
      <c r="K1501" t="s">
        <v>640</v>
      </c>
      <c r="L1501" t="s">
        <v>56</v>
      </c>
      <c r="M1501" t="s">
        <v>56</v>
      </c>
      <c r="N1501" t="s">
        <v>782</v>
      </c>
      <c r="O1501" t="s">
        <v>406</v>
      </c>
      <c r="P1501" t="s">
        <v>407</v>
      </c>
      <c r="Q1501" t="s">
        <v>87</v>
      </c>
      <c r="R1501" t="s">
        <v>248</v>
      </c>
      <c r="S1501">
        <v>5000000</v>
      </c>
      <c r="T1501">
        <v>-8205320.0199999996</v>
      </c>
      <c r="U1501" t="s">
        <v>68</v>
      </c>
      <c r="V1501" t="s">
        <v>4547</v>
      </c>
      <c r="W1501" s="9">
        <v>60603954</v>
      </c>
      <c r="X1501" t="s">
        <v>4587</v>
      </c>
      <c r="Y1501" s="1">
        <v>46010</v>
      </c>
      <c r="Z1501" s="1">
        <v>46070</v>
      </c>
      <c r="AA1501" s="2">
        <v>295000</v>
      </c>
      <c r="AB1501" s="2">
        <v>250000</v>
      </c>
      <c r="AC1501" s="2">
        <v>45000</v>
      </c>
      <c r="AD1501" s="2">
        <v>295000</v>
      </c>
      <c r="AE1501" t="s">
        <v>4588</v>
      </c>
      <c r="AF1501" t="s">
        <v>72</v>
      </c>
      <c r="AG1501">
        <v>8</v>
      </c>
      <c r="AH1501" t="s">
        <v>73</v>
      </c>
      <c r="AI1501" t="s">
        <v>74</v>
      </c>
      <c r="AJ1501" t="s">
        <v>75</v>
      </c>
      <c r="AK1501" t="s">
        <v>76</v>
      </c>
      <c r="AL1501" t="s">
        <v>77</v>
      </c>
      <c r="AM1501" t="s">
        <v>78</v>
      </c>
      <c r="AN1501" t="s">
        <v>104</v>
      </c>
      <c r="AO1501" t="s">
        <v>80</v>
      </c>
      <c r="AP1501" t="s">
        <v>46</v>
      </c>
      <c r="AQ1501" t="s">
        <v>81</v>
      </c>
      <c r="AR1501" t="str">
        <f t="shared" si="46"/>
        <v>60603954.STATAM</v>
      </c>
      <c r="AS1501">
        <f t="shared" si="47"/>
        <v>8708176.6099999994</v>
      </c>
      <c r="AT1501" t="s">
        <v>82</v>
      </c>
    </row>
    <row r="1502" spans="1:46" x14ac:dyDescent="0.35">
      <c r="A1502" t="s">
        <v>52</v>
      </c>
      <c r="B1502" t="s">
        <v>53</v>
      </c>
      <c r="C1502" t="s">
        <v>54</v>
      </c>
      <c r="D1502" t="s">
        <v>55</v>
      </c>
      <c r="E1502" t="s">
        <v>56</v>
      </c>
      <c r="F1502" t="s">
        <v>4584</v>
      </c>
      <c r="G1502" t="s">
        <v>4589</v>
      </c>
      <c r="H1502" t="s">
        <v>56</v>
      </c>
      <c r="I1502" t="s">
        <v>4590</v>
      </c>
      <c r="J1502" t="s">
        <v>56</v>
      </c>
      <c r="K1502" t="s">
        <v>640</v>
      </c>
      <c r="L1502" t="s">
        <v>4591</v>
      </c>
      <c r="M1502" t="s">
        <v>56</v>
      </c>
      <c r="N1502" t="s">
        <v>244</v>
      </c>
      <c r="O1502" t="s">
        <v>406</v>
      </c>
      <c r="P1502" t="s">
        <v>407</v>
      </c>
      <c r="Q1502" t="s">
        <v>641</v>
      </c>
      <c r="R1502" t="s">
        <v>248</v>
      </c>
      <c r="S1502">
        <v>5000000</v>
      </c>
      <c r="T1502">
        <v>-8205320.0199999996</v>
      </c>
      <c r="U1502" t="s">
        <v>68</v>
      </c>
      <c r="V1502" t="s">
        <v>4547</v>
      </c>
      <c r="W1502" s="9">
        <v>60603954</v>
      </c>
      <c r="X1502" t="s">
        <v>4592</v>
      </c>
      <c r="Y1502" s="1">
        <v>46015</v>
      </c>
      <c r="Z1502" s="1">
        <v>46075</v>
      </c>
      <c r="AA1502" s="2">
        <v>486209.56</v>
      </c>
      <c r="AB1502" s="2">
        <v>412042</v>
      </c>
      <c r="AC1502" s="2">
        <v>74167.56</v>
      </c>
      <c r="AD1502" s="2">
        <v>486209.56</v>
      </c>
      <c r="AE1502" t="s">
        <v>4593</v>
      </c>
      <c r="AF1502" t="s">
        <v>72</v>
      </c>
      <c r="AG1502">
        <v>3</v>
      </c>
      <c r="AH1502" t="s">
        <v>73</v>
      </c>
      <c r="AI1502" t="s">
        <v>74</v>
      </c>
      <c r="AJ1502" t="s">
        <v>75</v>
      </c>
      <c r="AK1502" t="s">
        <v>76</v>
      </c>
      <c r="AL1502" t="s">
        <v>77</v>
      </c>
      <c r="AM1502" t="s">
        <v>78</v>
      </c>
      <c r="AN1502" t="s">
        <v>104</v>
      </c>
      <c r="AO1502" t="s">
        <v>80</v>
      </c>
      <c r="AP1502" t="s">
        <v>46</v>
      </c>
      <c r="AQ1502" t="s">
        <v>81</v>
      </c>
      <c r="AR1502" t="str">
        <f t="shared" si="46"/>
        <v>60603954.STATAM</v>
      </c>
      <c r="AS1502">
        <f t="shared" si="47"/>
        <v>8708176.6099999994</v>
      </c>
      <c r="AT1502" t="s">
        <v>82</v>
      </c>
    </row>
    <row r="1503" spans="1:46" x14ac:dyDescent="0.35">
      <c r="A1503" t="s">
        <v>52</v>
      </c>
      <c r="B1503" t="s">
        <v>53</v>
      </c>
      <c r="C1503" t="s">
        <v>54</v>
      </c>
      <c r="D1503" t="s">
        <v>55</v>
      </c>
      <c r="E1503" t="s">
        <v>56</v>
      </c>
      <c r="F1503" t="s">
        <v>4584</v>
      </c>
      <c r="G1503" t="s">
        <v>4594</v>
      </c>
      <c r="H1503" t="s">
        <v>56</v>
      </c>
      <c r="I1503" t="s">
        <v>4595</v>
      </c>
      <c r="J1503" t="s">
        <v>61</v>
      </c>
      <c r="K1503" t="s">
        <v>640</v>
      </c>
      <c r="L1503" t="s">
        <v>56</v>
      </c>
      <c r="M1503" t="s">
        <v>56</v>
      </c>
      <c r="N1503" t="s">
        <v>1189</v>
      </c>
      <c r="O1503" t="s">
        <v>406</v>
      </c>
      <c r="P1503" t="s">
        <v>407</v>
      </c>
      <c r="Q1503" t="s">
        <v>87</v>
      </c>
      <c r="R1503" t="s">
        <v>248</v>
      </c>
      <c r="S1503">
        <v>5000000</v>
      </c>
      <c r="T1503">
        <v>-8205320.0199999996</v>
      </c>
      <c r="U1503" t="s">
        <v>68</v>
      </c>
      <c r="V1503" t="s">
        <v>4547</v>
      </c>
      <c r="W1503" s="9">
        <v>60603954</v>
      </c>
      <c r="X1503" t="s">
        <v>4596</v>
      </c>
      <c r="Y1503" s="1">
        <v>46027</v>
      </c>
      <c r="Z1503" s="1">
        <v>46087</v>
      </c>
      <c r="AA1503" s="2">
        <v>86896.8</v>
      </c>
      <c r="AB1503" s="2">
        <v>73641.36</v>
      </c>
      <c r="AC1503" s="2">
        <v>13255.44</v>
      </c>
      <c r="AD1503" s="2">
        <v>86896.8</v>
      </c>
      <c r="AE1503" t="s">
        <v>4597</v>
      </c>
      <c r="AF1503" t="s">
        <v>72</v>
      </c>
      <c r="AG1503">
        <v>-9</v>
      </c>
      <c r="AH1503" t="s">
        <v>117</v>
      </c>
      <c r="AI1503" t="s">
        <v>74</v>
      </c>
      <c r="AJ1503" t="s">
        <v>75</v>
      </c>
      <c r="AK1503" t="s">
        <v>76</v>
      </c>
      <c r="AL1503" t="s">
        <v>118</v>
      </c>
      <c r="AM1503" t="s">
        <v>78</v>
      </c>
      <c r="AN1503" t="s">
        <v>104</v>
      </c>
      <c r="AO1503" t="s">
        <v>119</v>
      </c>
      <c r="AP1503" t="s">
        <v>46</v>
      </c>
      <c r="AQ1503" t="s">
        <v>81</v>
      </c>
      <c r="AR1503" t="str">
        <f t="shared" si="46"/>
        <v>60603954.STATAM</v>
      </c>
      <c r="AS1503">
        <f t="shared" si="47"/>
        <v>8708176.6099999994</v>
      </c>
      <c r="AT1503" t="s">
        <v>82</v>
      </c>
    </row>
    <row r="1504" spans="1:46" x14ac:dyDescent="0.35">
      <c r="A1504" t="s">
        <v>52</v>
      </c>
      <c r="B1504" t="s">
        <v>53</v>
      </c>
      <c r="C1504" t="s">
        <v>54</v>
      </c>
      <c r="D1504" t="s">
        <v>55</v>
      </c>
      <c r="E1504" t="s">
        <v>56</v>
      </c>
      <c r="F1504" t="s">
        <v>4584</v>
      </c>
      <c r="G1504" t="s">
        <v>4598</v>
      </c>
      <c r="H1504" t="s">
        <v>56</v>
      </c>
      <c r="I1504" t="s">
        <v>4599</v>
      </c>
      <c r="J1504" t="s">
        <v>61</v>
      </c>
      <c r="K1504" t="s">
        <v>640</v>
      </c>
      <c r="L1504" t="s">
        <v>4600</v>
      </c>
      <c r="M1504" t="s">
        <v>56</v>
      </c>
      <c r="N1504" t="s">
        <v>252</v>
      </c>
      <c r="O1504" t="s">
        <v>406</v>
      </c>
      <c r="P1504" t="s">
        <v>407</v>
      </c>
      <c r="Q1504" t="s">
        <v>87</v>
      </c>
      <c r="R1504" t="s">
        <v>248</v>
      </c>
      <c r="S1504">
        <v>5000000</v>
      </c>
      <c r="T1504">
        <v>-8205320.0199999996</v>
      </c>
      <c r="U1504" t="s">
        <v>68</v>
      </c>
      <c r="V1504" t="s">
        <v>4547</v>
      </c>
      <c r="W1504" s="9">
        <v>60603954</v>
      </c>
      <c r="X1504" t="s">
        <v>4601</v>
      </c>
      <c r="Y1504" s="1">
        <v>46029</v>
      </c>
      <c r="Z1504" s="1">
        <v>46089</v>
      </c>
      <c r="AA1504" s="2">
        <v>228226.06</v>
      </c>
      <c r="AB1504" s="2">
        <v>193411.92</v>
      </c>
      <c r="AC1504" s="2">
        <v>34814.14</v>
      </c>
      <c r="AD1504" s="2">
        <v>228226.06</v>
      </c>
      <c r="AE1504" t="s">
        <v>4602</v>
      </c>
      <c r="AF1504" t="s">
        <v>72</v>
      </c>
      <c r="AG1504">
        <v>-11</v>
      </c>
      <c r="AH1504" t="s">
        <v>117</v>
      </c>
      <c r="AI1504" t="s">
        <v>74</v>
      </c>
      <c r="AJ1504" t="s">
        <v>75</v>
      </c>
      <c r="AK1504" t="s">
        <v>76</v>
      </c>
      <c r="AL1504" t="s">
        <v>118</v>
      </c>
      <c r="AM1504" t="s">
        <v>78</v>
      </c>
      <c r="AN1504" t="s">
        <v>104</v>
      </c>
      <c r="AO1504" t="s">
        <v>119</v>
      </c>
      <c r="AP1504" t="s">
        <v>46</v>
      </c>
      <c r="AQ1504" t="s">
        <v>81</v>
      </c>
      <c r="AR1504" t="str">
        <f t="shared" si="46"/>
        <v>60603954.STATAM</v>
      </c>
      <c r="AS1504">
        <f t="shared" si="47"/>
        <v>8708176.6099999994</v>
      </c>
      <c r="AT1504" t="s">
        <v>82</v>
      </c>
    </row>
    <row r="1505" spans="1:46" x14ac:dyDescent="0.35">
      <c r="A1505" t="s">
        <v>52</v>
      </c>
      <c r="B1505" t="s">
        <v>53</v>
      </c>
      <c r="C1505" t="s">
        <v>54</v>
      </c>
      <c r="D1505" t="s">
        <v>55</v>
      </c>
      <c r="E1505" t="s">
        <v>56</v>
      </c>
      <c r="F1505" t="s">
        <v>4584</v>
      </c>
      <c r="G1505" t="s">
        <v>4603</v>
      </c>
      <c r="H1505" t="s">
        <v>56</v>
      </c>
      <c r="I1505" t="s">
        <v>4604</v>
      </c>
      <c r="J1505" t="s">
        <v>61</v>
      </c>
      <c r="K1505" t="s">
        <v>640</v>
      </c>
      <c r="L1505" t="s">
        <v>56</v>
      </c>
      <c r="M1505" t="s">
        <v>56</v>
      </c>
      <c r="N1505" t="s">
        <v>1135</v>
      </c>
      <c r="O1505" t="s">
        <v>406</v>
      </c>
      <c r="P1505" t="s">
        <v>407</v>
      </c>
      <c r="Q1505" t="s">
        <v>87</v>
      </c>
      <c r="R1505" t="s">
        <v>248</v>
      </c>
      <c r="S1505">
        <v>5000000</v>
      </c>
      <c r="T1505">
        <v>-8205320.0199999996</v>
      </c>
      <c r="U1505" t="s">
        <v>68</v>
      </c>
      <c r="V1505" t="s">
        <v>4547</v>
      </c>
      <c r="W1505" s="9">
        <v>60603954</v>
      </c>
      <c r="X1505" t="s">
        <v>4605</v>
      </c>
      <c r="Y1505" s="1">
        <v>46029</v>
      </c>
      <c r="Z1505" s="1">
        <v>46089</v>
      </c>
      <c r="AA1505" s="2">
        <v>866393.06</v>
      </c>
      <c r="AB1505" s="2">
        <v>734231.41</v>
      </c>
      <c r="AC1505" s="2">
        <v>132161.65</v>
      </c>
      <c r="AD1505" s="2">
        <v>866393.06</v>
      </c>
      <c r="AE1505" t="s">
        <v>4606</v>
      </c>
      <c r="AF1505" t="s">
        <v>72</v>
      </c>
      <c r="AG1505">
        <v>-11</v>
      </c>
      <c r="AH1505" t="s">
        <v>117</v>
      </c>
      <c r="AI1505" t="s">
        <v>74</v>
      </c>
      <c r="AJ1505" t="s">
        <v>127</v>
      </c>
      <c r="AK1505" t="s">
        <v>334</v>
      </c>
      <c r="AL1505" t="s">
        <v>118</v>
      </c>
      <c r="AM1505" t="s">
        <v>78</v>
      </c>
      <c r="AN1505" t="s">
        <v>104</v>
      </c>
      <c r="AO1505" t="s">
        <v>119</v>
      </c>
      <c r="AP1505" t="s">
        <v>46</v>
      </c>
      <c r="AQ1505" t="s">
        <v>335</v>
      </c>
      <c r="AR1505" t="str">
        <f t="shared" si="46"/>
        <v>60603954.SPMINAM</v>
      </c>
      <c r="AS1505">
        <f t="shared" si="47"/>
        <v>1400080.52</v>
      </c>
      <c r="AT1505" t="s">
        <v>82</v>
      </c>
    </row>
    <row r="1506" spans="1:46" x14ac:dyDescent="0.35">
      <c r="A1506" t="s">
        <v>52</v>
      </c>
      <c r="B1506" t="s">
        <v>53</v>
      </c>
      <c r="C1506" t="s">
        <v>54</v>
      </c>
      <c r="D1506" t="s">
        <v>55</v>
      </c>
      <c r="E1506" t="s">
        <v>56</v>
      </c>
      <c r="F1506" t="s">
        <v>4584</v>
      </c>
      <c r="G1506" t="s">
        <v>4603</v>
      </c>
      <c r="H1506" t="s">
        <v>56</v>
      </c>
      <c r="I1506" t="s">
        <v>4604</v>
      </c>
      <c r="J1506" t="s">
        <v>61</v>
      </c>
      <c r="K1506" t="s">
        <v>640</v>
      </c>
      <c r="L1506" t="s">
        <v>56</v>
      </c>
      <c r="M1506" t="s">
        <v>56</v>
      </c>
      <c r="N1506" t="s">
        <v>682</v>
      </c>
      <c r="O1506" t="s">
        <v>406</v>
      </c>
      <c r="P1506" t="s">
        <v>407</v>
      </c>
      <c r="Q1506" t="s">
        <v>87</v>
      </c>
      <c r="R1506" t="s">
        <v>248</v>
      </c>
      <c r="S1506">
        <v>5000000</v>
      </c>
      <c r="T1506">
        <v>-8205320.0199999996</v>
      </c>
      <c r="U1506" t="s">
        <v>68</v>
      </c>
      <c r="V1506" t="s">
        <v>4547</v>
      </c>
      <c r="W1506" s="9">
        <v>60603954</v>
      </c>
      <c r="X1506" t="s">
        <v>4605</v>
      </c>
      <c r="Y1506" s="1">
        <v>46029</v>
      </c>
      <c r="Z1506" s="1">
        <v>46089</v>
      </c>
      <c r="AA1506" s="2">
        <v>258440.37</v>
      </c>
      <c r="AB1506" s="2">
        <v>219017.26</v>
      </c>
      <c r="AC1506" s="2">
        <v>39423.11</v>
      </c>
      <c r="AD1506" s="2">
        <v>258440.37</v>
      </c>
      <c r="AE1506" t="s">
        <v>4607</v>
      </c>
      <c r="AF1506" t="s">
        <v>72</v>
      </c>
      <c r="AG1506">
        <v>-11</v>
      </c>
      <c r="AH1506" t="s">
        <v>117</v>
      </c>
      <c r="AI1506" t="s">
        <v>74</v>
      </c>
      <c r="AJ1506" t="s">
        <v>127</v>
      </c>
      <c r="AK1506" t="s">
        <v>334</v>
      </c>
      <c r="AL1506" t="s">
        <v>118</v>
      </c>
      <c r="AM1506" t="s">
        <v>78</v>
      </c>
      <c r="AN1506" t="s">
        <v>104</v>
      </c>
      <c r="AO1506" t="s">
        <v>119</v>
      </c>
      <c r="AP1506" t="s">
        <v>46</v>
      </c>
      <c r="AQ1506" t="s">
        <v>335</v>
      </c>
      <c r="AR1506" t="str">
        <f t="shared" si="46"/>
        <v>60603954.SPMINAM</v>
      </c>
      <c r="AS1506">
        <f t="shared" si="47"/>
        <v>1400080.52</v>
      </c>
      <c r="AT1506" t="s">
        <v>82</v>
      </c>
    </row>
    <row r="1507" spans="1:46" x14ac:dyDescent="0.35">
      <c r="A1507" t="s">
        <v>52</v>
      </c>
      <c r="B1507" t="s">
        <v>53</v>
      </c>
      <c r="C1507" t="s">
        <v>54</v>
      </c>
      <c r="D1507" t="s">
        <v>55</v>
      </c>
      <c r="E1507" t="s">
        <v>56</v>
      </c>
      <c r="F1507" t="s">
        <v>4584</v>
      </c>
      <c r="G1507" t="s">
        <v>4608</v>
      </c>
      <c r="H1507" t="s">
        <v>56</v>
      </c>
      <c r="I1507" t="s">
        <v>4609</v>
      </c>
      <c r="J1507" t="s">
        <v>61</v>
      </c>
      <c r="K1507" t="s">
        <v>640</v>
      </c>
      <c r="L1507" t="s">
        <v>56</v>
      </c>
      <c r="M1507" t="s">
        <v>56</v>
      </c>
      <c r="N1507" t="s">
        <v>295</v>
      </c>
      <c r="O1507" t="s">
        <v>406</v>
      </c>
      <c r="P1507" t="s">
        <v>407</v>
      </c>
      <c r="Q1507" t="s">
        <v>87</v>
      </c>
      <c r="R1507" t="s">
        <v>248</v>
      </c>
      <c r="S1507">
        <v>5000000</v>
      </c>
      <c r="T1507">
        <v>-8205320.0199999996</v>
      </c>
      <c r="U1507" t="s">
        <v>68</v>
      </c>
      <c r="V1507" t="s">
        <v>4547</v>
      </c>
      <c r="W1507" s="9">
        <v>60603954</v>
      </c>
      <c r="X1507" t="s">
        <v>4610</v>
      </c>
      <c r="Y1507" s="1">
        <v>46029</v>
      </c>
      <c r="Z1507" s="1">
        <v>46089</v>
      </c>
      <c r="AA1507" s="2">
        <v>56427.88</v>
      </c>
      <c r="AB1507" s="2">
        <v>47820.24</v>
      </c>
      <c r="AC1507" s="2">
        <v>8607.64</v>
      </c>
      <c r="AD1507" s="2">
        <v>56427.88</v>
      </c>
      <c r="AE1507" t="s">
        <v>4611</v>
      </c>
      <c r="AF1507" t="s">
        <v>72</v>
      </c>
      <c r="AG1507">
        <v>-11</v>
      </c>
      <c r="AH1507" t="s">
        <v>117</v>
      </c>
      <c r="AI1507" t="s">
        <v>74</v>
      </c>
      <c r="AJ1507" t="s">
        <v>75</v>
      </c>
      <c r="AK1507" t="s">
        <v>76</v>
      </c>
      <c r="AL1507" t="s">
        <v>118</v>
      </c>
      <c r="AM1507" t="s">
        <v>78</v>
      </c>
      <c r="AN1507" t="s">
        <v>104</v>
      </c>
      <c r="AO1507" t="s">
        <v>119</v>
      </c>
      <c r="AP1507" t="s">
        <v>46</v>
      </c>
      <c r="AQ1507" t="s">
        <v>81</v>
      </c>
      <c r="AR1507" t="str">
        <f t="shared" si="46"/>
        <v>60603954.STATAM</v>
      </c>
      <c r="AS1507">
        <f t="shared" si="47"/>
        <v>8708176.6099999994</v>
      </c>
      <c r="AT1507" t="s">
        <v>82</v>
      </c>
    </row>
    <row r="1508" spans="1:46" x14ac:dyDescent="0.35">
      <c r="A1508" t="s">
        <v>52</v>
      </c>
      <c r="B1508" t="s">
        <v>53</v>
      </c>
      <c r="C1508" t="s">
        <v>54</v>
      </c>
      <c r="D1508" t="s">
        <v>55</v>
      </c>
      <c r="E1508" t="s">
        <v>56</v>
      </c>
      <c r="F1508" t="s">
        <v>4584</v>
      </c>
      <c r="G1508" t="s">
        <v>4612</v>
      </c>
      <c r="H1508" t="s">
        <v>56</v>
      </c>
      <c r="I1508" t="s">
        <v>4613</v>
      </c>
      <c r="J1508" t="s">
        <v>61</v>
      </c>
      <c r="K1508" t="s">
        <v>640</v>
      </c>
      <c r="L1508" t="s">
        <v>4614</v>
      </c>
      <c r="M1508" t="s">
        <v>56</v>
      </c>
      <c r="N1508" t="s">
        <v>1384</v>
      </c>
      <c r="O1508" t="s">
        <v>406</v>
      </c>
      <c r="P1508" t="s">
        <v>407</v>
      </c>
      <c r="Q1508" t="s">
        <v>87</v>
      </c>
      <c r="R1508" t="s">
        <v>248</v>
      </c>
      <c r="S1508">
        <v>5000000</v>
      </c>
      <c r="T1508">
        <v>-8205320.0199999996</v>
      </c>
      <c r="U1508" t="s">
        <v>68</v>
      </c>
      <c r="V1508" t="s">
        <v>4547</v>
      </c>
      <c r="W1508" s="9">
        <v>60603954</v>
      </c>
      <c r="X1508" t="s">
        <v>4615</v>
      </c>
      <c r="Y1508" s="1">
        <v>46038</v>
      </c>
      <c r="Z1508" s="1">
        <v>46098</v>
      </c>
      <c r="AA1508" s="2">
        <v>27068.959999999999</v>
      </c>
      <c r="AB1508" s="2">
        <v>22939.8</v>
      </c>
      <c r="AC1508" s="2">
        <v>4129.16</v>
      </c>
      <c r="AD1508" s="2">
        <v>27068.959999999999</v>
      </c>
      <c r="AE1508" t="s">
        <v>4616</v>
      </c>
      <c r="AF1508" t="s">
        <v>72</v>
      </c>
      <c r="AG1508">
        <v>-20</v>
      </c>
      <c r="AH1508" t="s">
        <v>117</v>
      </c>
      <c r="AI1508" t="s">
        <v>74</v>
      </c>
      <c r="AJ1508" t="s">
        <v>75</v>
      </c>
      <c r="AK1508" t="s">
        <v>76</v>
      </c>
      <c r="AL1508" t="s">
        <v>118</v>
      </c>
      <c r="AM1508" t="s">
        <v>78</v>
      </c>
      <c r="AN1508" t="s">
        <v>104</v>
      </c>
      <c r="AO1508" t="s">
        <v>119</v>
      </c>
      <c r="AP1508" t="s">
        <v>46</v>
      </c>
      <c r="AQ1508" t="s">
        <v>81</v>
      </c>
      <c r="AR1508" t="str">
        <f t="shared" si="46"/>
        <v>60603954.STATAM</v>
      </c>
      <c r="AS1508">
        <f t="shared" si="47"/>
        <v>8708176.6099999994</v>
      </c>
      <c r="AT1508" t="s">
        <v>82</v>
      </c>
    </row>
    <row r="1509" spans="1:46" x14ac:dyDescent="0.35">
      <c r="A1509" t="s">
        <v>52</v>
      </c>
      <c r="B1509" t="s">
        <v>53</v>
      </c>
      <c r="C1509" t="s">
        <v>54</v>
      </c>
      <c r="D1509" t="s">
        <v>55</v>
      </c>
      <c r="E1509" t="s">
        <v>56</v>
      </c>
      <c r="F1509" t="s">
        <v>4584</v>
      </c>
      <c r="G1509" t="s">
        <v>4617</v>
      </c>
      <c r="H1509" t="s">
        <v>56</v>
      </c>
      <c r="I1509" t="s">
        <v>4618</v>
      </c>
      <c r="J1509" t="s">
        <v>61</v>
      </c>
      <c r="K1509" t="s">
        <v>640</v>
      </c>
      <c r="L1509" t="s">
        <v>56</v>
      </c>
      <c r="M1509" t="s">
        <v>56</v>
      </c>
      <c r="N1509" t="s">
        <v>337</v>
      </c>
      <c r="O1509" t="s">
        <v>406</v>
      </c>
      <c r="P1509" t="s">
        <v>407</v>
      </c>
      <c r="Q1509" t="s">
        <v>87</v>
      </c>
      <c r="R1509" t="s">
        <v>248</v>
      </c>
      <c r="S1509">
        <v>5000000</v>
      </c>
      <c r="T1509">
        <v>-8205320.0199999996</v>
      </c>
      <c r="U1509" t="s">
        <v>68</v>
      </c>
      <c r="V1509" t="s">
        <v>4547</v>
      </c>
      <c r="W1509" s="9">
        <v>60603954</v>
      </c>
      <c r="X1509" t="s">
        <v>4619</v>
      </c>
      <c r="Y1509" s="1">
        <v>46044</v>
      </c>
      <c r="Z1509" s="1">
        <v>46104</v>
      </c>
      <c r="AA1509" s="2">
        <v>137240.19</v>
      </c>
      <c r="AB1509" s="2">
        <v>116305.25</v>
      </c>
      <c r="AC1509" s="2">
        <v>20934.939999999999</v>
      </c>
      <c r="AD1509" s="2">
        <v>137240.19</v>
      </c>
      <c r="AE1509" t="s">
        <v>4620</v>
      </c>
      <c r="AF1509" t="s">
        <v>72</v>
      </c>
      <c r="AG1509">
        <v>-26</v>
      </c>
      <c r="AH1509" t="s">
        <v>117</v>
      </c>
      <c r="AI1509" t="s">
        <v>74</v>
      </c>
      <c r="AJ1509" t="s">
        <v>127</v>
      </c>
      <c r="AK1509" t="s">
        <v>334</v>
      </c>
      <c r="AL1509" t="s">
        <v>118</v>
      </c>
      <c r="AM1509" t="s">
        <v>78</v>
      </c>
      <c r="AN1509" t="s">
        <v>104</v>
      </c>
      <c r="AO1509" t="s">
        <v>119</v>
      </c>
      <c r="AP1509" t="s">
        <v>46</v>
      </c>
      <c r="AQ1509" t="s">
        <v>335</v>
      </c>
      <c r="AR1509" t="str">
        <f t="shared" si="46"/>
        <v>60603954.SPMINAM</v>
      </c>
      <c r="AS1509">
        <f t="shared" si="47"/>
        <v>1400080.52</v>
      </c>
      <c r="AT1509" t="s">
        <v>82</v>
      </c>
    </row>
    <row r="1510" spans="1:46" x14ac:dyDescent="0.35">
      <c r="A1510" t="s">
        <v>52</v>
      </c>
      <c r="B1510" t="s">
        <v>53</v>
      </c>
      <c r="C1510" t="s">
        <v>54</v>
      </c>
      <c r="D1510" t="s">
        <v>55</v>
      </c>
      <c r="E1510" t="s">
        <v>56</v>
      </c>
      <c r="F1510" t="s">
        <v>4584</v>
      </c>
      <c r="G1510" t="s">
        <v>4621</v>
      </c>
      <c r="H1510" t="s">
        <v>56</v>
      </c>
      <c r="I1510" t="s">
        <v>4622</v>
      </c>
      <c r="J1510" t="s">
        <v>61</v>
      </c>
      <c r="K1510" t="s">
        <v>640</v>
      </c>
      <c r="L1510" t="s">
        <v>56</v>
      </c>
      <c r="M1510" t="s">
        <v>56</v>
      </c>
      <c r="N1510" t="s">
        <v>252</v>
      </c>
      <c r="O1510" t="s">
        <v>406</v>
      </c>
      <c r="P1510" t="s">
        <v>407</v>
      </c>
      <c r="Q1510" t="s">
        <v>87</v>
      </c>
      <c r="R1510" t="s">
        <v>248</v>
      </c>
      <c r="S1510">
        <v>5000000</v>
      </c>
      <c r="T1510">
        <v>-8205320.0199999996</v>
      </c>
      <c r="U1510" t="s">
        <v>68</v>
      </c>
      <c r="V1510" t="s">
        <v>4547</v>
      </c>
      <c r="W1510" s="9">
        <v>60603954</v>
      </c>
      <c r="X1510" t="s">
        <v>4623</v>
      </c>
      <c r="Y1510" s="1">
        <v>46044</v>
      </c>
      <c r="Z1510" s="1">
        <v>46104</v>
      </c>
      <c r="AA1510" s="2">
        <v>448187.6</v>
      </c>
      <c r="AB1510" s="2">
        <v>379820</v>
      </c>
      <c r="AC1510" s="2">
        <v>68367.600000000006</v>
      </c>
      <c r="AD1510" s="2">
        <v>448187.6</v>
      </c>
      <c r="AE1510" t="s">
        <v>4624</v>
      </c>
      <c r="AF1510" t="s">
        <v>72</v>
      </c>
      <c r="AG1510">
        <v>-26</v>
      </c>
      <c r="AH1510" t="s">
        <v>117</v>
      </c>
      <c r="AI1510" t="s">
        <v>74</v>
      </c>
      <c r="AJ1510" t="s">
        <v>75</v>
      </c>
      <c r="AK1510" t="s">
        <v>76</v>
      </c>
      <c r="AL1510" t="s">
        <v>118</v>
      </c>
      <c r="AM1510" t="s">
        <v>78</v>
      </c>
      <c r="AN1510" t="s">
        <v>104</v>
      </c>
      <c r="AO1510" t="s">
        <v>119</v>
      </c>
      <c r="AP1510" t="s">
        <v>46</v>
      </c>
      <c r="AQ1510" t="s">
        <v>81</v>
      </c>
      <c r="AR1510" t="str">
        <f t="shared" si="46"/>
        <v>60603954.STATAM</v>
      </c>
      <c r="AS1510">
        <f t="shared" si="47"/>
        <v>8708176.6099999994</v>
      </c>
      <c r="AT1510" t="s">
        <v>82</v>
      </c>
    </row>
    <row r="1511" spans="1:46" x14ac:dyDescent="0.35">
      <c r="A1511" t="s">
        <v>52</v>
      </c>
      <c r="B1511" t="s">
        <v>53</v>
      </c>
      <c r="C1511" t="s">
        <v>54</v>
      </c>
      <c r="D1511" t="s">
        <v>55</v>
      </c>
      <c r="E1511" t="s">
        <v>56</v>
      </c>
      <c r="F1511" t="s">
        <v>4584</v>
      </c>
      <c r="G1511" t="s">
        <v>4625</v>
      </c>
      <c r="H1511" t="s">
        <v>56</v>
      </c>
      <c r="I1511" t="s">
        <v>4626</v>
      </c>
      <c r="J1511" t="s">
        <v>61</v>
      </c>
      <c r="K1511" t="s">
        <v>640</v>
      </c>
      <c r="L1511" t="s">
        <v>56</v>
      </c>
      <c r="M1511" t="s">
        <v>56</v>
      </c>
      <c r="N1511" t="s">
        <v>337</v>
      </c>
      <c r="O1511" t="s">
        <v>406</v>
      </c>
      <c r="P1511" t="s">
        <v>407</v>
      </c>
      <c r="Q1511" t="s">
        <v>87</v>
      </c>
      <c r="R1511" t="s">
        <v>248</v>
      </c>
      <c r="S1511">
        <v>5000000</v>
      </c>
      <c r="T1511">
        <v>-8205320.0199999996</v>
      </c>
      <c r="U1511" t="s">
        <v>68</v>
      </c>
      <c r="V1511" t="s">
        <v>4547</v>
      </c>
      <c r="W1511" s="9">
        <v>60603954</v>
      </c>
      <c r="X1511" t="s">
        <v>4627</v>
      </c>
      <c r="Y1511" s="1">
        <v>46045</v>
      </c>
      <c r="Z1511" s="1">
        <v>46105</v>
      </c>
      <c r="AA1511" s="2">
        <v>138006.9</v>
      </c>
      <c r="AB1511" s="2">
        <v>116955</v>
      </c>
      <c r="AC1511" s="2">
        <v>21051.9</v>
      </c>
      <c r="AD1511" s="2">
        <v>138006.9</v>
      </c>
      <c r="AE1511" t="s">
        <v>4628</v>
      </c>
      <c r="AF1511" t="s">
        <v>72</v>
      </c>
      <c r="AG1511">
        <v>-27</v>
      </c>
      <c r="AH1511" t="s">
        <v>117</v>
      </c>
      <c r="AI1511" t="s">
        <v>74</v>
      </c>
      <c r="AJ1511" t="s">
        <v>127</v>
      </c>
      <c r="AK1511" t="s">
        <v>334</v>
      </c>
      <c r="AL1511" t="s">
        <v>118</v>
      </c>
      <c r="AM1511" t="s">
        <v>78</v>
      </c>
      <c r="AN1511" t="s">
        <v>104</v>
      </c>
      <c r="AO1511" t="s">
        <v>119</v>
      </c>
      <c r="AP1511" t="s">
        <v>46</v>
      </c>
      <c r="AQ1511" t="s">
        <v>335</v>
      </c>
      <c r="AR1511" t="str">
        <f t="shared" si="46"/>
        <v>60603954.SPMINAM</v>
      </c>
      <c r="AS1511">
        <f t="shared" si="47"/>
        <v>1400080.52</v>
      </c>
      <c r="AT1511" t="s">
        <v>82</v>
      </c>
    </row>
    <row r="1512" spans="1:46" x14ac:dyDescent="0.35">
      <c r="A1512" t="s">
        <v>52</v>
      </c>
      <c r="B1512" t="s">
        <v>53</v>
      </c>
      <c r="C1512" t="s">
        <v>54</v>
      </c>
      <c r="D1512" t="s">
        <v>55</v>
      </c>
      <c r="E1512" t="s">
        <v>56</v>
      </c>
      <c r="F1512" t="s">
        <v>4584</v>
      </c>
      <c r="G1512" t="s">
        <v>4629</v>
      </c>
      <c r="H1512" t="s">
        <v>56</v>
      </c>
      <c r="I1512" t="s">
        <v>4630</v>
      </c>
      <c r="J1512" t="s">
        <v>61</v>
      </c>
      <c r="K1512" t="s">
        <v>640</v>
      </c>
      <c r="L1512" t="s">
        <v>4591</v>
      </c>
      <c r="M1512" t="s">
        <v>56</v>
      </c>
      <c r="N1512" t="s">
        <v>1183</v>
      </c>
      <c r="O1512" t="s">
        <v>406</v>
      </c>
      <c r="P1512" t="s">
        <v>407</v>
      </c>
      <c r="Q1512" t="s">
        <v>87</v>
      </c>
      <c r="R1512" t="s">
        <v>248</v>
      </c>
      <c r="S1512">
        <v>5000000</v>
      </c>
      <c r="T1512">
        <v>-8205320.0199999996</v>
      </c>
      <c r="U1512" t="s">
        <v>68</v>
      </c>
      <c r="V1512" t="s">
        <v>4547</v>
      </c>
      <c r="W1512" s="9">
        <v>60603954</v>
      </c>
      <c r="X1512" t="s">
        <v>4631</v>
      </c>
      <c r="Y1512" s="1">
        <v>46045</v>
      </c>
      <c r="Z1512" s="1">
        <v>46105</v>
      </c>
      <c r="AA1512" s="2">
        <v>28036.3</v>
      </c>
      <c r="AB1512" s="2">
        <v>23759.58</v>
      </c>
      <c r="AC1512" s="2">
        <v>4276.72</v>
      </c>
      <c r="AD1512" s="2">
        <v>28036.3</v>
      </c>
      <c r="AE1512" t="s">
        <v>4632</v>
      </c>
      <c r="AF1512" t="s">
        <v>72</v>
      </c>
      <c r="AG1512">
        <v>-27</v>
      </c>
      <c r="AH1512" t="s">
        <v>117</v>
      </c>
      <c r="AI1512" t="s">
        <v>74</v>
      </c>
      <c r="AJ1512" t="s">
        <v>75</v>
      </c>
      <c r="AK1512" t="s">
        <v>76</v>
      </c>
      <c r="AL1512" t="s">
        <v>118</v>
      </c>
      <c r="AM1512" t="s">
        <v>78</v>
      </c>
      <c r="AN1512" t="s">
        <v>104</v>
      </c>
      <c r="AO1512" t="s">
        <v>119</v>
      </c>
      <c r="AP1512" t="s">
        <v>46</v>
      </c>
      <c r="AQ1512" t="s">
        <v>81</v>
      </c>
      <c r="AR1512" t="str">
        <f t="shared" si="46"/>
        <v>60603954.STATAM</v>
      </c>
      <c r="AS1512">
        <f t="shared" si="47"/>
        <v>8708176.6099999994</v>
      </c>
      <c r="AT1512" t="s">
        <v>82</v>
      </c>
    </row>
    <row r="1513" spans="1:46" x14ac:dyDescent="0.35">
      <c r="A1513" t="s">
        <v>52</v>
      </c>
      <c r="B1513" t="s">
        <v>53</v>
      </c>
      <c r="C1513" t="s">
        <v>54</v>
      </c>
      <c r="D1513" t="s">
        <v>55</v>
      </c>
      <c r="E1513" t="s">
        <v>56</v>
      </c>
      <c r="F1513" t="s">
        <v>4584</v>
      </c>
      <c r="G1513" t="s">
        <v>4629</v>
      </c>
      <c r="H1513" t="s">
        <v>56</v>
      </c>
      <c r="I1513" t="s">
        <v>4630</v>
      </c>
      <c r="J1513" t="s">
        <v>61</v>
      </c>
      <c r="K1513" t="s">
        <v>640</v>
      </c>
      <c r="L1513" t="s">
        <v>4591</v>
      </c>
      <c r="M1513" t="s">
        <v>56</v>
      </c>
      <c r="N1513" t="s">
        <v>1189</v>
      </c>
      <c r="O1513" t="s">
        <v>406</v>
      </c>
      <c r="P1513" t="s">
        <v>407</v>
      </c>
      <c r="Q1513" t="s">
        <v>87</v>
      </c>
      <c r="R1513" t="s">
        <v>248</v>
      </c>
      <c r="S1513">
        <v>5000000</v>
      </c>
      <c r="T1513">
        <v>-8205320.0199999996</v>
      </c>
      <c r="U1513" t="s">
        <v>68</v>
      </c>
      <c r="V1513" t="s">
        <v>4547</v>
      </c>
      <c r="W1513" s="9">
        <v>60603954</v>
      </c>
      <c r="X1513" t="s">
        <v>4631</v>
      </c>
      <c r="Y1513" s="1">
        <v>46045</v>
      </c>
      <c r="Z1513" s="1">
        <v>46105</v>
      </c>
      <c r="AA1513" s="2">
        <v>201073.33</v>
      </c>
      <c r="AB1513" s="2">
        <v>170401.14</v>
      </c>
      <c r="AC1513" s="2">
        <v>30672.19</v>
      </c>
      <c r="AD1513" s="2">
        <v>201073.33</v>
      </c>
      <c r="AE1513" t="s">
        <v>4633</v>
      </c>
      <c r="AF1513" t="s">
        <v>72</v>
      </c>
      <c r="AG1513">
        <v>-27</v>
      </c>
      <c r="AH1513" t="s">
        <v>117</v>
      </c>
      <c r="AI1513" t="s">
        <v>74</v>
      </c>
      <c r="AJ1513" t="s">
        <v>75</v>
      </c>
      <c r="AK1513" t="s">
        <v>76</v>
      </c>
      <c r="AL1513" t="s">
        <v>118</v>
      </c>
      <c r="AM1513" t="s">
        <v>78</v>
      </c>
      <c r="AN1513" t="s">
        <v>104</v>
      </c>
      <c r="AO1513" t="s">
        <v>119</v>
      </c>
      <c r="AP1513" t="s">
        <v>46</v>
      </c>
      <c r="AQ1513" t="s">
        <v>81</v>
      </c>
      <c r="AR1513" t="str">
        <f t="shared" si="46"/>
        <v>60603954.STATAM</v>
      </c>
      <c r="AS1513">
        <f t="shared" si="47"/>
        <v>8708176.6099999994</v>
      </c>
      <c r="AT1513" t="s">
        <v>82</v>
      </c>
    </row>
    <row r="1514" spans="1:46" x14ac:dyDescent="0.35">
      <c r="A1514" t="s">
        <v>52</v>
      </c>
      <c r="B1514" t="s">
        <v>53</v>
      </c>
      <c r="C1514" t="s">
        <v>54</v>
      </c>
      <c r="D1514" t="s">
        <v>55</v>
      </c>
      <c r="E1514" t="s">
        <v>56</v>
      </c>
      <c r="F1514" t="s">
        <v>4584</v>
      </c>
      <c r="G1514" t="s">
        <v>4629</v>
      </c>
      <c r="H1514" t="s">
        <v>56</v>
      </c>
      <c r="I1514" t="s">
        <v>4630</v>
      </c>
      <c r="J1514" t="s">
        <v>61</v>
      </c>
      <c r="K1514" t="s">
        <v>640</v>
      </c>
      <c r="L1514" t="s">
        <v>4591</v>
      </c>
      <c r="M1514" t="s">
        <v>56</v>
      </c>
      <c r="N1514" t="s">
        <v>655</v>
      </c>
      <c r="O1514" t="s">
        <v>406</v>
      </c>
      <c r="P1514" t="s">
        <v>407</v>
      </c>
      <c r="Q1514" t="s">
        <v>87</v>
      </c>
      <c r="R1514" t="s">
        <v>248</v>
      </c>
      <c r="S1514">
        <v>5000000</v>
      </c>
      <c r="T1514">
        <v>-8205320.0199999996</v>
      </c>
      <c r="U1514" t="s">
        <v>68</v>
      </c>
      <c r="V1514" t="s">
        <v>4547</v>
      </c>
      <c r="W1514" s="9">
        <v>60603954</v>
      </c>
      <c r="X1514" t="s">
        <v>4631</v>
      </c>
      <c r="Y1514" s="1">
        <v>46045</v>
      </c>
      <c r="Z1514" s="1">
        <v>46105</v>
      </c>
      <c r="AA1514" s="2">
        <v>63983.44</v>
      </c>
      <c r="AB1514" s="2">
        <v>54223.26</v>
      </c>
      <c r="AC1514" s="2">
        <v>9760.18</v>
      </c>
      <c r="AD1514" s="2">
        <v>63983.44</v>
      </c>
      <c r="AE1514" t="s">
        <v>4634</v>
      </c>
      <c r="AF1514" t="s">
        <v>72</v>
      </c>
      <c r="AG1514">
        <v>-27</v>
      </c>
      <c r="AH1514" t="s">
        <v>117</v>
      </c>
      <c r="AI1514" t="s">
        <v>74</v>
      </c>
      <c r="AJ1514" t="s">
        <v>75</v>
      </c>
      <c r="AK1514" t="s">
        <v>76</v>
      </c>
      <c r="AL1514" t="s">
        <v>118</v>
      </c>
      <c r="AM1514" t="s">
        <v>78</v>
      </c>
      <c r="AN1514" t="s">
        <v>104</v>
      </c>
      <c r="AO1514" t="s">
        <v>119</v>
      </c>
      <c r="AP1514" t="s">
        <v>46</v>
      </c>
      <c r="AQ1514" t="s">
        <v>81</v>
      </c>
      <c r="AR1514" t="str">
        <f t="shared" si="46"/>
        <v>60603954.STATAM</v>
      </c>
      <c r="AS1514">
        <f t="shared" si="47"/>
        <v>8708176.6099999994</v>
      </c>
      <c r="AT1514" t="s">
        <v>82</v>
      </c>
    </row>
    <row r="1515" spans="1:46" x14ac:dyDescent="0.35">
      <c r="A1515" t="s">
        <v>52</v>
      </c>
      <c r="B1515" t="s">
        <v>53</v>
      </c>
      <c r="C1515" t="s">
        <v>54</v>
      </c>
      <c r="D1515" t="s">
        <v>55</v>
      </c>
      <c r="E1515" t="s">
        <v>56</v>
      </c>
      <c r="F1515" t="s">
        <v>4584</v>
      </c>
      <c r="G1515" t="s">
        <v>4635</v>
      </c>
      <c r="H1515" t="s">
        <v>780</v>
      </c>
      <c r="I1515" t="s">
        <v>4636</v>
      </c>
      <c r="J1515" t="s">
        <v>61</v>
      </c>
      <c r="K1515" t="s">
        <v>640</v>
      </c>
      <c r="L1515" t="s">
        <v>56</v>
      </c>
      <c r="M1515" t="s">
        <v>56</v>
      </c>
      <c r="N1515" t="s">
        <v>782</v>
      </c>
      <c r="O1515" t="s">
        <v>406</v>
      </c>
      <c r="P1515" t="s">
        <v>407</v>
      </c>
      <c r="Q1515" t="s">
        <v>87</v>
      </c>
      <c r="R1515" t="s">
        <v>248</v>
      </c>
      <c r="S1515">
        <v>5000000</v>
      </c>
      <c r="T1515">
        <v>-8205320.0199999996</v>
      </c>
      <c r="U1515" t="s">
        <v>68</v>
      </c>
      <c r="V1515" t="s">
        <v>4547</v>
      </c>
      <c r="W1515" s="9">
        <v>60603954</v>
      </c>
      <c r="X1515" t="s">
        <v>4637</v>
      </c>
      <c r="Y1515" s="1">
        <v>46045</v>
      </c>
      <c r="Z1515" s="1">
        <v>46105</v>
      </c>
      <c r="AA1515" s="2">
        <v>295000</v>
      </c>
      <c r="AB1515" s="2">
        <v>250000</v>
      </c>
      <c r="AC1515" s="2">
        <v>45000</v>
      </c>
      <c r="AD1515" s="2">
        <v>295000</v>
      </c>
      <c r="AE1515" t="s">
        <v>4638</v>
      </c>
      <c r="AF1515" t="s">
        <v>72</v>
      </c>
      <c r="AG1515">
        <v>-27</v>
      </c>
      <c r="AH1515" t="s">
        <v>117</v>
      </c>
      <c r="AI1515" t="s">
        <v>74</v>
      </c>
      <c r="AJ1515" t="s">
        <v>75</v>
      </c>
      <c r="AK1515" t="s">
        <v>76</v>
      </c>
      <c r="AL1515" t="s">
        <v>118</v>
      </c>
      <c r="AM1515" t="s">
        <v>78</v>
      </c>
      <c r="AN1515" t="s">
        <v>104</v>
      </c>
      <c r="AO1515" t="s">
        <v>119</v>
      </c>
      <c r="AP1515" t="s">
        <v>46</v>
      </c>
      <c r="AQ1515" t="s">
        <v>81</v>
      </c>
      <c r="AR1515" t="str">
        <f t="shared" si="46"/>
        <v>60603954.STATAM</v>
      </c>
      <c r="AS1515">
        <f t="shared" si="47"/>
        <v>8708176.6099999994</v>
      </c>
      <c r="AT1515" t="s">
        <v>82</v>
      </c>
    </row>
    <row r="1516" spans="1:46" x14ac:dyDescent="0.35">
      <c r="A1516" t="s">
        <v>52</v>
      </c>
      <c r="B1516" t="s">
        <v>53</v>
      </c>
      <c r="C1516" t="s">
        <v>54</v>
      </c>
      <c r="D1516" t="s">
        <v>55</v>
      </c>
      <c r="E1516" t="s">
        <v>56</v>
      </c>
      <c r="F1516" t="s">
        <v>4584</v>
      </c>
      <c r="G1516" t="s">
        <v>4639</v>
      </c>
      <c r="H1516" t="s">
        <v>56</v>
      </c>
      <c r="I1516" t="s">
        <v>4640</v>
      </c>
      <c r="J1516" t="s">
        <v>56</v>
      </c>
      <c r="K1516" t="s">
        <v>640</v>
      </c>
      <c r="L1516" t="s">
        <v>4641</v>
      </c>
      <c r="M1516" t="s">
        <v>56</v>
      </c>
      <c r="N1516" t="s">
        <v>263</v>
      </c>
      <c r="O1516" t="s">
        <v>406</v>
      </c>
      <c r="P1516" t="s">
        <v>407</v>
      </c>
      <c r="Q1516" t="s">
        <v>641</v>
      </c>
      <c r="R1516" t="s">
        <v>248</v>
      </c>
      <c r="S1516">
        <v>5000000</v>
      </c>
      <c r="T1516">
        <v>-8205320.0199999996</v>
      </c>
      <c r="U1516" t="s">
        <v>68</v>
      </c>
      <c r="V1516" t="s">
        <v>4547</v>
      </c>
      <c r="W1516" s="9">
        <v>60603954</v>
      </c>
      <c r="X1516" t="s">
        <v>4642</v>
      </c>
      <c r="Y1516" s="1">
        <v>46057</v>
      </c>
      <c r="Z1516" s="1">
        <v>46117</v>
      </c>
      <c r="AA1516" s="2">
        <v>143352.29999999999</v>
      </c>
      <c r="AB1516" s="2">
        <v>121485</v>
      </c>
      <c r="AC1516" s="2">
        <v>21867.3</v>
      </c>
      <c r="AD1516" s="2">
        <v>143352.29999999999</v>
      </c>
      <c r="AE1516" t="s">
        <v>4643</v>
      </c>
      <c r="AF1516" t="s">
        <v>72</v>
      </c>
      <c r="AG1516">
        <v>-39</v>
      </c>
      <c r="AH1516" t="s">
        <v>117</v>
      </c>
      <c r="AI1516" t="s">
        <v>74</v>
      </c>
      <c r="AJ1516" t="s">
        <v>75</v>
      </c>
      <c r="AK1516" t="s">
        <v>76</v>
      </c>
      <c r="AL1516" t="s">
        <v>118</v>
      </c>
      <c r="AM1516" t="s">
        <v>78</v>
      </c>
      <c r="AN1516" t="s">
        <v>104</v>
      </c>
      <c r="AO1516" t="s">
        <v>119</v>
      </c>
      <c r="AP1516" t="s">
        <v>46</v>
      </c>
      <c r="AQ1516" t="s">
        <v>81</v>
      </c>
      <c r="AR1516" t="str">
        <f t="shared" si="46"/>
        <v>60603954.STATAM</v>
      </c>
      <c r="AS1516">
        <f t="shared" si="47"/>
        <v>8708176.6099999994</v>
      </c>
      <c r="AT1516" t="s">
        <v>82</v>
      </c>
    </row>
    <row r="1517" spans="1:46" x14ac:dyDescent="0.35">
      <c r="A1517" t="s">
        <v>52</v>
      </c>
      <c r="B1517" t="s">
        <v>53</v>
      </c>
      <c r="C1517" t="s">
        <v>54</v>
      </c>
      <c r="D1517" t="s">
        <v>55</v>
      </c>
      <c r="E1517" t="s">
        <v>56</v>
      </c>
      <c r="F1517" t="s">
        <v>4584</v>
      </c>
      <c r="G1517" t="s">
        <v>4639</v>
      </c>
      <c r="H1517" t="s">
        <v>56</v>
      </c>
      <c r="I1517" t="s">
        <v>4640</v>
      </c>
      <c r="J1517" t="s">
        <v>56</v>
      </c>
      <c r="K1517" t="s">
        <v>640</v>
      </c>
      <c r="L1517" t="s">
        <v>4641</v>
      </c>
      <c r="M1517" t="s">
        <v>56</v>
      </c>
      <c r="N1517" t="s">
        <v>244</v>
      </c>
      <c r="O1517" t="s">
        <v>406</v>
      </c>
      <c r="P1517" t="s">
        <v>407</v>
      </c>
      <c r="Q1517" t="s">
        <v>641</v>
      </c>
      <c r="R1517" t="s">
        <v>248</v>
      </c>
      <c r="S1517">
        <v>5000000</v>
      </c>
      <c r="T1517">
        <v>-8205320.0199999996</v>
      </c>
      <c r="U1517" t="s">
        <v>68</v>
      </c>
      <c r="V1517" t="s">
        <v>4547</v>
      </c>
      <c r="W1517" s="9">
        <v>60603954</v>
      </c>
      <c r="X1517" t="s">
        <v>4642</v>
      </c>
      <c r="Y1517" s="1">
        <v>46057</v>
      </c>
      <c r="Z1517" s="1">
        <v>46117</v>
      </c>
      <c r="AA1517" s="2">
        <v>495935.12</v>
      </c>
      <c r="AB1517" s="2">
        <v>420284</v>
      </c>
      <c r="AC1517" s="2">
        <v>75651.12</v>
      </c>
      <c r="AD1517" s="2">
        <v>495935.12</v>
      </c>
      <c r="AE1517" t="s">
        <v>4644</v>
      </c>
      <c r="AF1517" t="s">
        <v>72</v>
      </c>
      <c r="AG1517">
        <v>-39</v>
      </c>
      <c r="AH1517" t="s">
        <v>117</v>
      </c>
      <c r="AI1517" t="s">
        <v>74</v>
      </c>
      <c r="AJ1517" t="s">
        <v>75</v>
      </c>
      <c r="AK1517" t="s">
        <v>76</v>
      </c>
      <c r="AL1517" t="s">
        <v>118</v>
      </c>
      <c r="AM1517" t="s">
        <v>78</v>
      </c>
      <c r="AN1517" t="s">
        <v>104</v>
      </c>
      <c r="AO1517" t="s">
        <v>119</v>
      </c>
      <c r="AP1517" t="s">
        <v>46</v>
      </c>
      <c r="AQ1517" t="s">
        <v>81</v>
      </c>
      <c r="AR1517" t="str">
        <f t="shared" si="46"/>
        <v>60603954.STATAM</v>
      </c>
      <c r="AS1517">
        <f t="shared" si="47"/>
        <v>8708176.6099999994</v>
      </c>
      <c r="AT1517" t="s">
        <v>82</v>
      </c>
    </row>
    <row r="1518" spans="1:46" x14ac:dyDescent="0.35">
      <c r="A1518" t="s">
        <v>52</v>
      </c>
      <c r="B1518" t="s">
        <v>53</v>
      </c>
      <c r="C1518" t="s">
        <v>54</v>
      </c>
      <c r="D1518" t="s">
        <v>55</v>
      </c>
      <c r="E1518" t="s">
        <v>56</v>
      </c>
      <c r="F1518" t="s">
        <v>4584</v>
      </c>
      <c r="G1518" t="s">
        <v>4645</v>
      </c>
      <c r="H1518" t="s">
        <v>56</v>
      </c>
      <c r="I1518" t="s">
        <v>4646</v>
      </c>
      <c r="J1518" t="s">
        <v>61</v>
      </c>
      <c r="K1518" t="s">
        <v>640</v>
      </c>
      <c r="L1518" t="s">
        <v>4647</v>
      </c>
      <c r="M1518" t="s">
        <v>56</v>
      </c>
      <c r="N1518" t="s">
        <v>263</v>
      </c>
      <c r="O1518" t="s">
        <v>406</v>
      </c>
      <c r="P1518" t="s">
        <v>407</v>
      </c>
      <c r="Q1518" t="s">
        <v>87</v>
      </c>
      <c r="R1518" t="s">
        <v>248</v>
      </c>
      <c r="S1518">
        <v>5000000</v>
      </c>
      <c r="T1518">
        <v>-8205320.0199999996</v>
      </c>
      <c r="U1518" t="s">
        <v>68</v>
      </c>
      <c r="V1518" t="s">
        <v>4547</v>
      </c>
      <c r="W1518" s="9">
        <v>60603954</v>
      </c>
      <c r="X1518" t="s">
        <v>4648</v>
      </c>
      <c r="Y1518" s="1">
        <v>46057</v>
      </c>
      <c r="Z1518" s="1">
        <v>46117</v>
      </c>
      <c r="AA1518" s="2">
        <v>112460</v>
      </c>
      <c r="AB1518" s="2">
        <v>95305.08</v>
      </c>
      <c r="AC1518" s="2">
        <v>17154.919999999998</v>
      </c>
      <c r="AD1518" s="2">
        <v>112460</v>
      </c>
      <c r="AE1518" t="s">
        <v>4649</v>
      </c>
      <c r="AF1518" t="s">
        <v>72</v>
      </c>
      <c r="AG1518">
        <v>-39</v>
      </c>
      <c r="AH1518" t="s">
        <v>117</v>
      </c>
      <c r="AI1518" t="s">
        <v>74</v>
      </c>
      <c r="AJ1518" t="s">
        <v>75</v>
      </c>
      <c r="AK1518" t="s">
        <v>76</v>
      </c>
      <c r="AL1518" t="s">
        <v>118</v>
      </c>
      <c r="AM1518" t="s">
        <v>78</v>
      </c>
      <c r="AN1518" t="s">
        <v>104</v>
      </c>
      <c r="AO1518" t="s">
        <v>119</v>
      </c>
      <c r="AP1518" t="s">
        <v>46</v>
      </c>
      <c r="AQ1518" t="s">
        <v>81</v>
      </c>
      <c r="AR1518" t="str">
        <f t="shared" si="46"/>
        <v>60603954.STATAM</v>
      </c>
      <c r="AS1518">
        <f t="shared" si="47"/>
        <v>8708176.6099999994</v>
      </c>
      <c r="AT1518" t="s">
        <v>82</v>
      </c>
    </row>
    <row r="1519" spans="1:46" x14ac:dyDescent="0.35">
      <c r="A1519" t="s">
        <v>52</v>
      </c>
      <c r="B1519" t="s">
        <v>53</v>
      </c>
      <c r="C1519" t="s">
        <v>54</v>
      </c>
      <c r="D1519" t="s">
        <v>55</v>
      </c>
      <c r="E1519" t="s">
        <v>56</v>
      </c>
      <c r="F1519" t="s">
        <v>4584</v>
      </c>
      <c r="G1519" t="s">
        <v>4650</v>
      </c>
      <c r="H1519" t="s">
        <v>56</v>
      </c>
      <c r="I1519" t="s">
        <v>4651</v>
      </c>
      <c r="J1519" t="s">
        <v>61</v>
      </c>
      <c r="K1519" t="s">
        <v>640</v>
      </c>
      <c r="L1519" t="s">
        <v>56</v>
      </c>
      <c r="M1519" t="s">
        <v>56</v>
      </c>
      <c r="N1519" t="s">
        <v>295</v>
      </c>
      <c r="O1519" t="s">
        <v>406</v>
      </c>
      <c r="P1519" t="s">
        <v>407</v>
      </c>
      <c r="Q1519" t="s">
        <v>87</v>
      </c>
      <c r="R1519" t="s">
        <v>248</v>
      </c>
      <c r="S1519">
        <v>5000000</v>
      </c>
      <c r="T1519">
        <v>-8205320.0199999996</v>
      </c>
      <c r="U1519" t="s">
        <v>68</v>
      </c>
      <c r="V1519" t="s">
        <v>4547</v>
      </c>
      <c r="W1519" s="9">
        <v>60603954</v>
      </c>
      <c r="X1519" t="s">
        <v>4652</v>
      </c>
      <c r="Y1519" s="1">
        <v>46057</v>
      </c>
      <c r="Z1519" s="1">
        <v>46117</v>
      </c>
      <c r="AA1519" s="2">
        <v>12837.74</v>
      </c>
      <c r="AB1519" s="2">
        <v>10879.44</v>
      </c>
      <c r="AC1519" s="2">
        <v>1958.3</v>
      </c>
      <c r="AD1519" s="2">
        <v>12837.74</v>
      </c>
      <c r="AE1519" t="s">
        <v>4653</v>
      </c>
      <c r="AF1519" t="s">
        <v>72</v>
      </c>
      <c r="AG1519">
        <v>-39</v>
      </c>
      <c r="AH1519" t="s">
        <v>117</v>
      </c>
      <c r="AI1519" t="s">
        <v>74</v>
      </c>
      <c r="AJ1519" t="s">
        <v>75</v>
      </c>
      <c r="AK1519" t="s">
        <v>76</v>
      </c>
      <c r="AL1519" t="s">
        <v>118</v>
      </c>
      <c r="AM1519" t="s">
        <v>78</v>
      </c>
      <c r="AN1519" t="s">
        <v>104</v>
      </c>
      <c r="AO1519" t="s">
        <v>119</v>
      </c>
      <c r="AP1519" t="s">
        <v>46</v>
      </c>
      <c r="AQ1519" t="s">
        <v>81</v>
      </c>
      <c r="AR1519" t="str">
        <f t="shared" si="46"/>
        <v>60603954.STATAM</v>
      </c>
      <c r="AS1519">
        <f t="shared" si="47"/>
        <v>8708176.6099999994</v>
      </c>
      <c r="AT1519" t="s">
        <v>82</v>
      </c>
    </row>
    <row r="1520" spans="1:46" x14ac:dyDescent="0.35">
      <c r="A1520" t="s">
        <v>52</v>
      </c>
      <c r="B1520" t="s">
        <v>53</v>
      </c>
      <c r="C1520" t="s">
        <v>54</v>
      </c>
      <c r="D1520" t="s">
        <v>55</v>
      </c>
      <c r="E1520" t="s">
        <v>56</v>
      </c>
      <c r="F1520" t="s">
        <v>4584</v>
      </c>
      <c r="G1520" t="s">
        <v>4650</v>
      </c>
      <c r="H1520" t="s">
        <v>56</v>
      </c>
      <c r="I1520" t="s">
        <v>4651</v>
      </c>
      <c r="J1520" t="s">
        <v>61</v>
      </c>
      <c r="K1520" t="s">
        <v>640</v>
      </c>
      <c r="L1520" t="s">
        <v>56</v>
      </c>
      <c r="M1520" t="s">
        <v>56</v>
      </c>
      <c r="N1520" t="s">
        <v>252</v>
      </c>
      <c r="O1520" t="s">
        <v>406</v>
      </c>
      <c r="P1520" t="s">
        <v>407</v>
      </c>
      <c r="Q1520" t="s">
        <v>87</v>
      </c>
      <c r="R1520" t="s">
        <v>248</v>
      </c>
      <c r="S1520">
        <v>5000000</v>
      </c>
      <c r="T1520">
        <v>-8205320.0199999996</v>
      </c>
      <c r="U1520" t="s">
        <v>68</v>
      </c>
      <c r="V1520" t="s">
        <v>4547</v>
      </c>
      <c r="W1520" s="9">
        <v>60603954</v>
      </c>
      <c r="X1520" t="s">
        <v>4652</v>
      </c>
      <c r="Y1520" s="1">
        <v>46057</v>
      </c>
      <c r="Z1520" s="1">
        <v>46117</v>
      </c>
      <c r="AA1520" s="2">
        <v>24476.2</v>
      </c>
      <c r="AB1520" s="2">
        <v>20742.54</v>
      </c>
      <c r="AC1520" s="2">
        <v>3733.66</v>
      </c>
      <c r="AD1520" s="2">
        <v>24476.2</v>
      </c>
      <c r="AE1520" t="s">
        <v>4654</v>
      </c>
      <c r="AF1520" t="s">
        <v>72</v>
      </c>
      <c r="AG1520">
        <v>-39</v>
      </c>
      <c r="AH1520" t="s">
        <v>117</v>
      </c>
      <c r="AI1520" t="s">
        <v>74</v>
      </c>
      <c r="AJ1520" t="s">
        <v>75</v>
      </c>
      <c r="AK1520" t="s">
        <v>76</v>
      </c>
      <c r="AL1520" t="s">
        <v>118</v>
      </c>
      <c r="AM1520" t="s">
        <v>78</v>
      </c>
      <c r="AN1520" t="s">
        <v>104</v>
      </c>
      <c r="AO1520" t="s">
        <v>119</v>
      </c>
      <c r="AP1520" t="s">
        <v>46</v>
      </c>
      <c r="AQ1520" t="s">
        <v>81</v>
      </c>
      <c r="AR1520" t="str">
        <f t="shared" si="46"/>
        <v>60603954.STATAM</v>
      </c>
      <c r="AS1520">
        <f t="shared" si="47"/>
        <v>8708176.6099999994</v>
      </c>
      <c r="AT1520" t="s">
        <v>82</v>
      </c>
    </row>
    <row r="1521" spans="1:46" x14ac:dyDescent="0.35">
      <c r="A1521" t="s">
        <v>52</v>
      </c>
      <c r="B1521" t="s">
        <v>53</v>
      </c>
      <c r="C1521" t="s">
        <v>54</v>
      </c>
      <c r="D1521" t="s">
        <v>55</v>
      </c>
      <c r="E1521" t="s">
        <v>56</v>
      </c>
      <c r="F1521" t="s">
        <v>4584</v>
      </c>
      <c r="G1521" t="s">
        <v>4655</v>
      </c>
      <c r="H1521" t="s">
        <v>56</v>
      </c>
      <c r="I1521" t="s">
        <v>4656</v>
      </c>
      <c r="J1521" t="s">
        <v>61</v>
      </c>
      <c r="K1521" t="s">
        <v>640</v>
      </c>
      <c r="L1521" t="s">
        <v>56</v>
      </c>
      <c r="M1521" t="s">
        <v>56</v>
      </c>
      <c r="N1521" t="s">
        <v>252</v>
      </c>
      <c r="O1521" t="s">
        <v>406</v>
      </c>
      <c r="P1521" t="s">
        <v>407</v>
      </c>
      <c r="Q1521" t="s">
        <v>87</v>
      </c>
      <c r="R1521" t="s">
        <v>248</v>
      </c>
      <c r="S1521">
        <v>5000000</v>
      </c>
      <c r="T1521">
        <v>-8205320.0199999996</v>
      </c>
      <c r="U1521" t="s">
        <v>68</v>
      </c>
      <c r="V1521" t="s">
        <v>4547</v>
      </c>
      <c r="W1521" s="9">
        <v>60603954</v>
      </c>
      <c r="X1521" t="s">
        <v>4657</v>
      </c>
      <c r="Y1521" s="1">
        <v>46059</v>
      </c>
      <c r="Z1521" s="1">
        <v>46119</v>
      </c>
      <c r="AA1521" s="2">
        <v>3176.3</v>
      </c>
      <c r="AB1521" s="2">
        <v>2691.78</v>
      </c>
      <c r="AC1521" s="2">
        <v>484.52</v>
      </c>
      <c r="AD1521" s="2">
        <v>3176.3</v>
      </c>
      <c r="AE1521" t="s">
        <v>4658</v>
      </c>
      <c r="AF1521" t="s">
        <v>72</v>
      </c>
      <c r="AG1521">
        <v>-41</v>
      </c>
      <c r="AH1521" t="s">
        <v>117</v>
      </c>
      <c r="AI1521" t="s">
        <v>74</v>
      </c>
      <c r="AJ1521" t="s">
        <v>75</v>
      </c>
      <c r="AK1521" t="s">
        <v>76</v>
      </c>
      <c r="AL1521" t="s">
        <v>118</v>
      </c>
      <c r="AM1521" t="s">
        <v>78</v>
      </c>
      <c r="AN1521" t="s">
        <v>104</v>
      </c>
      <c r="AO1521" t="s">
        <v>119</v>
      </c>
      <c r="AP1521" t="s">
        <v>46</v>
      </c>
      <c r="AQ1521" t="s">
        <v>81</v>
      </c>
      <c r="AR1521" t="str">
        <f t="shared" si="46"/>
        <v>60603954.STATAM</v>
      </c>
      <c r="AS1521">
        <f t="shared" si="47"/>
        <v>8708176.6099999994</v>
      </c>
      <c r="AT1521" t="s">
        <v>82</v>
      </c>
    </row>
    <row r="1522" spans="1:46" x14ac:dyDescent="0.35">
      <c r="A1522" t="s">
        <v>52</v>
      </c>
      <c r="B1522" t="s">
        <v>53</v>
      </c>
      <c r="C1522" t="s">
        <v>54</v>
      </c>
      <c r="D1522" t="s">
        <v>55</v>
      </c>
      <c r="E1522" t="s">
        <v>56</v>
      </c>
      <c r="F1522" t="s">
        <v>4584</v>
      </c>
      <c r="G1522" t="s">
        <v>4659</v>
      </c>
      <c r="H1522" t="s">
        <v>56</v>
      </c>
      <c r="I1522" t="s">
        <v>4660</v>
      </c>
      <c r="J1522" t="s">
        <v>61</v>
      </c>
      <c r="K1522" t="s">
        <v>640</v>
      </c>
      <c r="L1522" t="s">
        <v>4661</v>
      </c>
      <c r="M1522" t="s">
        <v>56</v>
      </c>
      <c r="N1522" t="s">
        <v>261</v>
      </c>
      <c r="O1522" t="s">
        <v>406</v>
      </c>
      <c r="P1522" t="s">
        <v>407</v>
      </c>
      <c r="Q1522" t="s">
        <v>87</v>
      </c>
      <c r="R1522" t="s">
        <v>248</v>
      </c>
      <c r="S1522">
        <v>5000000</v>
      </c>
      <c r="T1522">
        <v>-8205320.0199999996</v>
      </c>
      <c r="U1522" t="s">
        <v>68</v>
      </c>
      <c r="V1522" t="s">
        <v>4547</v>
      </c>
      <c r="W1522" s="9">
        <v>60603954</v>
      </c>
      <c r="X1522" t="s">
        <v>4662</v>
      </c>
      <c r="Y1522" s="1">
        <v>46059</v>
      </c>
      <c r="Z1522" s="1">
        <v>46119</v>
      </c>
      <c r="AA1522" s="2">
        <v>78997.440000000002</v>
      </c>
      <c r="AB1522" s="2">
        <v>66946.98</v>
      </c>
      <c r="AC1522" s="2">
        <v>12050.46</v>
      </c>
      <c r="AD1522" s="2">
        <v>78997.440000000002</v>
      </c>
      <c r="AE1522" t="s">
        <v>4663</v>
      </c>
      <c r="AF1522" t="s">
        <v>72</v>
      </c>
      <c r="AG1522">
        <v>-41</v>
      </c>
      <c r="AH1522" t="s">
        <v>117</v>
      </c>
      <c r="AI1522" t="s">
        <v>74</v>
      </c>
      <c r="AJ1522" t="s">
        <v>75</v>
      </c>
      <c r="AK1522" t="s">
        <v>76</v>
      </c>
      <c r="AL1522" t="s">
        <v>118</v>
      </c>
      <c r="AM1522" t="s">
        <v>78</v>
      </c>
      <c r="AN1522" t="s">
        <v>104</v>
      </c>
      <c r="AO1522" t="s">
        <v>119</v>
      </c>
      <c r="AP1522" t="s">
        <v>46</v>
      </c>
      <c r="AQ1522" t="s">
        <v>81</v>
      </c>
      <c r="AR1522" t="str">
        <f t="shared" si="46"/>
        <v>60603954.STATAM</v>
      </c>
      <c r="AS1522">
        <f t="shared" si="47"/>
        <v>8708176.6099999994</v>
      </c>
      <c r="AT1522" t="s">
        <v>82</v>
      </c>
    </row>
    <row r="1523" spans="1:46" x14ac:dyDescent="0.35">
      <c r="A1523" t="s">
        <v>52</v>
      </c>
      <c r="B1523" t="s">
        <v>53</v>
      </c>
      <c r="C1523" t="s">
        <v>54</v>
      </c>
      <c r="D1523" t="s">
        <v>55</v>
      </c>
      <c r="E1523" t="s">
        <v>56</v>
      </c>
      <c r="F1523" t="s">
        <v>4584</v>
      </c>
      <c r="G1523" t="s">
        <v>4664</v>
      </c>
      <c r="H1523" t="s">
        <v>56</v>
      </c>
      <c r="I1523" t="s">
        <v>4665</v>
      </c>
      <c r="J1523" t="s">
        <v>56</v>
      </c>
      <c r="K1523" t="s">
        <v>640</v>
      </c>
      <c r="L1523" t="s">
        <v>4666</v>
      </c>
      <c r="M1523" t="s">
        <v>56</v>
      </c>
      <c r="N1523" t="s">
        <v>254</v>
      </c>
      <c r="O1523" t="s">
        <v>406</v>
      </c>
      <c r="P1523" t="s">
        <v>407</v>
      </c>
      <c r="Q1523" t="s">
        <v>641</v>
      </c>
      <c r="R1523" t="s">
        <v>248</v>
      </c>
      <c r="S1523">
        <v>5000000</v>
      </c>
      <c r="T1523">
        <v>-8205320.0199999996</v>
      </c>
      <c r="U1523" t="s">
        <v>68</v>
      </c>
      <c r="V1523" t="s">
        <v>4547</v>
      </c>
      <c r="W1523" s="9">
        <v>60603954</v>
      </c>
      <c r="X1523" t="s">
        <v>4667</v>
      </c>
      <c r="Y1523" s="1">
        <v>46059</v>
      </c>
      <c r="Z1523" s="1">
        <v>46119</v>
      </c>
      <c r="AA1523" s="2">
        <v>397270.6</v>
      </c>
      <c r="AB1523" s="2">
        <v>336670</v>
      </c>
      <c r="AC1523" s="2">
        <v>60600.6</v>
      </c>
      <c r="AD1523" s="2">
        <v>397270.6</v>
      </c>
      <c r="AE1523" t="s">
        <v>4668</v>
      </c>
      <c r="AF1523" t="s">
        <v>72</v>
      </c>
      <c r="AG1523">
        <v>-41</v>
      </c>
      <c r="AH1523" t="s">
        <v>117</v>
      </c>
      <c r="AI1523" t="s">
        <v>74</v>
      </c>
      <c r="AJ1523" t="s">
        <v>75</v>
      </c>
      <c r="AK1523" t="s">
        <v>76</v>
      </c>
      <c r="AL1523" t="s">
        <v>118</v>
      </c>
      <c r="AM1523" t="s">
        <v>78</v>
      </c>
      <c r="AN1523" t="s">
        <v>104</v>
      </c>
      <c r="AO1523" t="s">
        <v>119</v>
      </c>
      <c r="AP1523" t="s">
        <v>46</v>
      </c>
      <c r="AQ1523" t="s">
        <v>81</v>
      </c>
      <c r="AR1523" t="str">
        <f t="shared" si="46"/>
        <v>60603954.STATAM</v>
      </c>
      <c r="AS1523">
        <f t="shared" si="47"/>
        <v>8708176.6099999994</v>
      </c>
      <c r="AT1523" t="s">
        <v>82</v>
      </c>
    </row>
    <row r="1524" spans="1:46" x14ac:dyDescent="0.35">
      <c r="A1524" t="s">
        <v>52</v>
      </c>
      <c r="B1524" t="s">
        <v>53</v>
      </c>
      <c r="C1524" t="s">
        <v>54</v>
      </c>
      <c r="D1524" t="s">
        <v>55</v>
      </c>
      <c r="E1524" t="s">
        <v>56</v>
      </c>
      <c r="F1524" t="s">
        <v>4584</v>
      </c>
      <c r="G1524" t="s">
        <v>4655</v>
      </c>
      <c r="H1524" t="s">
        <v>56</v>
      </c>
      <c r="I1524" t="s">
        <v>4669</v>
      </c>
      <c r="J1524" t="s">
        <v>61</v>
      </c>
      <c r="K1524" t="s">
        <v>640</v>
      </c>
      <c r="L1524" t="s">
        <v>56</v>
      </c>
      <c r="M1524" t="s">
        <v>56</v>
      </c>
      <c r="N1524" t="s">
        <v>261</v>
      </c>
      <c r="O1524" t="s">
        <v>406</v>
      </c>
      <c r="P1524" t="s">
        <v>407</v>
      </c>
      <c r="Q1524" t="s">
        <v>87</v>
      </c>
      <c r="R1524" t="s">
        <v>248</v>
      </c>
      <c r="S1524">
        <v>5000000</v>
      </c>
      <c r="T1524">
        <v>-8205320.0199999996</v>
      </c>
      <c r="U1524" t="s">
        <v>68</v>
      </c>
      <c r="V1524" t="s">
        <v>4547</v>
      </c>
      <c r="W1524" s="9">
        <v>60603954</v>
      </c>
      <c r="X1524" t="s">
        <v>4670</v>
      </c>
      <c r="Y1524" s="1">
        <v>46059</v>
      </c>
      <c r="Z1524" s="1">
        <v>46119</v>
      </c>
      <c r="AA1524" s="2">
        <v>83207.850000000006</v>
      </c>
      <c r="AB1524" s="2">
        <v>70515.12</v>
      </c>
      <c r="AC1524" s="2">
        <v>12692.73</v>
      </c>
      <c r="AD1524" s="2">
        <v>83207.850000000006</v>
      </c>
      <c r="AE1524" t="s">
        <v>4671</v>
      </c>
      <c r="AF1524" t="s">
        <v>72</v>
      </c>
      <c r="AG1524">
        <v>-41</v>
      </c>
      <c r="AH1524" t="s">
        <v>117</v>
      </c>
      <c r="AI1524" t="s">
        <v>74</v>
      </c>
      <c r="AJ1524" t="s">
        <v>75</v>
      </c>
      <c r="AK1524" t="s">
        <v>76</v>
      </c>
      <c r="AL1524" t="s">
        <v>118</v>
      </c>
      <c r="AM1524" t="s">
        <v>78</v>
      </c>
      <c r="AN1524" t="s">
        <v>104</v>
      </c>
      <c r="AO1524" t="s">
        <v>119</v>
      </c>
      <c r="AP1524" t="s">
        <v>46</v>
      </c>
      <c r="AQ1524" t="s">
        <v>81</v>
      </c>
      <c r="AR1524" t="str">
        <f t="shared" si="46"/>
        <v>60603954.STATAM</v>
      </c>
      <c r="AS1524">
        <f t="shared" si="47"/>
        <v>8708176.6099999994</v>
      </c>
      <c r="AT1524" t="s">
        <v>82</v>
      </c>
    </row>
    <row r="1525" spans="1:46" x14ac:dyDescent="0.35">
      <c r="A1525" t="s">
        <v>52</v>
      </c>
      <c r="B1525" t="s">
        <v>53</v>
      </c>
      <c r="C1525" t="s">
        <v>54</v>
      </c>
      <c r="D1525" t="s">
        <v>55</v>
      </c>
      <c r="E1525" t="s">
        <v>56</v>
      </c>
      <c r="F1525" t="s">
        <v>4584</v>
      </c>
      <c r="G1525" t="s">
        <v>4655</v>
      </c>
      <c r="H1525" t="s">
        <v>56</v>
      </c>
      <c r="I1525" t="s">
        <v>4669</v>
      </c>
      <c r="J1525" t="s">
        <v>61</v>
      </c>
      <c r="K1525" t="s">
        <v>640</v>
      </c>
      <c r="L1525" t="s">
        <v>56</v>
      </c>
      <c r="M1525" t="s">
        <v>56</v>
      </c>
      <c r="N1525" t="s">
        <v>252</v>
      </c>
      <c r="O1525" t="s">
        <v>406</v>
      </c>
      <c r="P1525" t="s">
        <v>407</v>
      </c>
      <c r="Q1525" t="s">
        <v>87</v>
      </c>
      <c r="R1525" t="s">
        <v>248</v>
      </c>
      <c r="S1525">
        <v>5000000</v>
      </c>
      <c r="T1525">
        <v>-8205320.0199999996</v>
      </c>
      <c r="U1525" t="s">
        <v>68</v>
      </c>
      <c r="V1525" t="s">
        <v>4547</v>
      </c>
      <c r="W1525" s="9">
        <v>60603954</v>
      </c>
      <c r="X1525" t="s">
        <v>4670</v>
      </c>
      <c r="Y1525" s="1">
        <v>46059</v>
      </c>
      <c r="Z1525" s="1">
        <v>46119</v>
      </c>
      <c r="AA1525" s="2">
        <v>190803.53</v>
      </c>
      <c r="AB1525" s="2">
        <v>161697.9</v>
      </c>
      <c r="AC1525" s="2">
        <v>29105.63</v>
      </c>
      <c r="AD1525" s="2">
        <v>190803.53</v>
      </c>
      <c r="AE1525" t="s">
        <v>4672</v>
      </c>
      <c r="AF1525" t="s">
        <v>72</v>
      </c>
      <c r="AG1525">
        <v>-41</v>
      </c>
      <c r="AH1525" t="s">
        <v>117</v>
      </c>
      <c r="AI1525" t="s">
        <v>74</v>
      </c>
      <c r="AJ1525" t="s">
        <v>75</v>
      </c>
      <c r="AK1525" t="s">
        <v>76</v>
      </c>
      <c r="AL1525" t="s">
        <v>118</v>
      </c>
      <c r="AM1525" t="s">
        <v>78</v>
      </c>
      <c r="AN1525" t="s">
        <v>104</v>
      </c>
      <c r="AO1525" t="s">
        <v>119</v>
      </c>
      <c r="AP1525" t="s">
        <v>46</v>
      </c>
      <c r="AQ1525" t="s">
        <v>81</v>
      </c>
      <c r="AR1525" t="str">
        <f t="shared" si="46"/>
        <v>60603954.STATAM</v>
      </c>
      <c r="AS1525">
        <f t="shared" si="47"/>
        <v>8708176.6099999994</v>
      </c>
      <c r="AT1525" t="s">
        <v>82</v>
      </c>
    </row>
    <row r="1526" spans="1:46" x14ac:dyDescent="0.35">
      <c r="A1526" t="s">
        <v>52</v>
      </c>
      <c r="B1526" t="s">
        <v>53</v>
      </c>
      <c r="C1526" t="s">
        <v>54</v>
      </c>
      <c r="D1526" t="s">
        <v>55</v>
      </c>
      <c r="E1526" t="s">
        <v>56</v>
      </c>
      <c r="F1526" t="s">
        <v>4584</v>
      </c>
      <c r="G1526" t="s">
        <v>4673</v>
      </c>
      <c r="H1526" t="s">
        <v>56</v>
      </c>
      <c r="I1526" t="s">
        <v>4674</v>
      </c>
      <c r="J1526" t="s">
        <v>61</v>
      </c>
      <c r="K1526" t="s">
        <v>640</v>
      </c>
      <c r="L1526" t="s">
        <v>56</v>
      </c>
      <c r="M1526" t="s">
        <v>56</v>
      </c>
      <c r="N1526" t="s">
        <v>1384</v>
      </c>
      <c r="O1526" t="s">
        <v>406</v>
      </c>
      <c r="P1526" t="s">
        <v>407</v>
      </c>
      <c r="Q1526" t="s">
        <v>87</v>
      </c>
      <c r="R1526" t="s">
        <v>248</v>
      </c>
      <c r="S1526">
        <v>5000000</v>
      </c>
      <c r="T1526">
        <v>-8205320.0199999996</v>
      </c>
      <c r="U1526" t="s">
        <v>68</v>
      </c>
      <c r="V1526" t="s">
        <v>4547</v>
      </c>
      <c r="W1526" s="9">
        <v>60603954</v>
      </c>
      <c r="X1526" t="s">
        <v>4675</v>
      </c>
      <c r="Y1526" s="1">
        <v>46065</v>
      </c>
      <c r="Z1526" s="1">
        <v>46125</v>
      </c>
      <c r="AA1526" s="2">
        <v>4012000</v>
      </c>
      <c r="AB1526" s="2">
        <v>3400000</v>
      </c>
      <c r="AC1526" s="2">
        <v>612000</v>
      </c>
      <c r="AD1526" s="2">
        <v>4012000</v>
      </c>
      <c r="AE1526" t="s">
        <v>4676</v>
      </c>
      <c r="AF1526" t="s">
        <v>72</v>
      </c>
      <c r="AG1526">
        <v>-47</v>
      </c>
      <c r="AH1526" t="s">
        <v>117</v>
      </c>
      <c r="AI1526" t="s">
        <v>74</v>
      </c>
      <c r="AJ1526" t="s">
        <v>75</v>
      </c>
      <c r="AK1526" t="s">
        <v>76</v>
      </c>
      <c r="AL1526" t="s">
        <v>118</v>
      </c>
      <c r="AM1526" t="s">
        <v>78</v>
      </c>
      <c r="AN1526" t="s">
        <v>104</v>
      </c>
      <c r="AO1526" t="s">
        <v>119</v>
      </c>
      <c r="AP1526" t="s">
        <v>46</v>
      </c>
      <c r="AQ1526" t="s">
        <v>81</v>
      </c>
      <c r="AR1526" t="str">
        <f t="shared" si="46"/>
        <v>60603954.STATAM</v>
      </c>
      <c r="AS1526">
        <f t="shared" si="47"/>
        <v>8708176.6099999994</v>
      </c>
      <c r="AT1526" t="s">
        <v>82</v>
      </c>
    </row>
    <row r="1527" spans="1:46" x14ac:dyDescent="0.35">
      <c r="A1527" t="s">
        <v>52</v>
      </c>
      <c r="B1527" t="s">
        <v>53</v>
      </c>
      <c r="C1527" t="s">
        <v>54</v>
      </c>
      <c r="D1527" t="s">
        <v>55</v>
      </c>
      <c r="E1527" t="s">
        <v>56</v>
      </c>
      <c r="F1527" t="s">
        <v>4584</v>
      </c>
      <c r="G1527" t="s">
        <v>4677</v>
      </c>
      <c r="H1527" t="s">
        <v>56</v>
      </c>
      <c r="I1527" t="s">
        <v>4678</v>
      </c>
      <c r="J1527" t="s">
        <v>56</v>
      </c>
      <c r="K1527" t="s">
        <v>640</v>
      </c>
      <c r="L1527" t="s">
        <v>4679</v>
      </c>
      <c r="M1527" t="s">
        <v>56</v>
      </c>
      <c r="N1527" t="s">
        <v>244</v>
      </c>
      <c r="O1527" t="s">
        <v>406</v>
      </c>
      <c r="P1527" t="s">
        <v>407</v>
      </c>
      <c r="Q1527" t="s">
        <v>641</v>
      </c>
      <c r="R1527" t="s">
        <v>248</v>
      </c>
      <c r="S1527">
        <v>5000000</v>
      </c>
      <c r="T1527">
        <v>-8205320.0199999996</v>
      </c>
      <c r="U1527" t="s">
        <v>68</v>
      </c>
      <c r="V1527" t="s">
        <v>4547</v>
      </c>
      <c r="W1527" s="9">
        <v>60603954</v>
      </c>
      <c r="X1527" t="s">
        <v>4680</v>
      </c>
      <c r="Y1527" s="1">
        <v>46065</v>
      </c>
      <c r="Z1527" s="1">
        <v>46125</v>
      </c>
      <c r="AA1527" s="2">
        <v>495935.12</v>
      </c>
      <c r="AB1527" s="2">
        <v>420284</v>
      </c>
      <c r="AC1527" s="2">
        <v>75651.12</v>
      </c>
      <c r="AD1527" s="2">
        <v>495935.12</v>
      </c>
      <c r="AE1527" t="s">
        <v>4681</v>
      </c>
      <c r="AF1527" t="s">
        <v>72</v>
      </c>
      <c r="AG1527">
        <v>-47</v>
      </c>
      <c r="AH1527" t="s">
        <v>117</v>
      </c>
      <c r="AI1527" t="s">
        <v>74</v>
      </c>
      <c r="AJ1527" t="s">
        <v>75</v>
      </c>
      <c r="AK1527" t="s">
        <v>76</v>
      </c>
      <c r="AL1527" t="s">
        <v>118</v>
      </c>
      <c r="AM1527" t="s">
        <v>78</v>
      </c>
      <c r="AN1527" t="s">
        <v>104</v>
      </c>
      <c r="AO1527" t="s">
        <v>119</v>
      </c>
      <c r="AP1527" t="s">
        <v>46</v>
      </c>
      <c r="AQ1527" t="s">
        <v>81</v>
      </c>
      <c r="AR1527" t="str">
        <f t="shared" si="46"/>
        <v>60603954.STATAM</v>
      </c>
      <c r="AS1527">
        <f t="shared" si="47"/>
        <v>8708176.6099999994</v>
      </c>
      <c r="AT1527" t="s">
        <v>82</v>
      </c>
    </row>
    <row r="1528" spans="1:46" x14ac:dyDescent="0.35">
      <c r="A1528" t="s">
        <v>52</v>
      </c>
      <c r="B1528" t="s">
        <v>53</v>
      </c>
      <c r="C1528" t="s">
        <v>54</v>
      </c>
      <c r="D1528" t="s">
        <v>55</v>
      </c>
      <c r="E1528" t="s">
        <v>56</v>
      </c>
      <c r="F1528" t="s">
        <v>4584</v>
      </c>
      <c r="G1528" t="s">
        <v>4677</v>
      </c>
      <c r="H1528" t="s">
        <v>56</v>
      </c>
      <c r="I1528" t="s">
        <v>4678</v>
      </c>
      <c r="J1528" t="s">
        <v>56</v>
      </c>
      <c r="K1528" t="s">
        <v>640</v>
      </c>
      <c r="L1528" t="s">
        <v>4679</v>
      </c>
      <c r="M1528" t="s">
        <v>56</v>
      </c>
      <c r="N1528" t="s">
        <v>263</v>
      </c>
      <c r="O1528" t="s">
        <v>406</v>
      </c>
      <c r="P1528" t="s">
        <v>407</v>
      </c>
      <c r="Q1528" t="s">
        <v>641</v>
      </c>
      <c r="R1528" t="s">
        <v>248</v>
      </c>
      <c r="S1528">
        <v>5000000</v>
      </c>
      <c r="T1528">
        <v>-8205320.0199999996</v>
      </c>
      <c r="U1528" t="s">
        <v>68</v>
      </c>
      <c r="V1528" t="s">
        <v>4547</v>
      </c>
      <c r="W1528" s="9">
        <v>60603954</v>
      </c>
      <c r="X1528" t="s">
        <v>4680</v>
      </c>
      <c r="Y1528" s="1">
        <v>46065</v>
      </c>
      <c r="Z1528" s="1">
        <v>46125</v>
      </c>
      <c r="AA1528" s="2">
        <v>216909.96</v>
      </c>
      <c r="AB1528" s="2">
        <v>183822</v>
      </c>
      <c r="AC1528" s="2">
        <v>33087.96</v>
      </c>
      <c r="AD1528" s="2">
        <v>216909.96</v>
      </c>
      <c r="AE1528" t="s">
        <v>4682</v>
      </c>
      <c r="AF1528" t="s">
        <v>72</v>
      </c>
      <c r="AG1528">
        <v>-47</v>
      </c>
      <c r="AH1528" t="s">
        <v>117</v>
      </c>
      <c r="AI1528" t="s">
        <v>74</v>
      </c>
      <c r="AJ1528" t="s">
        <v>75</v>
      </c>
      <c r="AK1528" t="s">
        <v>76</v>
      </c>
      <c r="AL1528" t="s">
        <v>118</v>
      </c>
      <c r="AM1528" t="s">
        <v>78</v>
      </c>
      <c r="AN1528" t="s">
        <v>104</v>
      </c>
      <c r="AO1528" t="s">
        <v>119</v>
      </c>
      <c r="AP1528" t="s">
        <v>46</v>
      </c>
      <c r="AQ1528" t="s">
        <v>81</v>
      </c>
      <c r="AR1528" t="str">
        <f t="shared" si="46"/>
        <v>60603954.STATAM</v>
      </c>
      <c r="AS1528">
        <f t="shared" si="47"/>
        <v>8708176.6099999994</v>
      </c>
      <c r="AT1528" t="s">
        <v>82</v>
      </c>
    </row>
    <row r="1529" spans="1:46" x14ac:dyDescent="0.35">
      <c r="A1529" t="s">
        <v>52</v>
      </c>
      <c r="B1529" t="s">
        <v>53</v>
      </c>
      <c r="C1529" t="s">
        <v>54</v>
      </c>
      <c r="D1529" t="s">
        <v>55</v>
      </c>
      <c r="E1529" t="s">
        <v>56</v>
      </c>
      <c r="F1529" t="s">
        <v>4584</v>
      </c>
      <c r="G1529" t="s">
        <v>4683</v>
      </c>
      <c r="H1529" t="s">
        <v>56</v>
      </c>
      <c r="I1529" t="s">
        <v>4684</v>
      </c>
      <c r="J1529" t="s">
        <v>61</v>
      </c>
      <c r="K1529" t="s">
        <v>640</v>
      </c>
      <c r="L1529" t="s">
        <v>4685</v>
      </c>
      <c r="M1529" t="s">
        <v>56</v>
      </c>
      <c r="N1529" t="s">
        <v>1384</v>
      </c>
      <c r="O1529" t="s">
        <v>406</v>
      </c>
      <c r="P1529" t="s">
        <v>407</v>
      </c>
      <c r="Q1529" t="s">
        <v>87</v>
      </c>
      <c r="R1529" t="s">
        <v>248</v>
      </c>
      <c r="S1529">
        <v>5000000</v>
      </c>
      <c r="T1529">
        <v>-8205320.0199999996</v>
      </c>
      <c r="U1529" t="s">
        <v>68</v>
      </c>
      <c r="V1529" t="s">
        <v>4547</v>
      </c>
      <c r="W1529" s="9">
        <v>60603954</v>
      </c>
      <c r="X1529" t="s">
        <v>4686</v>
      </c>
      <c r="Y1529" s="1">
        <v>46065</v>
      </c>
      <c r="Z1529" s="1">
        <v>46125</v>
      </c>
      <c r="AA1529" s="2">
        <v>55433.85</v>
      </c>
      <c r="AB1529" s="2">
        <v>46977.84</v>
      </c>
      <c r="AC1529" s="2">
        <v>8456.01</v>
      </c>
      <c r="AD1529" s="2">
        <v>55433.85</v>
      </c>
      <c r="AE1529" t="s">
        <v>4687</v>
      </c>
      <c r="AF1529" t="s">
        <v>72</v>
      </c>
      <c r="AG1529">
        <v>-47</v>
      </c>
      <c r="AH1529" t="s">
        <v>117</v>
      </c>
      <c r="AI1529" t="s">
        <v>74</v>
      </c>
      <c r="AJ1529" t="s">
        <v>75</v>
      </c>
      <c r="AK1529" t="s">
        <v>76</v>
      </c>
      <c r="AL1529" t="s">
        <v>118</v>
      </c>
      <c r="AM1529" t="s">
        <v>78</v>
      </c>
      <c r="AN1529" t="s">
        <v>104</v>
      </c>
      <c r="AO1529" t="s">
        <v>119</v>
      </c>
      <c r="AP1529" t="s">
        <v>46</v>
      </c>
      <c r="AQ1529" t="s">
        <v>81</v>
      </c>
      <c r="AR1529" t="str">
        <f t="shared" si="46"/>
        <v>60603954.STATAM</v>
      </c>
      <c r="AS1529">
        <f t="shared" si="47"/>
        <v>8708176.6099999994</v>
      </c>
      <c r="AT1529" t="s">
        <v>82</v>
      </c>
    </row>
    <row r="1530" spans="1:46" x14ac:dyDescent="0.35">
      <c r="A1530" t="s">
        <v>52</v>
      </c>
      <c r="B1530" t="s">
        <v>53</v>
      </c>
      <c r="C1530" t="s">
        <v>54</v>
      </c>
      <c r="D1530" t="s">
        <v>55</v>
      </c>
      <c r="E1530" t="s">
        <v>56</v>
      </c>
      <c r="F1530" t="s">
        <v>4584</v>
      </c>
      <c r="G1530" t="s">
        <v>4683</v>
      </c>
      <c r="H1530" t="s">
        <v>56</v>
      </c>
      <c r="I1530" t="s">
        <v>4684</v>
      </c>
      <c r="J1530" t="s">
        <v>61</v>
      </c>
      <c r="K1530" t="s">
        <v>640</v>
      </c>
      <c r="L1530" t="s">
        <v>4685</v>
      </c>
      <c r="M1530" t="s">
        <v>56</v>
      </c>
      <c r="N1530" t="s">
        <v>252</v>
      </c>
      <c r="O1530" t="s">
        <v>406</v>
      </c>
      <c r="P1530" t="s">
        <v>407</v>
      </c>
      <c r="Q1530" t="s">
        <v>87</v>
      </c>
      <c r="R1530" t="s">
        <v>248</v>
      </c>
      <c r="S1530">
        <v>5000000</v>
      </c>
      <c r="T1530">
        <v>-8205320.0199999996</v>
      </c>
      <c r="U1530" t="s">
        <v>68</v>
      </c>
      <c r="V1530" t="s">
        <v>4547</v>
      </c>
      <c r="W1530" s="9">
        <v>60603954</v>
      </c>
      <c r="X1530" t="s">
        <v>4686</v>
      </c>
      <c r="Y1530" s="1">
        <v>46065</v>
      </c>
      <c r="Z1530" s="1">
        <v>46125</v>
      </c>
      <c r="AA1530" s="2">
        <v>13637.57</v>
      </c>
      <c r="AB1530" s="2">
        <v>11557.26</v>
      </c>
      <c r="AC1530" s="2">
        <v>2080.31</v>
      </c>
      <c r="AD1530" s="2">
        <v>13637.57</v>
      </c>
      <c r="AE1530" t="s">
        <v>4688</v>
      </c>
      <c r="AF1530" t="s">
        <v>72</v>
      </c>
      <c r="AG1530">
        <v>-47</v>
      </c>
      <c r="AH1530" t="s">
        <v>117</v>
      </c>
      <c r="AI1530" t="s">
        <v>74</v>
      </c>
      <c r="AJ1530" t="s">
        <v>75</v>
      </c>
      <c r="AK1530" t="s">
        <v>76</v>
      </c>
      <c r="AL1530" t="s">
        <v>118</v>
      </c>
      <c r="AM1530" t="s">
        <v>78</v>
      </c>
      <c r="AN1530" t="s">
        <v>104</v>
      </c>
      <c r="AO1530" t="s">
        <v>119</v>
      </c>
      <c r="AP1530" t="s">
        <v>46</v>
      </c>
      <c r="AQ1530" t="s">
        <v>81</v>
      </c>
      <c r="AR1530" t="str">
        <f t="shared" si="46"/>
        <v>60603954.STATAM</v>
      </c>
      <c r="AS1530">
        <f t="shared" si="47"/>
        <v>8708176.6099999994</v>
      </c>
      <c r="AT1530" t="s">
        <v>82</v>
      </c>
    </row>
    <row r="1531" spans="1:46" x14ac:dyDescent="0.35">
      <c r="A1531" t="s">
        <v>52</v>
      </c>
      <c r="B1531" t="s">
        <v>53</v>
      </c>
      <c r="C1531" t="s">
        <v>54</v>
      </c>
      <c r="D1531" t="s">
        <v>55</v>
      </c>
      <c r="E1531" t="s">
        <v>56</v>
      </c>
      <c r="F1531" t="s">
        <v>4584</v>
      </c>
      <c r="G1531" t="s">
        <v>4683</v>
      </c>
      <c r="H1531" t="s">
        <v>56</v>
      </c>
      <c r="I1531" t="s">
        <v>4684</v>
      </c>
      <c r="J1531" t="s">
        <v>61</v>
      </c>
      <c r="K1531" t="s">
        <v>640</v>
      </c>
      <c r="L1531" t="s">
        <v>4685</v>
      </c>
      <c r="M1531" t="s">
        <v>56</v>
      </c>
      <c r="N1531" t="s">
        <v>263</v>
      </c>
      <c r="O1531" t="s">
        <v>406</v>
      </c>
      <c r="P1531" t="s">
        <v>407</v>
      </c>
      <c r="Q1531" t="s">
        <v>87</v>
      </c>
      <c r="R1531" t="s">
        <v>248</v>
      </c>
      <c r="S1531">
        <v>5000000</v>
      </c>
      <c r="T1531">
        <v>-8205320.0199999996</v>
      </c>
      <c r="U1531" t="s">
        <v>68</v>
      </c>
      <c r="V1531" t="s">
        <v>4547</v>
      </c>
      <c r="W1531" s="9">
        <v>60603954</v>
      </c>
      <c r="X1531" t="s">
        <v>4686</v>
      </c>
      <c r="Y1531" s="1">
        <v>46065</v>
      </c>
      <c r="Z1531" s="1">
        <v>46125</v>
      </c>
      <c r="AA1531" s="2">
        <v>134387.6</v>
      </c>
      <c r="AB1531" s="2">
        <v>113887.8</v>
      </c>
      <c r="AC1531" s="2">
        <v>20499.8</v>
      </c>
      <c r="AD1531" s="2">
        <v>134387.6</v>
      </c>
      <c r="AE1531" t="s">
        <v>4689</v>
      </c>
      <c r="AF1531" t="s">
        <v>72</v>
      </c>
      <c r="AG1531">
        <v>-47</v>
      </c>
      <c r="AH1531" t="s">
        <v>117</v>
      </c>
      <c r="AI1531" t="s">
        <v>74</v>
      </c>
      <c r="AJ1531" t="s">
        <v>75</v>
      </c>
      <c r="AK1531" t="s">
        <v>76</v>
      </c>
      <c r="AL1531" t="s">
        <v>118</v>
      </c>
      <c r="AM1531" t="s">
        <v>78</v>
      </c>
      <c r="AN1531" t="s">
        <v>104</v>
      </c>
      <c r="AO1531" t="s">
        <v>119</v>
      </c>
      <c r="AP1531" t="s">
        <v>46</v>
      </c>
      <c r="AQ1531" t="s">
        <v>81</v>
      </c>
      <c r="AR1531" t="str">
        <f t="shared" si="46"/>
        <v>60603954.STATAM</v>
      </c>
      <c r="AS1531">
        <f t="shared" si="47"/>
        <v>8708176.6099999994</v>
      </c>
      <c r="AT1531" t="s">
        <v>82</v>
      </c>
    </row>
    <row r="1532" spans="1:46" x14ac:dyDescent="0.35">
      <c r="A1532" t="s">
        <v>52</v>
      </c>
      <c r="B1532" t="s">
        <v>53</v>
      </c>
      <c r="C1532" t="s">
        <v>54</v>
      </c>
      <c r="D1532" t="s">
        <v>55</v>
      </c>
      <c r="E1532" t="s">
        <v>56</v>
      </c>
      <c r="F1532" t="s">
        <v>4584</v>
      </c>
      <c r="G1532" t="s">
        <v>4690</v>
      </c>
      <c r="H1532" t="s">
        <v>56</v>
      </c>
      <c r="I1532" t="s">
        <v>4691</v>
      </c>
      <c r="J1532" t="s">
        <v>61</v>
      </c>
      <c r="K1532" t="s">
        <v>640</v>
      </c>
      <c r="L1532" t="s">
        <v>4692</v>
      </c>
      <c r="M1532" t="s">
        <v>56</v>
      </c>
      <c r="N1532" t="s">
        <v>252</v>
      </c>
      <c r="O1532" t="s">
        <v>406</v>
      </c>
      <c r="P1532" t="s">
        <v>407</v>
      </c>
      <c r="Q1532" t="s">
        <v>87</v>
      </c>
      <c r="R1532" t="s">
        <v>248</v>
      </c>
      <c r="S1532">
        <v>5000000</v>
      </c>
      <c r="T1532">
        <v>-8205320.0199999996</v>
      </c>
      <c r="U1532" t="s">
        <v>68</v>
      </c>
      <c r="V1532" t="s">
        <v>4547</v>
      </c>
      <c r="W1532" s="9">
        <v>60603954</v>
      </c>
      <c r="X1532" t="s">
        <v>4693</v>
      </c>
      <c r="Y1532" s="1">
        <v>46073</v>
      </c>
      <c r="Z1532" s="1">
        <v>46133</v>
      </c>
      <c r="AA1532" s="2">
        <v>22352.84</v>
      </c>
      <c r="AB1532" s="2">
        <v>18943.080000000002</v>
      </c>
      <c r="AC1532" s="2">
        <v>3409.76</v>
      </c>
      <c r="AD1532" s="2">
        <v>22352.84</v>
      </c>
      <c r="AE1532" t="s">
        <v>4694</v>
      </c>
      <c r="AF1532" t="s">
        <v>72</v>
      </c>
      <c r="AG1532">
        <v>-55</v>
      </c>
      <c r="AH1532" t="s">
        <v>117</v>
      </c>
      <c r="AI1532" t="s">
        <v>74</v>
      </c>
      <c r="AJ1532" t="s">
        <v>75</v>
      </c>
      <c r="AK1532" t="s">
        <v>76</v>
      </c>
      <c r="AL1532" t="s">
        <v>118</v>
      </c>
      <c r="AM1532" t="s">
        <v>78</v>
      </c>
      <c r="AN1532" t="s">
        <v>104</v>
      </c>
      <c r="AO1532" t="s">
        <v>119</v>
      </c>
      <c r="AP1532" t="s">
        <v>46</v>
      </c>
      <c r="AQ1532" t="s">
        <v>81</v>
      </c>
      <c r="AR1532" t="str">
        <f t="shared" si="46"/>
        <v>60603954.STATAM</v>
      </c>
      <c r="AS1532">
        <f t="shared" si="47"/>
        <v>8708176.6099999994</v>
      </c>
      <c r="AT1532" t="s">
        <v>82</v>
      </c>
    </row>
    <row r="1533" spans="1:46" x14ac:dyDescent="0.35">
      <c r="A1533" t="s">
        <v>52</v>
      </c>
      <c r="B1533" t="s">
        <v>53</v>
      </c>
      <c r="C1533" t="s">
        <v>54</v>
      </c>
      <c r="D1533" t="s">
        <v>55</v>
      </c>
      <c r="E1533" t="s">
        <v>56</v>
      </c>
      <c r="F1533" t="s">
        <v>4584</v>
      </c>
      <c r="G1533" t="s">
        <v>4690</v>
      </c>
      <c r="H1533" t="s">
        <v>56</v>
      </c>
      <c r="I1533" t="s">
        <v>4691</v>
      </c>
      <c r="J1533" t="s">
        <v>61</v>
      </c>
      <c r="K1533" t="s">
        <v>640</v>
      </c>
      <c r="L1533" t="s">
        <v>4692</v>
      </c>
      <c r="M1533" t="s">
        <v>56</v>
      </c>
      <c r="N1533" t="s">
        <v>261</v>
      </c>
      <c r="O1533" t="s">
        <v>406</v>
      </c>
      <c r="P1533" t="s">
        <v>407</v>
      </c>
      <c r="Q1533" t="s">
        <v>87</v>
      </c>
      <c r="R1533" t="s">
        <v>248</v>
      </c>
      <c r="S1533">
        <v>5000000</v>
      </c>
      <c r="T1533">
        <v>-8205320.0199999996</v>
      </c>
      <c r="U1533" t="s">
        <v>68</v>
      </c>
      <c r="V1533" t="s">
        <v>4547</v>
      </c>
      <c r="W1533" s="9">
        <v>60603954</v>
      </c>
      <c r="X1533" t="s">
        <v>4693</v>
      </c>
      <c r="Y1533" s="1">
        <v>46073</v>
      </c>
      <c r="Z1533" s="1">
        <v>46133</v>
      </c>
      <c r="AA1533" s="2">
        <v>2726.22</v>
      </c>
      <c r="AB1533" s="2">
        <v>2310.36</v>
      </c>
      <c r="AC1533" s="2">
        <v>415.86</v>
      </c>
      <c r="AD1533" s="2">
        <v>2726.22</v>
      </c>
      <c r="AE1533" t="s">
        <v>4695</v>
      </c>
      <c r="AF1533" t="s">
        <v>72</v>
      </c>
      <c r="AG1533">
        <v>-55</v>
      </c>
      <c r="AH1533" t="s">
        <v>117</v>
      </c>
      <c r="AI1533" t="s">
        <v>74</v>
      </c>
      <c r="AJ1533" t="s">
        <v>75</v>
      </c>
      <c r="AK1533" t="s">
        <v>76</v>
      </c>
      <c r="AL1533" t="s">
        <v>118</v>
      </c>
      <c r="AM1533" t="s">
        <v>78</v>
      </c>
      <c r="AN1533" t="s">
        <v>104</v>
      </c>
      <c r="AO1533" t="s">
        <v>119</v>
      </c>
      <c r="AP1533" t="s">
        <v>46</v>
      </c>
      <c r="AQ1533" t="s">
        <v>81</v>
      </c>
      <c r="AR1533" t="str">
        <f t="shared" si="46"/>
        <v>60603954.STATAM</v>
      </c>
      <c r="AS1533">
        <f t="shared" si="47"/>
        <v>8708176.6099999994</v>
      </c>
      <c r="AT1533" t="s">
        <v>82</v>
      </c>
    </row>
    <row r="1534" spans="1:46" x14ac:dyDescent="0.35">
      <c r="A1534" t="s">
        <v>52</v>
      </c>
      <c r="B1534" t="s">
        <v>53</v>
      </c>
      <c r="C1534" t="s">
        <v>54</v>
      </c>
      <c r="D1534" t="s">
        <v>55</v>
      </c>
      <c r="E1534" t="s">
        <v>56</v>
      </c>
      <c r="F1534" t="s">
        <v>4584</v>
      </c>
      <c r="G1534" t="s">
        <v>4598</v>
      </c>
      <c r="H1534" t="s">
        <v>56</v>
      </c>
      <c r="I1534" t="s">
        <v>4696</v>
      </c>
      <c r="J1534" t="s">
        <v>61</v>
      </c>
      <c r="K1534" t="s">
        <v>640</v>
      </c>
      <c r="L1534" t="s">
        <v>4600</v>
      </c>
      <c r="M1534" t="s">
        <v>56</v>
      </c>
      <c r="N1534" t="s">
        <v>1384</v>
      </c>
      <c r="O1534" t="s">
        <v>406</v>
      </c>
      <c r="P1534" t="s">
        <v>407</v>
      </c>
      <c r="Q1534" t="s">
        <v>87</v>
      </c>
      <c r="R1534" t="s">
        <v>248</v>
      </c>
      <c r="S1534">
        <v>5000000</v>
      </c>
      <c r="T1534">
        <v>-8205320.0199999996</v>
      </c>
      <c r="U1534" t="s">
        <v>68</v>
      </c>
      <c r="V1534" t="s">
        <v>4547</v>
      </c>
      <c r="W1534" s="9">
        <v>60603954</v>
      </c>
      <c r="X1534" t="s">
        <v>4697</v>
      </c>
      <c r="Y1534" s="1">
        <v>46073</v>
      </c>
      <c r="Z1534" s="1">
        <v>46133</v>
      </c>
      <c r="AA1534" s="2">
        <v>24369.439999999999</v>
      </c>
      <c r="AB1534" s="2">
        <v>20652.060000000001</v>
      </c>
      <c r="AC1534" s="2">
        <v>3717.38</v>
      </c>
      <c r="AD1534" s="2">
        <v>24369.439999999999</v>
      </c>
      <c r="AE1534" t="s">
        <v>4698</v>
      </c>
      <c r="AF1534" t="s">
        <v>72</v>
      </c>
      <c r="AG1534">
        <v>-55</v>
      </c>
      <c r="AH1534" t="s">
        <v>117</v>
      </c>
      <c r="AI1534" t="s">
        <v>74</v>
      </c>
      <c r="AJ1534" t="s">
        <v>75</v>
      </c>
      <c r="AK1534" t="s">
        <v>76</v>
      </c>
      <c r="AL1534" t="s">
        <v>118</v>
      </c>
      <c r="AM1534" t="s">
        <v>78</v>
      </c>
      <c r="AN1534" t="s">
        <v>104</v>
      </c>
      <c r="AO1534" t="s">
        <v>119</v>
      </c>
      <c r="AP1534" t="s">
        <v>46</v>
      </c>
      <c r="AQ1534" t="s">
        <v>81</v>
      </c>
      <c r="AR1534" t="str">
        <f t="shared" si="46"/>
        <v>60603954.STATAM</v>
      </c>
      <c r="AS1534">
        <f t="shared" si="47"/>
        <v>8708176.6099999994</v>
      </c>
      <c r="AT1534" t="s">
        <v>82</v>
      </c>
    </row>
    <row r="1535" spans="1:46" x14ac:dyDescent="0.35">
      <c r="A1535" t="s">
        <v>52</v>
      </c>
      <c r="B1535" t="s">
        <v>53</v>
      </c>
      <c r="C1535" t="s">
        <v>54</v>
      </c>
      <c r="D1535" t="s">
        <v>55</v>
      </c>
      <c r="E1535" t="s">
        <v>56</v>
      </c>
      <c r="F1535" t="s">
        <v>4584</v>
      </c>
      <c r="G1535" t="s">
        <v>56</v>
      </c>
      <c r="H1535" t="s">
        <v>56</v>
      </c>
      <c r="I1535" t="s">
        <v>4546</v>
      </c>
      <c r="J1535" t="s">
        <v>61</v>
      </c>
      <c r="K1535" t="s">
        <v>640</v>
      </c>
      <c r="L1535" t="s">
        <v>56</v>
      </c>
      <c r="M1535" t="s">
        <v>56</v>
      </c>
      <c r="N1535" t="s">
        <v>56</v>
      </c>
      <c r="O1535" t="s">
        <v>406</v>
      </c>
      <c r="P1535" t="s">
        <v>407</v>
      </c>
      <c r="Q1535" t="s">
        <v>87</v>
      </c>
      <c r="R1535" t="s">
        <v>248</v>
      </c>
      <c r="S1535">
        <v>5000000</v>
      </c>
      <c r="T1535">
        <v>-8205320.0199999996</v>
      </c>
      <c r="U1535" t="s">
        <v>68</v>
      </c>
      <c r="V1535" t="s">
        <v>4547</v>
      </c>
      <c r="W1535" s="9">
        <v>60603954</v>
      </c>
      <c r="X1535" t="s">
        <v>4699</v>
      </c>
      <c r="Y1535" s="1">
        <v>46076</v>
      </c>
      <c r="Z1535" s="1">
        <v>46076</v>
      </c>
      <c r="AA1535" s="2">
        <v>-28203</v>
      </c>
      <c r="AB1535" s="2">
        <v>-28203</v>
      </c>
      <c r="AC1535" s="2">
        <v>0</v>
      </c>
      <c r="AD1535" s="2">
        <v>-28203</v>
      </c>
      <c r="AE1535" t="s">
        <v>4699</v>
      </c>
      <c r="AF1535" t="s">
        <v>72</v>
      </c>
      <c r="AG1535">
        <v>2</v>
      </c>
      <c r="AH1535" t="s">
        <v>73</v>
      </c>
      <c r="AI1535" t="s">
        <v>74</v>
      </c>
      <c r="AJ1535" t="s">
        <v>75</v>
      </c>
      <c r="AK1535" t="s">
        <v>76</v>
      </c>
      <c r="AL1535" t="s">
        <v>77</v>
      </c>
      <c r="AM1535" t="s">
        <v>78</v>
      </c>
      <c r="AN1535" t="s">
        <v>104</v>
      </c>
      <c r="AO1535" t="s">
        <v>80</v>
      </c>
      <c r="AP1535" t="s">
        <v>46</v>
      </c>
      <c r="AQ1535" t="s">
        <v>81</v>
      </c>
      <c r="AR1535" t="str">
        <f t="shared" si="46"/>
        <v>60603954.STATAM</v>
      </c>
      <c r="AS1535">
        <f t="shared" si="47"/>
        <v>8708176.6099999994</v>
      </c>
      <c r="AT1535" t="s">
        <v>82</v>
      </c>
    </row>
    <row r="1536" spans="1:46" x14ac:dyDescent="0.35">
      <c r="A1536" t="s">
        <v>52</v>
      </c>
      <c r="B1536" t="s">
        <v>53</v>
      </c>
      <c r="C1536" t="s">
        <v>54</v>
      </c>
      <c r="D1536" t="s">
        <v>55</v>
      </c>
      <c r="E1536" t="s">
        <v>56</v>
      </c>
      <c r="F1536" t="s">
        <v>4700</v>
      </c>
      <c r="G1536" t="s">
        <v>4701</v>
      </c>
      <c r="H1536" t="s">
        <v>56</v>
      </c>
      <c r="I1536" t="s">
        <v>4702</v>
      </c>
      <c r="J1536" t="s">
        <v>61</v>
      </c>
      <c r="K1536" t="s">
        <v>640</v>
      </c>
      <c r="L1536" t="s">
        <v>4703</v>
      </c>
      <c r="M1536" t="s">
        <v>56</v>
      </c>
      <c r="N1536" t="s">
        <v>252</v>
      </c>
      <c r="O1536" t="s">
        <v>887</v>
      </c>
      <c r="P1536" t="s">
        <v>888</v>
      </c>
      <c r="Q1536" t="s">
        <v>87</v>
      </c>
      <c r="R1536" t="s">
        <v>248</v>
      </c>
      <c r="S1536">
        <v>3000000</v>
      </c>
      <c r="T1536">
        <v>-1385153.77</v>
      </c>
      <c r="U1536" t="s">
        <v>68</v>
      </c>
      <c r="V1536" t="s">
        <v>4704</v>
      </c>
      <c r="W1536" s="9">
        <v>60602575</v>
      </c>
      <c r="X1536" t="s">
        <v>4705</v>
      </c>
      <c r="Y1536" s="1">
        <v>46052</v>
      </c>
      <c r="Z1536" s="1">
        <v>46112</v>
      </c>
      <c r="AA1536" s="2">
        <v>483684.01</v>
      </c>
      <c r="AB1536" s="2">
        <v>409901.7</v>
      </c>
      <c r="AC1536" s="2">
        <v>73782.31</v>
      </c>
      <c r="AD1536" s="2">
        <v>182808.8</v>
      </c>
      <c r="AE1536" t="s">
        <v>4706</v>
      </c>
      <c r="AF1536" t="s">
        <v>72</v>
      </c>
      <c r="AG1536">
        <v>-34</v>
      </c>
      <c r="AH1536" t="s">
        <v>117</v>
      </c>
      <c r="AI1536" t="s">
        <v>74</v>
      </c>
      <c r="AJ1536" t="s">
        <v>75</v>
      </c>
      <c r="AK1536" t="s">
        <v>76</v>
      </c>
      <c r="AL1536" t="s">
        <v>118</v>
      </c>
      <c r="AM1536" t="s">
        <v>78</v>
      </c>
      <c r="AN1536" t="s">
        <v>795</v>
      </c>
      <c r="AO1536" t="s">
        <v>119</v>
      </c>
      <c r="AP1536" t="s">
        <v>46</v>
      </c>
      <c r="AQ1536" t="s">
        <v>81</v>
      </c>
      <c r="AR1536" t="str">
        <f t="shared" si="46"/>
        <v>60602575.STATAM</v>
      </c>
      <c r="AS1536">
        <f t="shared" si="47"/>
        <v>3942107.2600000002</v>
      </c>
      <c r="AT1536" t="s">
        <v>82</v>
      </c>
    </row>
    <row r="1537" spans="1:46" x14ac:dyDescent="0.35">
      <c r="A1537" t="s">
        <v>52</v>
      </c>
      <c r="B1537" t="s">
        <v>53</v>
      </c>
      <c r="C1537" t="s">
        <v>54</v>
      </c>
      <c r="D1537" t="s">
        <v>55</v>
      </c>
      <c r="E1537" t="s">
        <v>56</v>
      </c>
      <c r="F1537" t="s">
        <v>4700</v>
      </c>
      <c r="G1537" t="s">
        <v>4707</v>
      </c>
      <c r="H1537" t="s">
        <v>56</v>
      </c>
      <c r="I1537" t="s">
        <v>4708</v>
      </c>
      <c r="J1537" t="s">
        <v>61</v>
      </c>
      <c r="K1537" t="s">
        <v>640</v>
      </c>
      <c r="L1537" t="s">
        <v>4709</v>
      </c>
      <c r="M1537" t="s">
        <v>56</v>
      </c>
      <c r="N1537" t="s">
        <v>295</v>
      </c>
      <c r="O1537" t="s">
        <v>887</v>
      </c>
      <c r="P1537" t="s">
        <v>888</v>
      </c>
      <c r="Q1537" t="s">
        <v>87</v>
      </c>
      <c r="R1537" t="s">
        <v>248</v>
      </c>
      <c r="S1537">
        <v>3000000</v>
      </c>
      <c r="T1537">
        <v>-1385153.77</v>
      </c>
      <c r="U1537" t="s">
        <v>68</v>
      </c>
      <c r="V1537" t="s">
        <v>4704</v>
      </c>
      <c r="W1537" s="9">
        <v>60602575</v>
      </c>
      <c r="X1537" t="s">
        <v>4710</v>
      </c>
      <c r="Y1537" s="1">
        <v>46052</v>
      </c>
      <c r="Z1537" s="1">
        <v>46112</v>
      </c>
      <c r="AA1537" s="2">
        <v>102707.44</v>
      </c>
      <c r="AB1537" s="2">
        <v>87040.2</v>
      </c>
      <c r="AC1537" s="2">
        <v>15667.24</v>
      </c>
      <c r="AD1537" s="2">
        <v>102707.44</v>
      </c>
      <c r="AE1537" t="s">
        <v>4711</v>
      </c>
      <c r="AF1537" t="s">
        <v>72</v>
      </c>
      <c r="AG1537">
        <v>-34</v>
      </c>
      <c r="AH1537" t="s">
        <v>117</v>
      </c>
      <c r="AI1537" t="s">
        <v>74</v>
      </c>
      <c r="AJ1537" t="s">
        <v>75</v>
      </c>
      <c r="AK1537" t="s">
        <v>76</v>
      </c>
      <c r="AL1537" t="s">
        <v>118</v>
      </c>
      <c r="AM1537" t="s">
        <v>78</v>
      </c>
      <c r="AN1537" t="s">
        <v>795</v>
      </c>
      <c r="AO1537" t="s">
        <v>119</v>
      </c>
      <c r="AP1537" t="s">
        <v>46</v>
      </c>
      <c r="AQ1537" t="s">
        <v>81</v>
      </c>
      <c r="AR1537" t="str">
        <f t="shared" si="46"/>
        <v>60602575.STATAM</v>
      </c>
      <c r="AS1537">
        <f t="shared" si="47"/>
        <v>3942107.2600000002</v>
      </c>
      <c r="AT1537" t="s">
        <v>82</v>
      </c>
    </row>
    <row r="1538" spans="1:46" x14ac:dyDescent="0.35">
      <c r="A1538" t="s">
        <v>52</v>
      </c>
      <c r="B1538" t="s">
        <v>53</v>
      </c>
      <c r="C1538" t="s">
        <v>54</v>
      </c>
      <c r="D1538" t="s">
        <v>55</v>
      </c>
      <c r="E1538" t="s">
        <v>56</v>
      </c>
      <c r="F1538" t="s">
        <v>4700</v>
      </c>
      <c r="G1538" t="s">
        <v>4707</v>
      </c>
      <c r="H1538" t="s">
        <v>56</v>
      </c>
      <c r="I1538" t="s">
        <v>4708</v>
      </c>
      <c r="J1538" t="s">
        <v>61</v>
      </c>
      <c r="K1538" t="s">
        <v>640</v>
      </c>
      <c r="L1538" t="s">
        <v>4709</v>
      </c>
      <c r="M1538" t="s">
        <v>56</v>
      </c>
      <c r="N1538" t="s">
        <v>252</v>
      </c>
      <c r="O1538" t="s">
        <v>887</v>
      </c>
      <c r="P1538" t="s">
        <v>888</v>
      </c>
      <c r="Q1538" t="s">
        <v>87</v>
      </c>
      <c r="R1538" t="s">
        <v>248</v>
      </c>
      <c r="S1538">
        <v>3000000</v>
      </c>
      <c r="T1538">
        <v>-1385153.77</v>
      </c>
      <c r="U1538" t="s">
        <v>68</v>
      </c>
      <c r="V1538" t="s">
        <v>4704</v>
      </c>
      <c r="W1538" s="9">
        <v>60602575</v>
      </c>
      <c r="X1538" t="s">
        <v>4710</v>
      </c>
      <c r="Y1538" s="1">
        <v>46052</v>
      </c>
      <c r="Z1538" s="1">
        <v>46112</v>
      </c>
      <c r="AA1538" s="2">
        <v>3558527.8</v>
      </c>
      <c r="AB1538" s="2">
        <v>3015701.52</v>
      </c>
      <c r="AC1538" s="2">
        <v>542826.28</v>
      </c>
      <c r="AD1538" s="2">
        <v>3558527.8</v>
      </c>
      <c r="AE1538" t="s">
        <v>4712</v>
      </c>
      <c r="AF1538" t="s">
        <v>72</v>
      </c>
      <c r="AG1538">
        <v>-34</v>
      </c>
      <c r="AH1538" t="s">
        <v>117</v>
      </c>
      <c r="AI1538" t="s">
        <v>74</v>
      </c>
      <c r="AJ1538" t="s">
        <v>75</v>
      </c>
      <c r="AK1538" t="s">
        <v>76</v>
      </c>
      <c r="AL1538" t="s">
        <v>118</v>
      </c>
      <c r="AM1538" t="s">
        <v>78</v>
      </c>
      <c r="AN1538" t="s">
        <v>795</v>
      </c>
      <c r="AO1538" t="s">
        <v>119</v>
      </c>
      <c r="AP1538" t="s">
        <v>46</v>
      </c>
      <c r="AQ1538" t="s">
        <v>81</v>
      </c>
      <c r="AR1538" t="str">
        <f t="shared" si="46"/>
        <v>60602575.STATAM</v>
      </c>
      <c r="AS1538">
        <f t="shared" si="47"/>
        <v>3942107.2600000002</v>
      </c>
      <c r="AT1538" t="s">
        <v>82</v>
      </c>
    </row>
    <row r="1539" spans="1:46" x14ac:dyDescent="0.35">
      <c r="A1539" t="s">
        <v>52</v>
      </c>
      <c r="B1539" t="s">
        <v>53</v>
      </c>
      <c r="C1539" t="s">
        <v>54</v>
      </c>
      <c r="D1539" t="s">
        <v>55</v>
      </c>
      <c r="E1539" t="s">
        <v>56</v>
      </c>
      <c r="F1539" t="s">
        <v>4700</v>
      </c>
      <c r="G1539" t="s">
        <v>4707</v>
      </c>
      <c r="H1539" t="s">
        <v>56</v>
      </c>
      <c r="I1539" t="s">
        <v>4713</v>
      </c>
      <c r="J1539" t="s">
        <v>61</v>
      </c>
      <c r="K1539" t="s">
        <v>640</v>
      </c>
      <c r="L1539" t="s">
        <v>4709</v>
      </c>
      <c r="M1539" t="s">
        <v>56</v>
      </c>
      <c r="N1539" t="s">
        <v>252</v>
      </c>
      <c r="O1539" t="s">
        <v>887</v>
      </c>
      <c r="P1539" t="s">
        <v>888</v>
      </c>
      <c r="Q1539" t="s">
        <v>87</v>
      </c>
      <c r="R1539" t="s">
        <v>248</v>
      </c>
      <c r="S1539">
        <v>3000000</v>
      </c>
      <c r="T1539">
        <v>-1385153.77</v>
      </c>
      <c r="U1539" t="s">
        <v>68</v>
      </c>
      <c r="V1539" t="s">
        <v>4704</v>
      </c>
      <c r="W1539" s="9">
        <v>60602575</v>
      </c>
      <c r="X1539" t="s">
        <v>4714</v>
      </c>
      <c r="Y1539" s="1">
        <v>46056</v>
      </c>
      <c r="Z1539" s="1">
        <v>46116</v>
      </c>
      <c r="AA1539" s="2">
        <v>2092.9899999999998</v>
      </c>
      <c r="AB1539" s="2">
        <v>1773.72</v>
      </c>
      <c r="AC1539" s="2">
        <v>319.27</v>
      </c>
      <c r="AD1539" s="2">
        <v>2092.9899999999998</v>
      </c>
      <c r="AE1539" t="s">
        <v>4715</v>
      </c>
      <c r="AF1539" t="s">
        <v>72</v>
      </c>
      <c r="AG1539">
        <v>-38</v>
      </c>
      <c r="AH1539" t="s">
        <v>117</v>
      </c>
      <c r="AI1539" t="s">
        <v>74</v>
      </c>
      <c r="AJ1539" t="s">
        <v>75</v>
      </c>
      <c r="AK1539" t="s">
        <v>76</v>
      </c>
      <c r="AL1539" t="s">
        <v>118</v>
      </c>
      <c r="AM1539" t="s">
        <v>78</v>
      </c>
      <c r="AN1539" t="s">
        <v>795</v>
      </c>
      <c r="AO1539" t="s">
        <v>119</v>
      </c>
      <c r="AP1539" t="s">
        <v>46</v>
      </c>
      <c r="AQ1539" t="s">
        <v>81</v>
      </c>
      <c r="AR1539" t="str">
        <f t="shared" si="46"/>
        <v>60602575.STATAM</v>
      </c>
      <c r="AS1539">
        <f t="shared" si="47"/>
        <v>3942107.2600000002</v>
      </c>
      <c r="AT1539" t="s">
        <v>82</v>
      </c>
    </row>
    <row r="1540" spans="1:46" x14ac:dyDescent="0.35">
      <c r="A1540" t="s">
        <v>52</v>
      </c>
      <c r="B1540" t="s">
        <v>53</v>
      </c>
      <c r="C1540" t="s">
        <v>54</v>
      </c>
      <c r="D1540" t="s">
        <v>55</v>
      </c>
      <c r="E1540" t="s">
        <v>56</v>
      </c>
      <c r="F1540" t="s">
        <v>4700</v>
      </c>
      <c r="G1540" t="s">
        <v>4716</v>
      </c>
      <c r="H1540" t="s">
        <v>56</v>
      </c>
      <c r="I1540" t="s">
        <v>4717</v>
      </c>
      <c r="J1540" t="s">
        <v>61</v>
      </c>
      <c r="K1540" t="s">
        <v>640</v>
      </c>
      <c r="L1540" t="s">
        <v>4718</v>
      </c>
      <c r="M1540" t="s">
        <v>56</v>
      </c>
      <c r="N1540" t="s">
        <v>261</v>
      </c>
      <c r="O1540" t="s">
        <v>887</v>
      </c>
      <c r="P1540" t="s">
        <v>888</v>
      </c>
      <c r="Q1540" t="s">
        <v>853</v>
      </c>
      <c r="R1540" t="s">
        <v>248</v>
      </c>
      <c r="S1540">
        <v>3000000</v>
      </c>
      <c r="T1540">
        <v>-1385153.77</v>
      </c>
      <c r="U1540" t="s">
        <v>68</v>
      </c>
      <c r="V1540" t="s">
        <v>4704</v>
      </c>
      <c r="W1540" s="9">
        <v>60602575</v>
      </c>
      <c r="X1540" t="s">
        <v>4719</v>
      </c>
      <c r="Y1540" s="1">
        <v>46067</v>
      </c>
      <c r="Z1540" s="1">
        <v>46127</v>
      </c>
      <c r="AA1540" s="2">
        <v>5757.79</v>
      </c>
      <c r="AB1540" s="2">
        <v>4879.4799999999996</v>
      </c>
      <c r="AC1540" s="2">
        <v>878.31</v>
      </c>
      <c r="AD1540" s="2">
        <v>5757.79</v>
      </c>
      <c r="AE1540" t="s">
        <v>4720</v>
      </c>
      <c r="AF1540" t="s">
        <v>72</v>
      </c>
      <c r="AG1540">
        <v>-49</v>
      </c>
      <c r="AH1540" t="s">
        <v>117</v>
      </c>
      <c r="AI1540" t="s">
        <v>74</v>
      </c>
      <c r="AJ1540" t="s">
        <v>75</v>
      </c>
      <c r="AK1540" t="s">
        <v>76</v>
      </c>
      <c r="AL1540" t="s">
        <v>118</v>
      </c>
      <c r="AM1540" t="s">
        <v>78</v>
      </c>
      <c r="AN1540" t="s">
        <v>795</v>
      </c>
      <c r="AO1540" t="s">
        <v>119</v>
      </c>
      <c r="AP1540" t="s">
        <v>46</v>
      </c>
      <c r="AQ1540" t="s">
        <v>81</v>
      </c>
      <c r="AR1540" t="str">
        <f t="shared" si="46"/>
        <v>60602575.STATAM</v>
      </c>
      <c r="AS1540">
        <f t="shared" si="47"/>
        <v>3942107.2600000002</v>
      </c>
      <c r="AT1540" t="s">
        <v>82</v>
      </c>
    </row>
    <row r="1541" spans="1:46" x14ac:dyDescent="0.35">
      <c r="A1541" t="s">
        <v>52</v>
      </c>
      <c r="B1541" t="s">
        <v>53</v>
      </c>
      <c r="C1541" t="s">
        <v>54</v>
      </c>
      <c r="D1541" t="s">
        <v>55</v>
      </c>
      <c r="E1541" t="s">
        <v>56</v>
      </c>
      <c r="F1541" t="s">
        <v>4700</v>
      </c>
      <c r="G1541" t="s">
        <v>4716</v>
      </c>
      <c r="H1541" t="s">
        <v>56</v>
      </c>
      <c r="I1541" t="s">
        <v>4717</v>
      </c>
      <c r="J1541" t="s">
        <v>61</v>
      </c>
      <c r="K1541" t="s">
        <v>640</v>
      </c>
      <c r="L1541" t="s">
        <v>4718</v>
      </c>
      <c r="M1541" t="s">
        <v>56</v>
      </c>
      <c r="N1541" t="s">
        <v>252</v>
      </c>
      <c r="O1541" t="s">
        <v>887</v>
      </c>
      <c r="P1541" t="s">
        <v>888</v>
      </c>
      <c r="Q1541" t="s">
        <v>853</v>
      </c>
      <c r="R1541" t="s">
        <v>248</v>
      </c>
      <c r="S1541">
        <v>3000000</v>
      </c>
      <c r="T1541">
        <v>-1385153.77</v>
      </c>
      <c r="U1541" t="s">
        <v>68</v>
      </c>
      <c r="V1541" t="s">
        <v>4704</v>
      </c>
      <c r="W1541" s="9">
        <v>60602575</v>
      </c>
      <c r="X1541" t="s">
        <v>4719</v>
      </c>
      <c r="Y1541" s="1">
        <v>46067</v>
      </c>
      <c r="Z1541" s="1">
        <v>46127</v>
      </c>
      <c r="AA1541" s="2">
        <v>90212.44</v>
      </c>
      <c r="AB1541" s="2">
        <v>76451.22</v>
      </c>
      <c r="AC1541" s="2">
        <v>13761.22</v>
      </c>
      <c r="AD1541" s="2">
        <v>90212.44</v>
      </c>
      <c r="AE1541" t="s">
        <v>4721</v>
      </c>
      <c r="AF1541" t="s">
        <v>72</v>
      </c>
      <c r="AG1541">
        <v>-49</v>
      </c>
      <c r="AH1541" t="s">
        <v>117</v>
      </c>
      <c r="AI1541" t="s">
        <v>74</v>
      </c>
      <c r="AJ1541" t="s">
        <v>75</v>
      </c>
      <c r="AK1541" t="s">
        <v>76</v>
      </c>
      <c r="AL1541" t="s">
        <v>118</v>
      </c>
      <c r="AM1541" t="s">
        <v>78</v>
      </c>
      <c r="AN1541" t="s">
        <v>795</v>
      </c>
      <c r="AO1541" t="s">
        <v>119</v>
      </c>
      <c r="AP1541" t="s">
        <v>46</v>
      </c>
      <c r="AQ1541" t="s">
        <v>81</v>
      </c>
      <c r="AR1541" t="str">
        <f t="shared" si="46"/>
        <v>60602575.STATAM</v>
      </c>
      <c r="AS1541">
        <f t="shared" si="47"/>
        <v>3942107.2600000002</v>
      </c>
      <c r="AT1541" t="s">
        <v>82</v>
      </c>
    </row>
    <row r="1542" spans="1:46" x14ac:dyDescent="0.35">
      <c r="A1542" t="s">
        <v>52</v>
      </c>
      <c r="B1542" t="s">
        <v>53</v>
      </c>
      <c r="C1542" t="s">
        <v>54</v>
      </c>
      <c r="D1542" t="s">
        <v>55</v>
      </c>
      <c r="E1542" t="s">
        <v>56</v>
      </c>
      <c r="F1542" t="s">
        <v>4722</v>
      </c>
      <c r="G1542" t="s">
        <v>4723</v>
      </c>
      <c r="H1542" t="s">
        <v>56</v>
      </c>
      <c r="I1542" t="s">
        <v>4724</v>
      </c>
      <c r="J1542" t="s">
        <v>61</v>
      </c>
      <c r="K1542" t="s">
        <v>62</v>
      </c>
      <c r="L1542" t="s">
        <v>56</v>
      </c>
      <c r="M1542" t="s">
        <v>56</v>
      </c>
      <c r="N1542" t="s">
        <v>680</v>
      </c>
      <c r="O1542" t="s">
        <v>391</v>
      </c>
      <c r="P1542" t="s">
        <v>392</v>
      </c>
      <c r="Q1542" t="s">
        <v>114</v>
      </c>
      <c r="R1542" t="s">
        <v>67</v>
      </c>
      <c r="S1542">
        <v>1000000</v>
      </c>
      <c r="T1542">
        <v>-6045719.5499999998</v>
      </c>
      <c r="U1542" t="s">
        <v>68</v>
      </c>
      <c r="V1542" t="s">
        <v>4725</v>
      </c>
      <c r="W1542" s="9">
        <v>60602095</v>
      </c>
      <c r="X1542" t="s">
        <v>4726</v>
      </c>
      <c r="Y1542" s="1">
        <v>45989</v>
      </c>
      <c r="Z1542" s="1">
        <v>46019</v>
      </c>
      <c r="AA1542" s="2">
        <v>216184.3</v>
      </c>
      <c r="AB1542" s="2">
        <v>183207.03</v>
      </c>
      <c r="AC1542" s="2">
        <v>32977.269999999997</v>
      </c>
      <c r="AD1542" s="2">
        <v>149325.54999999999</v>
      </c>
      <c r="AE1542" t="s">
        <v>4727</v>
      </c>
      <c r="AF1542" t="s">
        <v>72</v>
      </c>
      <c r="AG1542">
        <v>59</v>
      </c>
      <c r="AH1542" t="s">
        <v>236</v>
      </c>
      <c r="AI1542" t="s">
        <v>74</v>
      </c>
      <c r="AJ1542" t="s">
        <v>127</v>
      </c>
      <c r="AK1542" t="s">
        <v>334</v>
      </c>
      <c r="AL1542" t="s">
        <v>77</v>
      </c>
      <c r="AM1542" t="s">
        <v>78</v>
      </c>
      <c r="AN1542" t="s">
        <v>104</v>
      </c>
      <c r="AO1542" t="s">
        <v>80</v>
      </c>
      <c r="AP1542" t="e">
        <v>#N/A</v>
      </c>
      <c r="AQ1542" t="s">
        <v>335</v>
      </c>
      <c r="AR1542" t="str">
        <f t="shared" si="46"/>
        <v>60602095.SPMINAM</v>
      </c>
      <c r="AS1542">
        <f t="shared" si="47"/>
        <v>186079.27</v>
      </c>
      <c r="AT1542" t="s">
        <v>82</v>
      </c>
    </row>
    <row r="1543" spans="1:46" x14ac:dyDescent="0.35">
      <c r="A1543" t="s">
        <v>52</v>
      </c>
      <c r="B1543" t="s">
        <v>53</v>
      </c>
      <c r="C1543" t="s">
        <v>54</v>
      </c>
      <c r="D1543" t="s">
        <v>55</v>
      </c>
      <c r="E1543" t="s">
        <v>56</v>
      </c>
      <c r="F1543" t="s">
        <v>4722</v>
      </c>
      <c r="G1543" t="s">
        <v>4723</v>
      </c>
      <c r="H1543" t="s">
        <v>56</v>
      </c>
      <c r="I1543" t="s">
        <v>4724</v>
      </c>
      <c r="J1543" t="s">
        <v>61</v>
      </c>
      <c r="K1543" t="s">
        <v>62</v>
      </c>
      <c r="L1543" t="s">
        <v>56</v>
      </c>
      <c r="M1543" t="s">
        <v>56</v>
      </c>
      <c r="N1543" t="s">
        <v>682</v>
      </c>
      <c r="O1543" t="s">
        <v>391</v>
      </c>
      <c r="P1543" t="s">
        <v>392</v>
      </c>
      <c r="Q1543" t="s">
        <v>114</v>
      </c>
      <c r="R1543" t="s">
        <v>67</v>
      </c>
      <c r="S1543">
        <v>1000000</v>
      </c>
      <c r="T1543">
        <v>-6045719.5499999998</v>
      </c>
      <c r="U1543" t="s">
        <v>68</v>
      </c>
      <c r="V1543" t="s">
        <v>4725</v>
      </c>
      <c r="W1543" s="9">
        <v>60602095</v>
      </c>
      <c r="X1543" t="s">
        <v>4726</v>
      </c>
      <c r="Y1543" s="1">
        <v>45989</v>
      </c>
      <c r="Z1543" s="1">
        <v>46019</v>
      </c>
      <c r="AA1543" s="2">
        <v>53209.77</v>
      </c>
      <c r="AB1543" s="2">
        <v>45093.02</v>
      </c>
      <c r="AC1543" s="2">
        <v>8116.75</v>
      </c>
      <c r="AD1543" s="2">
        <v>36753.72</v>
      </c>
      <c r="AE1543" t="s">
        <v>4728</v>
      </c>
      <c r="AF1543" t="s">
        <v>72</v>
      </c>
      <c r="AG1543">
        <v>59</v>
      </c>
      <c r="AH1543" t="s">
        <v>236</v>
      </c>
      <c r="AI1543" t="s">
        <v>74</v>
      </c>
      <c r="AJ1543" t="s">
        <v>127</v>
      </c>
      <c r="AK1543" t="s">
        <v>334</v>
      </c>
      <c r="AL1543" t="s">
        <v>77</v>
      </c>
      <c r="AM1543" t="s">
        <v>78</v>
      </c>
      <c r="AN1543" t="s">
        <v>104</v>
      </c>
      <c r="AO1543" t="s">
        <v>80</v>
      </c>
      <c r="AP1543" t="e">
        <v>#N/A</v>
      </c>
      <c r="AQ1543" t="s">
        <v>335</v>
      </c>
      <c r="AR1543" t="str">
        <f t="shared" si="46"/>
        <v>60602095.SPMINAM</v>
      </c>
      <c r="AS1543">
        <f t="shared" si="47"/>
        <v>186079.27</v>
      </c>
      <c r="AT1543" t="s">
        <v>82</v>
      </c>
    </row>
    <row r="1544" spans="1:46" x14ac:dyDescent="0.35">
      <c r="A1544" t="s">
        <v>52</v>
      </c>
      <c r="B1544" t="s">
        <v>53</v>
      </c>
      <c r="C1544" t="s">
        <v>54</v>
      </c>
      <c r="D1544" t="s">
        <v>55</v>
      </c>
      <c r="E1544" t="s">
        <v>56</v>
      </c>
      <c r="F1544" t="s">
        <v>4722</v>
      </c>
      <c r="G1544" t="s">
        <v>4729</v>
      </c>
      <c r="H1544" t="s">
        <v>56</v>
      </c>
      <c r="I1544" t="s">
        <v>4730</v>
      </c>
      <c r="J1544" t="s">
        <v>61</v>
      </c>
      <c r="K1544" t="s">
        <v>62</v>
      </c>
      <c r="L1544" t="s">
        <v>56</v>
      </c>
      <c r="M1544" t="s">
        <v>56</v>
      </c>
      <c r="N1544" t="s">
        <v>295</v>
      </c>
      <c r="O1544" t="s">
        <v>391</v>
      </c>
      <c r="P1544" t="s">
        <v>392</v>
      </c>
      <c r="Q1544" t="s">
        <v>114</v>
      </c>
      <c r="R1544" t="s">
        <v>67</v>
      </c>
      <c r="S1544">
        <v>1000000</v>
      </c>
      <c r="T1544">
        <v>-6045719.5499999998</v>
      </c>
      <c r="U1544" t="s">
        <v>68</v>
      </c>
      <c r="V1544" t="s">
        <v>4725</v>
      </c>
      <c r="W1544" s="9">
        <v>60602095</v>
      </c>
      <c r="X1544" t="s">
        <v>4731</v>
      </c>
      <c r="Y1544" s="1">
        <v>45989</v>
      </c>
      <c r="Z1544" s="1">
        <v>46019</v>
      </c>
      <c r="AA1544" s="2">
        <v>346502.13</v>
      </c>
      <c r="AB1544" s="2">
        <v>293645.87</v>
      </c>
      <c r="AC1544" s="2">
        <v>52856.26</v>
      </c>
      <c r="AD1544" s="2">
        <v>346502.13</v>
      </c>
      <c r="AE1544" t="s">
        <v>4732</v>
      </c>
      <c r="AF1544" t="s">
        <v>72</v>
      </c>
      <c r="AG1544">
        <v>59</v>
      </c>
      <c r="AH1544" t="s">
        <v>236</v>
      </c>
      <c r="AI1544" t="s">
        <v>74</v>
      </c>
      <c r="AJ1544" t="s">
        <v>75</v>
      </c>
      <c r="AK1544" t="s">
        <v>76</v>
      </c>
      <c r="AL1544" t="s">
        <v>77</v>
      </c>
      <c r="AM1544" t="s">
        <v>78</v>
      </c>
      <c r="AN1544" t="s">
        <v>104</v>
      </c>
      <c r="AO1544" t="s">
        <v>80</v>
      </c>
      <c r="AP1544" t="e">
        <v>#N/A</v>
      </c>
      <c r="AQ1544" t="s">
        <v>81</v>
      </c>
      <c r="AR1544" t="str">
        <f t="shared" ref="AR1544:AR1607" si="48">W1544&amp;"."&amp;AQ1544</f>
        <v>60602095.STATAM</v>
      </c>
      <c r="AS1544">
        <f t="shared" ref="AS1544:AS1607" si="49">SUMIFS(AD:AD,AQ:AQ,AQ1544,W:W,W1544)</f>
        <v>4376923.8899999997</v>
      </c>
      <c r="AT1544" t="s">
        <v>82</v>
      </c>
    </row>
    <row r="1545" spans="1:46" x14ac:dyDescent="0.35">
      <c r="A1545" t="s">
        <v>52</v>
      </c>
      <c r="B1545" t="s">
        <v>53</v>
      </c>
      <c r="C1545" t="s">
        <v>54</v>
      </c>
      <c r="D1545" t="s">
        <v>55</v>
      </c>
      <c r="E1545" t="s">
        <v>56</v>
      </c>
      <c r="F1545" t="s">
        <v>4722</v>
      </c>
      <c r="G1545" t="s">
        <v>4733</v>
      </c>
      <c r="H1545" t="s">
        <v>56</v>
      </c>
      <c r="I1545" t="s">
        <v>4734</v>
      </c>
      <c r="J1545" t="s">
        <v>61</v>
      </c>
      <c r="K1545" t="s">
        <v>62</v>
      </c>
      <c r="L1545" t="s">
        <v>56</v>
      </c>
      <c r="M1545" t="s">
        <v>56</v>
      </c>
      <c r="N1545" t="s">
        <v>295</v>
      </c>
      <c r="O1545" t="s">
        <v>391</v>
      </c>
      <c r="P1545" t="s">
        <v>392</v>
      </c>
      <c r="Q1545" t="s">
        <v>114</v>
      </c>
      <c r="R1545" t="s">
        <v>67</v>
      </c>
      <c r="S1545">
        <v>1000000</v>
      </c>
      <c r="T1545">
        <v>-6045719.5499999998</v>
      </c>
      <c r="U1545" t="s">
        <v>68</v>
      </c>
      <c r="V1545" t="s">
        <v>4725</v>
      </c>
      <c r="W1545" s="9">
        <v>60602095</v>
      </c>
      <c r="X1545" t="s">
        <v>4735</v>
      </c>
      <c r="Y1545" s="1">
        <v>45989</v>
      </c>
      <c r="Z1545" s="1">
        <v>46019</v>
      </c>
      <c r="AA1545" s="2">
        <v>33941.03</v>
      </c>
      <c r="AB1545" s="2">
        <v>28763.59</v>
      </c>
      <c r="AC1545" s="2">
        <v>5177.4399999999996</v>
      </c>
      <c r="AD1545" s="2">
        <v>33941.03</v>
      </c>
      <c r="AE1545" t="s">
        <v>4736</v>
      </c>
      <c r="AF1545" t="s">
        <v>72</v>
      </c>
      <c r="AG1545">
        <v>59</v>
      </c>
      <c r="AH1545" t="s">
        <v>236</v>
      </c>
      <c r="AI1545" t="s">
        <v>74</v>
      </c>
      <c r="AJ1545" t="s">
        <v>75</v>
      </c>
      <c r="AK1545" t="s">
        <v>76</v>
      </c>
      <c r="AL1545" t="s">
        <v>77</v>
      </c>
      <c r="AM1545" t="s">
        <v>78</v>
      </c>
      <c r="AN1545" t="s">
        <v>104</v>
      </c>
      <c r="AO1545" t="s">
        <v>80</v>
      </c>
      <c r="AP1545" t="e">
        <v>#N/A</v>
      </c>
      <c r="AQ1545" t="s">
        <v>81</v>
      </c>
      <c r="AR1545" t="str">
        <f t="shared" si="48"/>
        <v>60602095.STATAM</v>
      </c>
      <c r="AS1545">
        <f t="shared" si="49"/>
        <v>4376923.8899999997</v>
      </c>
      <c r="AT1545" t="s">
        <v>82</v>
      </c>
    </row>
    <row r="1546" spans="1:46" x14ac:dyDescent="0.35">
      <c r="A1546" t="s">
        <v>52</v>
      </c>
      <c r="B1546" t="s">
        <v>53</v>
      </c>
      <c r="C1546" t="s">
        <v>54</v>
      </c>
      <c r="D1546" t="s">
        <v>55</v>
      </c>
      <c r="E1546" t="s">
        <v>56</v>
      </c>
      <c r="F1546" t="s">
        <v>4722</v>
      </c>
      <c r="G1546" t="s">
        <v>4737</v>
      </c>
      <c r="H1546" t="s">
        <v>56</v>
      </c>
      <c r="I1546" t="s">
        <v>4738</v>
      </c>
      <c r="J1546" t="s">
        <v>61</v>
      </c>
      <c r="K1546" t="s">
        <v>62</v>
      </c>
      <c r="L1546" t="s">
        <v>56</v>
      </c>
      <c r="M1546" t="s">
        <v>56</v>
      </c>
      <c r="N1546" t="s">
        <v>295</v>
      </c>
      <c r="O1546" t="s">
        <v>391</v>
      </c>
      <c r="P1546" t="s">
        <v>392</v>
      </c>
      <c r="Q1546" t="s">
        <v>114</v>
      </c>
      <c r="R1546" t="s">
        <v>67</v>
      </c>
      <c r="S1546">
        <v>1000000</v>
      </c>
      <c r="T1546">
        <v>-6045719.5499999998</v>
      </c>
      <c r="U1546" t="s">
        <v>68</v>
      </c>
      <c r="V1546" t="s">
        <v>4725</v>
      </c>
      <c r="W1546" s="9">
        <v>60602095</v>
      </c>
      <c r="X1546" t="s">
        <v>4739</v>
      </c>
      <c r="Y1546" s="1">
        <v>45989</v>
      </c>
      <c r="Z1546" s="1">
        <v>46019</v>
      </c>
      <c r="AA1546" s="2">
        <v>370407.38</v>
      </c>
      <c r="AB1546" s="2">
        <v>313904.56</v>
      </c>
      <c r="AC1546" s="2">
        <v>56502.82</v>
      </c>
      <c r="AD1546" s="2">
        <v>370407.38</v>
      </c>
      <c r="AE1546" t="s">
        <v>4740</v>
      </c>
      <c r="AF1546" t="s">
        <v>72</v>
      </c>
      <c r="AG1546">
        <v>59</v>
      </c>
      <c r="AH1546" t="s">
        <v>236</v>
      </c>
      <c r="AI1546" t="s">
        <v>74</v>
      </c>
      <c r="AJ1546" t="s">
        <v>75</v>
      </c>
      <c r="AK1546" t="s">
        <v>76</v>
      </c>
      <c r="AL1546" t="s">
        <v>77</v>
      </c>
      <c r="AM1546" t="s">
        <v>78</v>
      </c>
      <c r="AN1546" t="s">
        <v>104</v>
      </c>
      <c r="AO1546" t="s">
        <v>80</v>
      </c>
      <c r="AP1546" t="e">
        <v>#N/A</v>
      </c>
      <c r="AQ1546" t="s">
        <v>81</v>
      </c>
      <c r="AR1546" t="str">
        <f t="shared" si="48"/>
        <v>60602095.STATAM</v>
      </c>
      <c r="AS1546">
        <f t="shared" si="49"/>
        <v>4376923.8899999997</v>
      </c>
      <c r="AT1546" t="s">
        <v>82</v>
      </c>
    </row>
    <row r="1547" spans="1:46" x14ac:dyDescent="0.35">
      <c r="A1547" t="s">
        <v>52</v>
      </c>
      <c r="B1547" t="s">
        <v>53</v>
      </c>
      <c r="C1547" t="s">
        <v>54</v>
      </c>
      <c r="D1547" t="s">
        <v>55</v>
      </c>
      <c r="E1547" t="s">
        <v>56</v>
      </c>
      <c r="F1547" t="s">
        <v>4722</v>
      </c>
      <c r="G1547" t="s">
        <v>4741</v>
      </c>
      <c r="H1547" t="s">
        <v>780</v>
      </c>
      <c r="I1547" t="s">
        <v>4742</v>
      </c>
      <c r="J1547" t="s">
        <v>61</v>
      </c>
      <c r="K1547" t="s">
        <v>62</v>
      </c>
      <c r="L1547" t="s">
        <v>56</v>
      </c>
      <c r="M1547" t="s">
        <v>56</v>
      </c>
      <c r="N1547" t="s">
        <v>782</v>
      </c>
      <c r="O1547" t="s">
        <v>391</v>
      </c>
      <c r="P1547" t="s">
        <v>392</v>
      </c>
      <c r="Q1547" t="s">
        <v>114</v>
      </c>
      <c r="R1547" t="s">
        <v>67</v>
      </c>
      <c r="S1547">
        <v>1000000</v>
      </c>
      <c r="T1547">
        <v>-6045719.5499999998</v>
      </c>
      <c r="U1547" t="s">
        <v>68</v>
      </c>
      <c r="V1547" t="s">
        <v>4725</v>
      </c>
      <c r="W1547" s="9">
        <v>60602095</v>
      </c>
      <c r="X1547" t="s">
        <v>4743</v>
      </c>
      <c r="Y1547" s="1">
        <v>46009</v>
      </c>
      <c r="Z1547" s="1">
        <v>46039</v>
      </c>
      <c r="AA1547" s="2">
        <v>330400</v>
      </c>
      <c r="AB1547" s="2">
        <v>280000</v>
      </c>
      <c r="AC1547" s="2">
        <v>50400</v>
      </c>
      <c r="AD1547" s="2">
        <v>330400</v>
      </c>
      <c r="AE1547" t="s">
        <v>4744</v>
      </c>
      <c r="AF1547" t="s">
        <v>72</v>
      </c>
      <c r="AG1547">
        <v>39</v>
      </c>
      <c r="AH1547" t="s">
        <v>236</v>
      </c>
      <c r="AI1547" t="s">
        <v>74</v>
      </c>
      <c r="AJ1547" t="s">
        <v>75</v>
      </c>
      <c r="AK1547" t="s">
        <v>76</v>
      </c>
      <c r="AL1547" t="s">
        <v>77</v>
      </c>
      <c r="AM1547" t="s">
        <v>78</v>
      </c>
      <c r="AN1547" t="s">
        <v>104</v>
      </c>
      <c r="AO1547" t="s">
        <v>80</v>
      </c>
      <c r="AP1547" t="e">
        <v>#N/A</v>
      </c>
      <c r="AQ1547" t="s">
        <v>81</v>
      </c>
      <c r="AR1547" t="str">
        <f t="shared" si="48"/>
        <v>60602095.STATAM</v>
      </c>
      <c r="AS1547">
        <f t="shared" si="49"/>
        <v>4376923.8899999997</v>
      </c>
      <c r="AT1547" t="s">
        <v>82</v>
      </c>
    </row>
    <row r="1548" spans="1:46" x14ac:dyDescent="0.35">
      <c r="A1548" t="s">
        <v>52</v>
      </c>
      <c r="B1548" t="s">
        <v>53</v>
      </c>
      <c r="C1548" t="s">
        <v>54</v>
      </c>
      <c r="D1548" t="s">
        <v>55</v>
      </c>
      <c r="E1548" t="s">
        <v>56</v>
      </c>
      <c r="F1548" t="s">
        <v>4722</v>
      </c>
      <c r="G1548" t="s">
        <v>4745</v>
      </c>
      <c r="H1548" t="s">
        <v>780</v>
      </c>
      <c r="I1548" t="s">
        <v>4746</v>
      </c>
      <c r="J1548" t="s">
        <v>61</v>
      </c>
      <c r="K1548" t="s">
        <v>62</v>
      </c>
      <c r="L1548" t="s">
        <v>56</v>
      </c>
      <c r="M1548" t="s">
        <v>56</v>
      </c>
      <c r="N1548" t="s">
        <v>782</v>
      </c>
      <c r="O1548" t="s">
        <v>391</v>
      </c>
      <c r="P1548" t="s">
        <v>392</v>
      </c>
      <c r="Q1548" t="s">
        <v>114</v>
      </c>
      <c r="R1548" t="s">
        <v>67</v>
      </c>
      <c r="S1548">
        <v>1000000</v>
      </c>
      <c r="T1548">
        <v>-6045719.5499999998</v>
      </c>
      <c r="U1548" t="s">
        <v>68</v>
      </c>
      <c r="V1548" t="s">
        <v>4725</v>
      </c>
      <c r="W1548" s="9">
        <v>60602095</v>
      </c>
      <c r="X1548" t="s">
        <v>4747</v>
      </c>
      <c r="Y1548" s="1">
        <v>46032</v>
      </c>
      <c r="Z1548" s="1">
        <v>46062</v>
      </c>
      <c r="AA1548" s="2">
        <v>330400</v>
      </c>
      <c r="AB1548" s="2">
        <v>280000</v>
      </c>
      <c r="AC1548" s="2">
        <v>50400</v>
      </c>
      <c r="AD1548" s="2">
        <v>330400</v>
      </c>
      <c r="AE1548" t="s">
        <v>4748</v>
      </c>
      <c r="AF1548" t="s">
        <v>72</v>
      </c>
      <c r="AG1548">
        <v>16</v>
      </c>
      <c r="AH1548" t="s">
        <v>73</v>
      </c>
      <c r="AI1548" t="s">
        <v>74</v>
      </c>
      <c r="AJ1548" t="s">
        <v>75</v>
      </c>
      <c r="AK1548" t="s">
        <v>76</v>
      </c>
      <c r="AL1548" t="s">
        <v>77</v>
      </c>
      <c r="AM1548" t="s">
        <v>78</v>
      </c>
      <c r="AN1548" t="s">
        <v>104</v>
      </c>
      <c r="AO1548" t="s">
        <v>80</v>
      </c>
      <c r="AP1548" t="e">
        <v>#N/A</v>
      </c>
      <c r="AQ1548" t="s">
        <v>81</v>
      </c>
      <c r="AR1548" t="str">
        <f t="shared" si="48"/>
        <v>60602095.STATAM</v>
      </c>
      <c r="AS1548">
        <f t="shared" si="49"/>
        <v>4376923.8899999997</v>
      </c>
      <c r="AT1548" t="s">
        <v>82</v>
      </c>
    </row>
    <row r="1549" spans="1:46" x14ac:dyDescent="0.35">
      <c r="A1549" t="s">
        <v>52</v>
      </c>
      <c r="B1549" t="s">
        <v>53</v>
      </c>
      <c r="C1549" t="s">
        <v>54</v>
      </c>
      <c r="D1549" t="s">
        <v>55</v>
      </c>
      <c r="E1549" t="s">
        <v>56</v>
      </c>
      <c r="F1549" t="s">
        <v>4722</v>
      </c>
      <c r="G1549" t="s">
        <v>4749</v>
      </c>
      <c r="H1549" t="s">
        <v>56</v>
      </c>
      <c r="I1549" t="s">
        <v>4750</v>
      </c>
      <c r="J1549" t="s">
        <v>61</v>
      </c>
      <c r="K1549" t="s">
        <v>62</v>
      </c>
      <c r="L1549" t="s">
        <v>56</v>
      </c>
      <c r="M1549" t="s">
        <v>56</v>
      </c>
      <c r="N1549" t="s">
        <v>1189</v>
      </c>
      <c r="O1549" t="s">
        <v>391</v>
      </c>
      <c r="P1549" t="s">
        <v>392</v>
      </c>
      <c r="Q1549" t="s">
        <v>114</v>
      </c>
      <c r="R1549" t="s">
        <v>67</v>
      </c>
      <c r="S1549">
        <v>1000000</v>
      </c>
      <c r="T1549">
        <v>-6045719.5499999998</v>
      </c>
      <c r="U1549" t="s">
        <v>68</v>
      </c>
      <c r="V1549" t="s">
        <v>4725</v>
      </c>
      <c r="W1549" s="9">
        <v>60602095</v>
      </c>
      <c r="X1549" t="s">
        <v>4751</v>
      </c>
      <c r="Y1549" s="1">
        <v>46039</v>
      </c>
      <c r="Z1549" s="1">
        <v>46069</v>
      </c>
      <c r="AA1549" s="2">
        <v>77350.41</v>
      </c>
      <c r="AB1549" s="2">
        <v>65551.199999999997</v>
      </c>
      <c r="AC1549" s="2">
        <v>11799.21</v>
      </c>
      <c r="AD1549" s="2">
        <v>77350.41</v>
      </c>
      <c r="AE1549" t="s">
        <v>4752</v>
      </c>
      <c r="AF1549" t="s">
        <v>72</v>
      </c>
      <c r="AG1549">
        <v>9</v>
      </c>
      <c r="AH1549" t="s">
        <v>73</v>
      </c>
      <c r="AI1549" t="s">
        <v>74</v>
      </c>
      <c r="AJ1549" t="s">
        <v>75</v>
      </c>
      <c r="AK1549" t="s">
        <v>76</v>
      </c>
      <c r="AL1549" t="s">
        <v>77</v>
      </c>
      <c r="AM1549" t="s">
        <v>78</v>
      </c>
      <c r="AN1549" t="s">
        <v>104</v>
      </c>
      <c r="AO1549" t="s">
        <v>80</v>
      </c>
      <c r="AP1549" t="e">
        <v>#N/A</v>
      </c>
      <c r="AQ1549" t="s">
        <v>81</v>
      </c>
      <c r="AR1549" t="str">
        <f t="shared" si="48"/>
        <v>60602095.STATAM</v>
      </c>
      <c r="AS1549">
        <f t="shared" si="49"/>
        <v>4376923.8899999997</v>
      </c>
      <c r="AT1549" t="s">
        <v>82</v>
      </c>
    </row>
    <row r="1550" spans="1:46" x14ac:dyDescent="0.35">
      <c r="A1550" t="s">
        <v>52</v>
      </c>
      <c r="B1550" t="s">
        <v>53</v>
      </c>
      <c r="C1550" t="s">
        <v>54</v>
      </c>
      <c r="D1550" t="s">
        <v>55</v>
      </c>
      <c r="E1550" t="s">
        <v>56</v>
      </c>
      <c r="F1550" t="s">
        <v>4722</v>
      </c>
      <c r="G1550" t="s">
        <v>4749</v>
      </c>
      <c r="H1550" t="s">
        <v>56</v>
      </c>
      <c r="I1550" t="s">
        <v>4750</v>
      </c>
      <c r="J1550" t="s">
        <v>61</v>
      </c>
      <c r="K1550" t="s">
        <v>62</v>
      </c>
      <c r="L1550" t="s">
        <v>56</v>
      </c>
      <c r="M1550" t="s">
        <v>56</v>
      </c>
      <c r="N1550" t="s">
        <v>261</v>
      </c>
      <c r="O1550" t="s">
        <v>391</v>
      </c>
      <c r="P1550" t="s">
        <v>392</v>
      </c>
      <c r="Q1550" t="s">
        <v>114</v>
      </c>
      <c r="R1550" t="s">
        <v>67</v>
      </c>
      <c r="S1550">
        <v>1000000</v>
      </c>
      <c r="T1550">
        <v>-6045719.5499999998</v>
      </c>
      <c r="U1550" t="s">
        <v>68</v>
      </c>
      <c r="V1550" t="s">
        <v>4725</v>
      </c>
      <c r="W1550" s="9">
        <v>60602095</v>
      </c>
      <c r="X1550" t="s">
        <v>4751</v>
      </c>
      <c r="Y1550" s="1">
        <v>46039</v>
      </c>
      <c r="Z1550" s="1">
        <v>46069</v>
      </c>
      <c r="AA1550" s="2">
        <v>1565.91</v>
      </c>
      <c r="AB1550" s="2">
        <v>1327.04</v>
      </c>
      <c r="AC1550" s="2">
        <v>238.87</v>
      </c>
      <c r="AD1550" s="2">
        <v>1565.91</v>
      </c>
      <c r="AE1550" t="s">
        <v>4753</v>
      </c>
      <c r="AF1550" t="s">
        <v>72</v>
      </c>
      <c r="AG1550">
        <v>9</v>
      </c>
      <c r="AH1550" t="s">
        <v>73</v>
      </c>
      <c r="AI1550" t="s">
        <v>74</v>
      </c>
      <c r="AJ1550" t="s">
        <v>75</v>
      </c>
      <c r="AK1550" t="s">
        <v>76</v>
      </c>
      <c r="AL1550" t="s">
        <v>77</v>
      </c>
      <c r="AM1550" t="s">
        <v>78</v>
      </c>
      <c r="AN1550" t="s">
        <v>104</v>
      </c>
      <c r="AO1550" t="s">
        <v>80</v>
      </c>
      <c r="AP1550" t="e">
        <v>#N/A</v>
      </c>
      <c r="AQ1550" t="s">
        <v>81</v>
      </c>
      <c r="AR1550" t="str">
        <f t="shared" si="48"/>
        <v>60602095.STATAM</v>
      </c>
      <c r="AS1550">
        <f t="shared" si="49"/>
        <v>4376923.8899999997</v>
      </c>
      <c r="AT1550" t="s">
        <v>82</v>
      </c>
    </row>
    <row r="1551" spans="1:46" x14ac:dyDescent="0.35">
      <c r="A1551" t="s">
        <v>52</v>
      </c>
      <c r="B1551" t="s">
        <v>53</v>
      </c>
      <c r="C1551" t="s">
        <v>54</v>
      </c>
      <c r="D1551" t="s">
        <v>55</v>
      </c>
      <c r="E1551" t="s">
        <v>56</v>
      </c>
      <c r="F1551" t="s">
        <v>4722</v>
      </c>
      <c r="G1551" t="s">
        <v>4737</v>
      </c>
      <c r="H1551" t="s">
        <v>56</v>
      </c>
      <c r="I1551" t="s">
        <v>4754</v>
      </c>
      <c r="J1551" t="s">
        <v>61</v>
      </c>
      <c r="K1551" t="s">
        <v>62</v>
      </c>
      <c r="L1551" t="s">
        <v>56</v>
      </c>
      <c r="M1551" t="s">
        <v>56</v>
      </c>
      <c r="N1551" t="s">
        <v>295</v>
      </c>
      <c r="O1551" t="s">
        <v>391</v>
      </c>
      <c r="P1551" t="s">
        <v>392</v>
      </c>
      <c r="Q1551" t="s">
        <v>114</v>
      </c>
      <c r="R1551" t="s">
        <v>67</v>
      </c>
      <c r="S1551">
        <v>1000000</v>
      </c>
      <c r="T1551">
        <v>-6045719.5499999998</v>
      </c>
      <c r="U1551" t="s">
        <v>68</v>
      </c>
      <c r="V1551" t="s">
        <v>4725</v>
      </c>
      <c r="W1551" s="9">
        <v>60602095</v>
      </c>
      <c r="X1551" t="s">
        <v>4755</v>
      </c>
      <c r="Y1551" s="1">
        <v>46053</v>
      </c>
      <c r="Z1551" s="1">
        <v>46083</v>
      </c>
      <c r="AA1551" s="2">
        <v>939590.13</v>
      </c>
      <c r="AB1551" s="2">
        <v>796262.81</v>
      </c>
      <c r="AC1551" s="2">
        <v>143327.32</v>
      </c>
      <c r="AD1551" s="2">
        <v>939590.13</v>
      </c>
      <c r="AE1551" t="s">
        <v>4756</v>
      </c>
      <c r="AF1551" t="s">
        <v>72</v>
      </c>
      <c r="AG1551">
        <v>-5</v>
      </c>
      <c r="AH1551" t="s">
        <v>117</v>
      </c>
      <c r="AI1551" t="s">
        <v>74</v>
      </c>
      <c r="AJ1551" t="s">
        <v>75</v>
      </c>
      <c r="AK1551" t="s">
        <v>76</v>
      </c>
      <c r="AL1551" t="s">
        <v>118</v>
      </c>
      <c r="AM1551" t="s">
        <v>78</v>
      </c>
      <c r="AN1551" t="s">
        <v>104</v>
      </c>
      <c r="AO1551" t="s">
        <v>119</v>
      </c>
      <c r="AP1551" t="e">
        <v>#N/A</v>
      </c>
      <c r="AQ1551" t="s">
        <v>81</v>
      </c>
      <c r="AR1551" t="str">
        <f t="shared" si="48"/>
        <v>60602095.STATAM</v>
      </c>
      <c r="AS1551">
        <f t="shared" si="49"/>
        <v>4376923.8899999997</v>
      </c>
      <c r="AT1551" t="s">
        <v>82</v>
      </c>
    </row>
    <row r="1552" spans="1:46" x14ac:dyDescent="0.35">
      <c r="A1552" t="s">
        <v>52</v>
      </c>
      <c r="B1552" t="s">
        <v>53</v>
      </c>
      <c r="C1552" t="s">
        <v>54</v>
      </c>
      <c r="D1552" t="s">
        <v>55</v>
      </c>
      <c r="E1552" t="s">
        <v>56</v>
      </c>
      <c r="F1552" t="s">
        <v>4722</v>
      </c>
      <c r="G1552" t="s">
        <v>4757</v>
      </c>
      <c r="H1552" t="s">
        <v>56</v>
      </c>
      <c r="I1552" t="s">
        <v>4758</v>
      </c>
      <c r="J1552" t="s">
        <v>61</v>
      </c>
      <c r="K1552" t="s">
        <v>62</v>
      </c>
      <c r="L1552" t="s">
        <v>56</v>
      </c>
      <c r="M1552" t="s">
        <v>56</v>
      </c>
      <c r="N1552" t="s">
        <v>295</v>
      </c>
      <c r="O1552" t="s">
        <v>391</v>
      </c>
      <c r="P1552" t="s">
        <v>392</v>
      </c>
      <c r="Q1552" t="s">
        <v>114</v>
      </c>
      <c r="R1552" t="s">
        <v>67</v>
      </c>
      <c r="S1552">
        <v>1000000</v>
      </c>
      <c r="T1552">
        <v>-6045719.5499999998</v>
      </c>
      <c r="U1552" t="s">
        <v>68</v>
      </c>
      <c r="V1552" t="s">
        <v>4725</v>
      </c>
      <c r="W1552" s="9">
        <v>60602095</v>
      </c>
      <c r="X1552" t="s">
        <v>4759</v>
      </c>
      <c r="Y1552" s="1">
        <v>46064</v>
      </c>
      <c r="Z1552" s="1">
        <v>46094</v>
      </c>
      <c r="AA1552" s="2">
        <v>288916.63</v>
      </c>
      <c r="AB1552" s="2">
        <v>244844.61</v>
      </c>
      <c r="AC1552" s="2">
        <v>44072.02</v>
      </c>
      <c r="AD1552" s="2">
        <v>288916.63</v>
      </c>
      <c r="AE1552" t="s">
        <v>4760</v>
      </c>
      <c r="AF1552" t="s">
        <v>72</v>
      </c>
      <c r="AG1552">
        <v>-16</v>
      </c>
      <c r="AH1552" t="s">
        <v>117</v>
      </c>
      <c r="AI1552" t="s">
        <v>74</v>
      </c>
      <c r="AJ1552" t="s">
        <v>75</v>
      </c>
      <c r="AK1552" t="s">
        <v>76</v>
      </c>
      <c r="AL1552" t="s">
        <v>118</v>
      </c>
      <c r="AM1552" t="s">
        <v>78</v>
      </c>
      <c r="AN1552" t="s">
        <v>104</v>
      </c>
      <c r="AO1552" t="s">
        <v>119</v>
      </c>
      <c r="AP1552" t="e">
        <v>#N/A</v>
      </c>
      <c r="AQ1552" t="s">
        <v>81</v>
      </c>
      <c r="AR1552" t="str">
        <f t="shared" si="48"/>
        <v>60602095.STATAM</v>
      </c>
      <c r="AS1552">
        <f t="shared" si="49"/>
        <v>4376923.8899999997</v>
      </c>
      <c r="AT1552" t="s">
        <v>82</v>
      </c>
    </row>
    <row r="1553" spans="1:46" x14ac:dyDescent="0.35">
      <c r="A1553" t="s">
        <v>52</v>
      </c>
      <c r="B1553" t="s">
        <v>53</v>
      </c>
      <c r="C1553" t="s">
        <v>54</v>
      </c>
      <c r="D1553" t="s">
        <v>55</v>
      </c>
      <c r="E1553" t="s">
        <v>56</v>
      </c>
      <c r="F1553" t="s">
        <v>4722</v>
      </c>
      <c r="G1553" t="s">
        <v>4757</v>
      </c>
      <c r="H1553" t="s">
        <v>56</v>
      </c>
      <c r="I1553" t="s">
        <v>4758</v>
      </c>
      <c r="J1553" t="s">
        <v>61</v>
      </c>
      <c r="K1553" t="s">
        <v>62</v>
      </c>
      <c r="L1553" t="s">
        <v>56</v>
      </c>
      <c r="M1553" t="s">
        <v>56</v>
      </c>
      <c r="N1553" t="s">
        <v>252</v>
      </c>
      <c r="O1553" t="s">
        <v>391</v>
      </c>
      <c r="P1553" t="s">
        <v>392</v>
      </c>
      <c r="Q1553" t="s">
        <v>114</v>
      </c>
      <c r="R1553" t="s">
        <v>67</v>
      </c>
      <c r="S1553">
        <v>1000000</v>
      </c>
      <c r="T1553">
        <v>-6045719.5499999998</v>
      </c>
      <c r="U1553" t="s">
        <v>68</v>
      </c>
      <c r="V1553" t="s">
        <v>4725</v>
      </c>
      <c r="W1553" s="9">
        <v>60602095</v>
      </c>
      <c r="X1553" t="s">
        <v>4759</v>
      </c>
      <c r="Y1553" s="1">
        <v>46064</v>
      </c>
      <c r="Z1553" s="1">
        <v>46094</v>
      </c>
      <c r="AA1553" s="2">
        <v>192486.46</v>
      </c>
      <c r="AB1553" s="2">
        <v>163124.12</v>
      </c>
      <c r="AC1553" s="2">
        <v>29362.34</v>
      </c>
      <c r="AD1553" s="2">
        <v>192486.46</v>
      </c>
      <c r="AE1553" t="s">
        <v>4761</v>
      </c>
      <c r="AF1553" t="s">
        <v>72</v>
      </c>
      <c r="AG1553">
        <v>-16</v>
      </c>
      <c r="AH1553" t="s">
        <v>117</v>
      </c>
      <c r="AI1553" t="s">
        <v>74</v>
      </c>
      <c r="AJ1553" t="s">
        <v>75</v>
      </c>
      <c r="AK1553" t="s">
        <v>76</v>
      </c>
      <c r="AL1553" t="s">
        <v>118</v>
      </c>
      <c r="AM1553" t="s">
        <v>78</v>
      </c>
      <c r="AN1553" t="s">
        <v>104</v>
      </c>
      <c r="AO1553" t="s">
        <v>119</v>
      </c>
      <c r="AP1553" t="e">
        <v>#N/A</v>
      </c>
      <c r="AQ1553" t="s">
        <v>81</v>
      </c>
      <c r="AR1553" t="str">
        <f t="shared" si="48"/>
        <v>60602095.STATAM</v>
      </c>
      <c r="AS1553">
        <f t="shared" si="49"/>
        <v>4376923.8899999997</v>
      </c>
      <c r="AT1553" t="s">
        <v>82</v>
      </c>
    </row>
    <row r="1554" spans="1:46" x14ac:dyDescent="0.35">
      <c r="A1554" t="s">
        <v>52</v>
      </c>
      <c r="B1554" t="s">
        <v>53</v>
      </c>
      <c r="C1554" t="s">
        <v>54</v>
      </c>
      <c r="D1554" t="s">
        <v>55</v>
      </c>
      <c r="E1554" t="s">
        <v>56</v>
      </c>
      <c r="F1554" t="s">
        <v>4722</v>
      </c>
      <c r="G1554" t="s">
        <v>4762</v>
      </c>
      <c r="H1554" t="s">
        <v>56</v>
      </c>
      <c r="I1554" t="s">
        <v>4763</v>
      </c>
      <c r="J1554" t="s">
        <v>61</v>
      </c>
      <c r="K1554" t="s">
        <v>62</v>
      </c>
      <c r="L1554" t="s">
        <v>56</v>
      </c>
      <c r="M1554" t="s">
        <v>56</v>
      </c>
      <c r="N1554" t="s">
        <v>655</v>
      </c>
      <c r="O1554" t="s">
        <v>391</v>
      </c>
      <c r="P1554" t="s">
        <v>392</v>
      </c>
      <c r="Q1554" t="s">
        <v>114</v>
      </c>
      <c r="R1554" t="s">
        <v>67</v>
      </c>
      <c r="S1554">
        <v>1000000</v>
      </c>
      <c r="T1554">
        <v>-6045719.5499999998</v>
      </c>
      <c r="U1554" t="s">
        <v>68</v>
      </c>
      <c r="V1554" t="s">
        <v>4725</v>
      </c>
      <c r="W1554" s="9">
        <v>60602095</v>
      </c>
      <c r="X1554" t="s">
        <v>4764</v>
      </c>
      <c r="Y1554" s="1">
        <v>46072</v>
      </c>
      <c r="Z1554" s="1">
        <v>46102</v>
      </c>
      <c r="AA1554" s="2">
        <v>425026.35</v>
      </c>
      <c r="AB1554" s="2">
        <v>360191.83</v>
      </c>
      <c r="AC1554" s="2">
        <v>64834.52</v>
      </c>
      <c r="AD1554" s="2">
        <v>425026.35</v>
      </c>
      <c r="AE1554" t="s">
        <v>4765</v>
      </c>
      <c r="AF1554" t="s">
        <v>72</v>
      </c>
      <c r="AG1554">
        <v>-24</v>
      </c>
      <c r="AH1554" t="s">
        <v>117</v>
      </c>
      <c r="AI1554" t="s">
        <v>74</v>
      </c>
      <c r="AJ1554" t="s">
        <v>75</v>
      </c>
      <c r="AK1554" t="s">
        <v>76</v>
      </c>
      <c r="AL1554" t="s">
        <v>118</v>
      </c>
      <c r="AM1554" t="s">
        <v>78</v>
      </c>
      <c r="AN1554" t="s">
        <v>104</v>
      </c>
      <c r="AO1554" t="s">
        <v>119</v>
      </c>
      <c r="AP1554" t="e">
        <v>#N/A</v>
      </c>
      <c r="AQ1554" t="s">
        <v>81</v>
      </c>
      <c r="AR1554" t="str">
        <f t="shared" si="48"/>
        <v>60602095.STATAM</v>
      </c>
      <c r="AS1554">
        <f t="shared" si="49"/>
        <v>4376923.8899999997</v>
      </c>
      <c r="AT1554" t="s">
        <v>82</v>
      </c>
    </row>
    <row r="1555" spans="1:46" x14ac:dyDescent="0.35">
      <c r="A1555" t="s">
        <v>52</v>
      </c>
      <c r="B1555" t="s">
        <v>53</v>
      </c>
      <c r="C1555" t="s">
        <v>54</v>
      </c>
      <c r="D1555" t="s">
        <v>55</v>
      </c>
      <c r="E1555" t="s">
        <v>56</v>
      </c>
      <c r="F1555" t="s">
        <v>4722</v>
      </c>
      <c r="G1555" t="s">
        <v>4766</v>
      </c>
      <c r="H1555" t="s">
        <v>56</v>
      </c>
      <c r="I1555" t="s">
        <v>4767</v>
      </c>
      <c r="J1555" t="s">
        <v>61</v>
      </c>
      <c r="K1555" t="s">
        <v>62</v>
      </c>
      <c r="L1555" t="s">
        <v>56</v>
      </c>
      <c r="M1555" t="s">
        <v>56</v>
      </c>
      <c r="N1555" t="s">
        <v>1384</v>
      </c>
      <c r="O1555" t="s">
        <v>391</v>
      </c>
      <c r="P1555" t="s">
        <v>392</v>
      </c>
      <c r="Q1555" t="s">
        <v>114</v>
      </c>
      <c r="R1555" t="s">
        <v>67</v>
      </c>
      <c r="S1555">
        <v>1000000</v>
      </c>
      <c r="T1555">
        <v>-6045719.5499999998</v>
      </c>
      <c r="U1555" t="s">
        <v>68</v>
      </c>
      <c r="V1555" t="s">
        <v>4725</v>
      </c>
      <c r="W1555" s="9">
        <v>60602095</v>
      </c>
      <c r="X1555" t="s">
        <v>4768</v>
      </c>
      <c r="Y1555" s="1">
        <v>46072</v>
      </c>
      <c r="Z1555" s="1">
        <v>46102</v>
      </c>
      <c r="AA1555" s="2">
        <v>136115.14000000001</v>
      </c>
      <c r="AB1555" s="2">
        <v>115351.81</v>
      </c>
      <c r="AC1555" s="2">
        <v>20763.330000000002</v>
      </c>
      <c r="AD1555" s="2">
        <v>136115.14000000001</v>
      </c>
      <c r="AE1555" t="s">
        <v>4769</v>
      </c>
      <c r="AF1555" t="s">
        <v>72</v>
      </c>
      <c r="AG1555">
        <v>-24</v>
      </c>
      <c r="AH1555" t="s">
        <v>117</v>
      </c>
      <c r="AI1555" t="s">
        <v>74</v>
      </c>
      <c r="AJ1555" t="s">
        <v>75</v>
      </c>
      <c r="AK1555" t="s">
        <v>76</v>
      </c>
      <c r="AL1555" t="s">
        <v>118</v>
      </c>
      <c r="AM1555" t="s">
        <v>78</v>
      </c>
      <c r="AN1555" t="s">
        <v>104</v>
      </c>
      <c r="AO1555" t="s">
        <v>119</v>
      </c>
      <c r="AP1555" t="e">
        <v>#N/A</v>
      </c>
      <c r="AQ1555" t="s">
        <v>81</v>
      </c>
      <c r="AR1555" t="str">
        <f t="shared" si="48"/>
        <v>60602095.STATAM</v>
      </c>
      <c r="AS1555">
        <f t="shared" si="49"/>
        <v>4376923.8899999997</v>
      </c>
      <c r="AT1555" t="s">
        <v>82</v>
      </c>
    </row>
    <row r="1556" spans="1:46" x14ac:dyDescent="0.35">
      <c r="A1556" t="s">
        <v>52</v>
      </c>
      <c r="B1556" t="s">
        <v>53</v>
      </c>
      <c r="C1556" t="s">
        <v>54</v>
      </c>
      <c r="D1556" t="s">
        <v>55</v>
      </c>
      <c r="E1556" t="s">
        <v>56</v>
      </c>
      <c r="F1556" t="s">
        <v>4722</v>
      </c>
      <c r="G1556" t="s">
        <v>4766</v>
      </c>
      <c r="H1556" t="s">
        <v>56</v>
      </c>
      <c r="I1556" t="s">
        <v>4767</v>
      </c>
      <c r="J1556" t="s">
        <v>61</v>
      </c>
      <c r="K1556" t="s">
        <v>62</v>
      </c>
      <c r="L1556" t="s">
        <v>56</v>
      </c>
      <c r="M1556" t="s">
        <v>56</v>
      </c>
      <c r="N1556" t="s">
        <v>263</v>
      </c>
      <c r="O1556" t="s">
        <v>391</v>
      </c>
      <c r="P1556" t="s">
        <v>392</v>
      </c>
      <c r="Q1556" t="s">
        <v>114</v>
      </c>
      <c r="R1556" t="s">
        <v>67</v>
      </c>
      <c r="S1556">
        <v>1000000</v>
      </c>
      <c r="T1556">
        <v>-6045719.5499999998</v>
      </c>
      <c r="U1556" t="s">
        <v>68</v>
      </c>
      <c r="V1556" t="s">
        <v>4725</v>
      </c>
      <c r="W1556" s="9">
        <v>60602095</v>
      </c>
      <c r="X1556" t="s">
        <v>4768</v>
      </c>
      <c r="Y1556" s="1">
        <v>46072</v>
      </c>
      <c r="Z1556" s="1">
        <v>46102</v>
      </c>
      <c r="AA1556" s="2">
        <v>372334.93</v>
      </c>
      <c r="AB1556" s="2">
        <v>315538.08</v>
      </c>
      <c r="AC1556" s="2">
        <v>56796.85</v>
      </c>
      <c r="AD1556" s="2">
        <v>372334.93</v>
      </c>
      <c r="AE1556" t="s">
        <v>4770</v>
      </c>
      <c r="AF1556" t="s">
        <v>72</v>
      </c>
      <c r="AG1556">
        <v>-24</v>
      </c>
      <c r="AH1556" t="s">
        <v>117</v>
      </c>
      <c r="AI1556" t="s">
        <v>74</v>
      </c>
      <c r="AJ1556" t="s">
        <v>75</v>
      </c>
      <c r="AK1556" t="s">
        <v>76</v>
      </c>
      <c r="AL1556" t="s">
        <v>118</v>
      </c>
      <c r="AM1556" t="s">
        <v>78</v>
      </c>
      <c r="AN1556" t="s">
        <v>104</v>
      </c>
      <c r="AO1556" t="s">
        <v>119</v>
      </c>
      <c r="AP1556" t="e">
        <v>#N/A</v>
      </c>
      <c r="AQ1556" t="s">
        <v>81</v>
      </c>
      <c r="AR1556" t="str">
        <f t="shared" si="48"/>
        <v>60602095.STATAM</v>
      </c>
      <c r="AS1556">
        <f t="shared" si="49"/>
        <v>4376923.8899999997</v>
      </c>
      <c r="AT1556" t="s">
        <v>82</v>
      </c>
    </row>
    <row r="1557" spans="1:46" x14ac:dyDescent="0.35">
      <c r="A1557" t="s">
        <v>52</v>
      </c>
      <c r="B1557" t="s">
        <v>53</v>
      </c>
      <c r="C1557" t="s">
        <v>54</v>
      </c>
      <c r="D1557" t="s">
        <v>55</v>
      </c>
      <c r="E1557" t="s">
        <v>56</v>
      </c>
      <c r="F1557" t="s">
        <v>4722</v>
      </c>
      <c r="G1557" t="s">
        <v>4723</v>
      </c>
      <c r="H1557" t="s">
        <v>56</v>
      </c>
      <c r="I1557" t="s">
        <v>4771</v>
      </c>
      <c r="J1557" t="s">
        <v>61</v>
      </c>
      <c r="K1557" t="s">
        <v>62</v>
      </c>
      <c r="L1557" t="s">
        <v>56</v>
      </c>
      <c r="M1557" t="s">
        <v>56</v>
      </c>
      <c r="N1557" t="s">
        <v>1183</v>
      </c>
      <c r="O1557" t="s">
        <v>391</v>
      </c>
      <c r="P1557" t="s">
        <v>392</v>
      </c>
      <c r="Q1557" t="s">
        <v>114</v>
      </c>
      <c r="R1557" t="s">
        <v>67</v>
      </c>
      <c r="S1557">
        <v>1000000</v>
      </c>
      <c r="T1557">
        <v>-6045719.5499999998</v>
      </c>
      <c r="U1557" t="s">
        <v>68</v>
      </c>
      <c r="V1557" t="s">
        <v>4725</v>
      </c>
      <c r="W1557" s="9">
        <v>60602095</v>
      </c>
      <c r="X1557" t="s">
        <v>4772</v>
      </c>
      <c r="Y1557" s="1">
        <v>46077</v>
      </c>
      <c r="Z1557" s="1">
        <v>46107</v>
      </c>
      <c r="AA1557" s="2">
        <v>138914.85999999999</v>
      </c>
      <c r="AB1557" s="2">
        <v>117724.46</v>
      </c>
      <c r="AC1557" s="2">
        <v>21190.400000000001</v>
      </c>
      <c r="AD1557" s="2">
        <v>138914.85999999999</v>
      </c>
      <c r="AE1557" t="s">
        <v>4773</v>
      </c>
      <c r="AF1557" t="s">
        <v>72</v>
      </c>
      <c r="AG1557">
        <v>-29</v>
      </c>
      <c r="AH1557" t="s">
        <v>117</v>
      </c>
      <c r="AI1557" t="s">
        <v>74</v>
      </c>
      <c r="AJ1557" t="s">
        <v>75</v>
      </c>
      <c r="AK1557" t="s">
        <v>76</v>
      </c>
      <c r="AL1557" t="s">
        <v>118</v>
      </c>
      <c r="AM1557" t="s">
        <v>78</v>
      </c>
      <c r="AN1557" t="s">
        <v>104</v>
      </c>
      <c r="AO1557" t="s">
        <v>119</v>
      </c>
      <c r="AP1557" t="e">
        <v>#N/A</v>
      </c>
      <c r="AQ1557" t="s">
        <v>81</v>
      </c>
      <c r="AR1557" t="str">
        <f t="shared" si="48"/>
        <v>60602095.STATAM</v>
      </c>
      <c r="AS1557">
        <f t="shared" si="49"/>
        <v>4376923.8899999997</v>
      </c>
      <c r="AT1557" t="s">
        <v>82</v>
      </c>
    </row>
    <row r="1558" spans="1:46" x14ac:dyDescent="0.35">
      <c r="A1558" t="s">
        <v>52</v>
      </c>
      <c r="B1558" t="s">
        <v>53</v>
      </c>
      <c r="C1558" t="s">
        <v>54</v>
      </c>
      <c r="D1558" t="s">
        <v>55</v>
      </c>
      <c r="E1558" t="s">
        <v>56</v>
      </c>
      <c r="F1558" t="s">
        <v>4722</v>
      </c>
      <c r="G1558" t="s">
        <v>4774</v>
      </c>
      <c r="H1558" t="s">
        <v>56</v>
      </c>
      <c r="I1558" t="s">
        <v>4775</v>
      </c>
      <c r="J1558" t="s">
        <v>61</v>
      </c>
      <c r="K1558" t="s">
        <v>62</v>
      </c>
      <c r="L1558" t="s">
        <v>56</v>
      </c>
      <c r="M1558" t="s">
        <v>56</v>
      </c>
      <c r="N1558" t="s">
        <v>295</v>
      </c>
      <c r="O1558" t="s">
        <v>391</v>
      </c>
      <c r="P1558" t="s">
        <v>392</v>
      </c>
      <c r="Q1558" t="s">
        <v>114</v>
      </c>
      <c r="R1558" t="s">
        <v>67</v>
      </c>
      <c r="S1558">
        <v>1000000</v>
      </c>
      <c r="T1558">
        <v>-6045719.5499999998</v>
      </c>
      <c r="U1558" t="s">
        <v>68</v>
      </c>
      <c r="V1558" t="s">
        <v>4725</v>
      </c>
      <c r="W1558" s="9">
        <v>60602095</v>
      </c>
      <c r="X1558" t="s">
        <v>4776</v>
      </c>
      <c r="Y1558" s="1">
        <v>46077</v>
      </c>
      <c r="Z1558" s="1">
        <v>46107</v>
      </c>
      <c r="AA1558" s="2">
        <v>392972.53</v>
      </c>
      <c r="AB1558" s="2">
        <v>333027.57</v>
      </c>
      <c r="AC1558" s="2">
        <v>59944.959999999999</v>
      </c>
      <c r="AD1558" s="2">
        <v>392972.53</v>
      </c>
      <c r="AE1558" t="s">
        <v>4777</v>
      </c>
      <c r="AF1558" t="s">
        <v>72</v>
      </c>
      <c r="AG1558">
        <v>-29</v>
      </c>
      <c r="AH1558" t="s">
        <v>117</v>
      </c>
      <c r="AI1558" t="s">
        <v>74</v>
      </c>
      <c r="AJ1558" t="s">
        <v>75</v>
      </c>
      <c r="AK1558" t="s">
        <v>76</v>
      </c>
      <c r="AL1558" t="s">
        <v>118</v>
      </c>
      <c r="AM1558" t="s">
        <v>78</v>
      </c>
      <c r="AN1558" t="s">
        <v>104</v>
      </c>
      <c r="AO1558" t="s">
        <v>119</v>
      </c>
      <c r="AP1558" t="e">
        <v>#N/A</v>
      </c>
      <c r="AQ1558" t="s">
        <v>81</v>
      </c>
      <c r="AR1558" t="str">
        <f t="shared" si="48"/>
        <v>60602095.STATAM</v>
      </c>
      <c r="AS1558">
        <f t="shared" si="49"/>
        <v>4376923.8899999997</v>
      </c>
      <c r="AT1558" t="s">
        <v>82</v>
      </c>
    </row>
    <row r="1559" spans="1:46" x14ac:dyDescent="0.35">
      <c r="A1559" t="s">
        <v>52</v>
      </c>
      <c r="B1559" t="s">
        <v>53</v>
      </c>
      <c r="C1559" t="s">
        <v>54</v>
      </c>
      <c r="D1559" t="s">
        <v>55</v>
      </c>
      <c r="E1559" t="s">
        <v>56</v>
      </c>
      <c r="F1559" t="s">
        <v>4778</v>
      </c>
      <c r="G1559" t="s">
        <v>56</v>
      </c>
      <c r="H1559" t="s">
        <v>56</v>
      </c>
      <c r="I1559" t="s">
        <v>4779</v>
      </c>
      <c r="J1559" t="s">
        <v>61</v>
      </c>
      <c r="K1559" t="s">
        <v>62</v>
      </c>
      <c r="L1559" t="s">
        <v>56</v>
      </c>
      <c r="M1559" t="s">
        <v>56</v>
      </c>
      <c r="N1559" t="s">
        <v>56</v>
      </c>
      <c r="O1559" t="s">
        <v>245</v>
      </c>
      <c r="P1559" t="s">
        <v>246</v>
      </c>
      <c r="Q1559" t="s">
        <v>87</v>
      </c>
      <c r="R1559" t="s">
        <v>88</v>
      </c>
      <c r="T1559">
        <v>0.6</v>
      </c>
      <c r="U1559" t="s">
        <v>68</v>
      </c>
      <c r="V1559" t="s">
        <v>4780</v>
      </c>
      <c r="W1559" s="9">
        <v>60604435</v>
      </c>
      <c r="X1559" t="s">
        <v>4781</v>
      </c>
      <c r="Y1559" s="1">
        <v>46069</v>
      </c>
      <c r="Z1559" s="1">
        <v>46069</v>
      </c>
      <c r="AA1559" s="2">
        <v>-574165</v>
      </c>
      <c r="AB1559" s="2">
        <v>-574165</v>
      </c>
      <c r="AC1559" s="2">
        <v>0</v>
      </c>
      <c r="AD1559" s="2">
        <v>-221174.7</v>
      </c>
      <c r="AE1559" t="s">
        <v>4781</v>
      </c>
      <c r="AF1559" t="s">
        <v>72</v>
      </c>
      <c r="AG1559">
        <v>9</v>
      </c>
      <c r="AH1559" t="s">
        <v>73</v>
      </c>
      <c r="AI1559" t="s">
        <v>74</v>
      </c>
      <c r="AJ1559" t="s">
        <v>75</v>
      </c>
      <c r="AK1559" t="s">
        <v>76</v>
      </c>
      <c r="AL1559" t="s">
        <v>77</v>
      </c>
      <c r="AM1559" t="s">
        <v>78</v>
      </c>
      <c r="AN1559" t="s">
        <v>239</v>
      </c>
      <c r="AO1559" t="s">
        <v>80</v>
      </c>
      <c r="AP1559" t="e">
        <v>#N/A</v>
      </c>
      <c r="AQ1559" t="s">
        <v>81</v>
      </c>
      <c r="AR1559" t="str">
        <f t="shared" si="48"/>
        <v>60604435.STATAM</v>
      </c>
      <c r="AS1559">
        <f t="shared" si="49"/>
        <v>-221174.7</v>
      </c>
      <c r="AT1559" t="s">
        <v>93</v>
      </c>
    </row>
    <row r="1560" spans="1:46" x14ac:dyDescent="0.35">
      <c r="A1560" t="s">
        <v>52</v>
      </c>
      <c r="B1560" t="s">
        <v>53</v>
      </c>
      <c r="C1560" t="s">
        <v>621</v>
      </c>
      <c r="D1560" t="s">
        <v>55</v>
      </c>
      <c r="E1560" t="s">
        <v>56</v>
      </c>
      <c r="F1560" t="s">
        <v>4782</v>
      </c>
      <c r="G1560" t="s">
        <v>4783</v>
      </c>
      <c r="H1560" t="s">
        <v>59</v>
      </c>
      <c r="I1560" t="s">
        <v>4784</v>
      </c>
      <c r="J1560" t="s">
        <v>61</v>
      </c>
      <c r="K1560" t="s">
        <v>62</v>
      </c>
      <c r="L1560" t="s">
        <v>56</v>
      </c>
      <c r="M1560" t="s">
        <v>56</v>
      </c>
      <c r="N1560" t="s">
        <v>63</v>
      </c>
      <c r="O1560" t="s">
        <v>391</v>
      </c>
      <c r="P1560" t="s">
        <v>392</v>
      </c>
      <c r="Q1560" t="s">
        <v>4785</v>
      </c>
      <c r="R1560" t="s">
        <v>248</v>
      </c>
      <c r="S1560">
        <v>2500000</v>
      </c>
      <c r="T1560">
        <v>-1532457.19</v>
      </c>
      <c r="U1560" t="s">
        <v>68</v>
      </c>
      <c r="V1560" t="s">
        <v>4786</v>
      </c>
      <c r="W1560" s="9">
        <v>60604368</v>
      </c>
      <c r="X1560" t="s">
        <v>4787</v>
      </c>
      <c r="Y1560" s="1">
        <v>46039</v>
      </c>
      <c r="Z1560" s="1">
        <v>46099</v>
      </c>
      <c r="AA1560" s="2">
        <v>1230387.72</v>
      </c>
      <c r="AB1560" s="2">
        <v>1042701.46</v>
      </c>
      <c r="AC1560" s="2">
        <v>187686.26</v>
      </c>
      <c r="AD1560" s="2">
        <v>143695.54</v>
      </c>
      <c r="AE1560" t="s">
        <v>4788</v>
      </c>
      <c r="AF1560" t="s">
        <v>72</v>
      </c>
      <c r="AG1560">
        <v>-21</v>
      </c>
      <c r="AH1560" t="s">
        <v>117</v>
      </c>
      <c r="AI1560" t="s">
        <v>74</v>
      </c>
      <c r="AJ1560" t="s">
        <v>75</v>
      </c>
      <c r="AK1560" t="s">
        <v>76</v>
      </c>
      <c r="AL1560" t="s">
        <v>118</v>
      </c>
      <c r="AM1560" t="s">
        <v>78</v>
      </c>
      <c r="AN1560" t="s">
        <v>104</v>
      </c>
      <c r="AO1560" t="s">
        <v>119</v>
      </c>
      <c r="AP1560" t="e">
        <v>#N/A</v>
      </c>
      <c r="AQ1560" t="s">
        <v>81</v>
      </c>
      <c r="AR1560" t="str">
        <f t="shared" si="48"/>
        <v>60604368.STATAM</v>
      </c>
      <c r="AS1560">
        <f t="shared" si="49"/>
        <v>2417492.67</v>
      </c>
      <c r="AT1560" t="s">
        <v>82</v>
      </c>
    </row>
    <row r="1561" spans="1:46" x14ac:dyDescent="0.35">
      <c r="A1561" t="s">
        <v>52</v>
      </c>
      <c r="B1561" t="s">
        <v>53</v>
      </c>
      <c r="C1561" t="s">
        <v>621</v>
      </c>
      <c r="D1561" t="s">
        <v>55</v>
      </c>
      <c r="E1561" t="s">
        <v>56</v>
      </c>
      <c r="F1561" t="s">
        <v>4782</v>
      </c>
      <c r="G1561" t="s">
        <v>4789</v>
      </c>
      <c r="H1561" t="s">
        <v>59</v>
      </c>
      <c r="I1561" t="s">
        <v>4790</v>
      </c>
      <c r="J1561" t="s">
        <v>61</v>
      </c>
      <c r="K1561" t="s">
        <v>62</v>
      </c>
      <c r="L1561" t="s">
        <v>56</v>
      </c>
      <c r="M1561" t="s">
        <v>56</v>
      </c>
      <c r="N1561" t="s">
        <v>63</v>
      </c>
      <c r="O1561" t="s">
        <v>391</v>
      </c>
      <c r="P1561" t="s">
        <v>392</v>
      </c>
      <c r="Q1561" t="s">
        <v>4791</v>
      </c>
      <c r="R1561" t="s">
        <v>248</v>
      </c>
      <c r="S1561">
        <v>2500000</v>
      </c>
      <c r="T1561">
        <v>-1532457.19</v>
      </c>
      <c r="U1561" t="s">
        <v>68</v>
      </c>
      <c r="V1561" t="s">
        <v>4786</v>
      </c>
      <c r="W1561" s="9">
        <v>60604368</v>
      </c>
      <c r="X1561" t="s">
        <v>4792</v>
      </c>
      <c r="Y1561" s="1">
        <v>46067</v>
      </c>
      <c r="Z1561" s="1">
        <v>46127</v>
      </c>
      <c r="AA1561" s="2">
        <v>1089507.6599999999</v>
      </c>
      <c r="AB1561" s="2">
        <v>923311.58</v>
      </c>
      <c r="AC1561" s="2">
        <v>166196.07999999999</v>
      </c>
      <c r="AD1561" s="2">
        <v>1089507.6599999999</v>
      </c>
      <c r="AE1561" t="s">
        <v>4793</v>
      </c>
      <c r="AF1561" t="s">
        <v>72</v>
      </c>
      <c r="AG1561">
        <v>-49</v>
      </c>
      <c r="AH1561" t="s">
        <v>117</v>
      </c>
      <c r="AI1561" t="s">
        <v>74</v>
      </c>
      <c r="AJ1561" t="s">
        <v>75</v>
      </c>
      <c r="AK1561" t="s">
        <v>76</v>
      </c>
      <c r="AL1561" t="s">
        <v>118</v>
      </c>
      <c r="AM1561" t="s">
        <v>78</v>
      </c>
      <c r="AN1561" t="s">
        <v>104</v>
      </c>
      <c r="AO1561" t="s">
        <v>119</v>
      </c>
      <c r="AP1561" t="e">
        <v>#N/A</v>
      </c>
      <c r="AQ1561" t="s">
        <v>81</v>
      </c>
      <c r="AR1561" t="str">
        <f t="shared" si="48"/>
        <v>60604368.STATAM</v>
      </c>
      <c r="AS1561">
        <f t="shared" si="49"/>
        <v>2417492.67</v>
      </c>
      <c r="AT1561" t="s">
        <v>82</v>
      </c>
    </row>
    <row r="1562" spans="1:46" x14ac:dyDescent="0.35">
      <c r="A1562" t="s">
        <v>52</v>
      </c>
      <c r="B1562" t="s">
        <v>53</v>
      </c>
      <c r="C1562" t="s">
        <v>621</v>
      </c>
      <c r="D1562" t="s">
        <v>55</v>
      </c>
      <c r="E1562" t="s">
        <v>56</v>
      </c>
      <c r="F1562" t="s">
        <v>4782</v>
      </c>
      <c r="G1562" t="s">
        <v>4783</v>
      </c>
      <c r="H1562" t="s">
        <v>59</v>
      </c>
      <c r="I1562" t="s">
        <v>4784</v>
      </c>
      <c r="J1562" t="s">
        <v>61</v>
      </c>
      <c r="K1562" t="s">
        <v>62</v>
      </c>
      <c r="L1562" t="s">
        <v>56</v>
      </c>
      <c r="M1562" t="s">
        <v>56</v>
      </c>
      <c r="N1562" t="s">
        <v>63</v>
      </c>
      <c r="O1562" t="s">
        <v>391</v>
      </c>
      <c r="P1562" t="s">
        <v>392</v>
      </c>
      <c r="Q1562" t="s">
        <v>4785</v>
      </c>
      <c r="R1562" t="s">
        <v>248</v>
      </c>
      <c r="S1562">
        <v>2500000</v>
      </c>
      <c r="T1562">
        <v>-1532457.19</v>
      </c>
      <c r="U1562" t="s">
        <v>68</v>
      </c>
      <c r="V1562" t="s">
        <v>4786</v>
      </c>
      <c r="W1562" s="9">
        <v>60604368</v>
      </c>
      <c r="X1562" t="s">
        <v>4794</v>
      </c>
      <c r="Y1562" s="1">
        <v>46067</v>
      </c>
      <c r="Z1562" s="1">
        <v>46127</v>
      </c>
      <c r="AA1562" s="2">
        <v>1184289.47</v>
      </c>
      <c r="AB1562" s="2">
        <v>1003635.15</v>
      </c>
      <c r="AC1562" s="2">
        <v>180654.32</v>
      </c>
      <c r="AD1562" s="2">
        <v>1184289.47</v>
      </c>
      <c r="AE1562" t="s">
        <v>4795</v>
      </c>
      <c r="AF1562" t="s">
        <v>72</v>
      </c>
      <c r="AG1562">
        <v>-49</v>
      </c>
      <c r="AH1562" t="s">
        <v>117</v>
      </c>
      <c r="AI1562" t="s">
        <v>74</v>
      </c>
      <c r="AJ1562" t="s">
        <v>75</v>
      </c>
      <c r="AK1562" t="s">
        <v>76</v>
      </c>
      <c r="AL1562" t="s">
        <v>118</v>
      </c>
      <c r="AM1562" t="s">
        <v>78</v>
      </c>
      <c r="AN1562" t="s">
        <v>104</v>
      </c>
      <c r="AO1562" t="s">
        <v>119</v>
      </c>
      <c r="AP1562" t="e">
        <v>#N/A</v>
      </c>
      <c r="AQ1562" t="s">
        <v>81</v>
      </c>
      <c r="AR1562" t="str">
        <f t="shared" si="48"/>
        <v>60604368.STATAM</v>
      </c>
      <c r="AS1562">
        <f t="shared" si="49"/>
        <v>2417492.67</v>
      </c>
      <c r="AT1562" t="s">
        <v>82</v>
      </c>
    </row>
    <row r="1563" spans="1:46" x14ac:dyDescent="0.35">
      <c r="A1563" t="s">
        <v>52</v>
      </c>
      <c r="B1563" t="s">
        <v>53</v>
      </c>
      <c r="C1563" t="s">
        <v>54</v>
      </c>
      <c r="D1563" t="s">
        <v>55</v>
      </c>
      <c r="E1563" t="s">
        <v>56</v>
      </c>
      <c r="F1563" t="s">
        <v>4796</v>
      </c>
      <c r="G1563" t="s">
        <v>56</v>
      </c>
      <c r="H1563" t="s">
        <v>56</v>
      </c>
      <c r="I1563" t="s">
        <v>4797</v>
      </c>
      <c r="J1563" t="s">
        <v>61</v>
      </c>
      <c r="K1563" t="s">
        <v>62</v>
      </c>
      <c r="L1563" t="s">
        <v>56</v>
      </c>
      <c r="M1563" t="s">
        <v>56</v>
      </c>
      <c r="N1563" t="s">
        <v>56</v>
      </c>
      <c r="O1563" t="s">
        <v>245</v>
      </c>
      <c r="P1563" t="s">
        <v>246</v>
      </c>
      <c r="Q1563" t="s">
        <v>87</v>
      </c>
      <c r="R1563" t="s">
        <v>67</v>
      </c>
      <c r="T1563">
        <v>-860330.66</v>
      </c>
      <c r="U1563" t="s">
        <v>68</v>
      </c>
      <c r="V1563" t="s">
        <v>4798</v>
      </c>
      <c r="W1563" s="9">
        <v>60604386</v>
      </c>
      <c r="X1563" t="s">
        <v>4799</v>
      </c>
      <c r="Y1563" s="1">
        <v>46060</v>
      </c>
      <c r="Z1563" s="1">
        <v>46060</v>
      </c>
      <c r="AA1563" s="2">
        <v>-1842836</v>
      </c>
      <c r="AB1563" s="2">
        <v>-1842836</v>
      </c>
      <c r="AC1563" s="2">
        <v>0</v>
      </c>
      <c r="AD1563" s="2">
        <v>-1385746.36</v>
      </c>
      <c r="AE1563" t="s">
        <v>4799</v>
      </c>
      <c r="AF1563" t="s">
        <v>72</v>
      </c>
      <c r="AG1563">
        <v>18</v>
      </c>
      <c r="AH1563" t="s">
        <v>73</v>
      </c>
      <c r="AI1563" t="s">
        <v>74</v>
      </c>
      <c r="AJ1563" t="s">
        <v>75</v>
      </c>
      <c r="AK1563" t="s">
        <v>76</v>
      </c>
      <c r="AL1563" t="s">
        <v>77</v>
      </c>
      <c r="AM1563" t="s">
        <v>78</v>
      </c>
      <c r="AN1563" t="s">
        <v>239</v>
      </c>
      <c r="AO1563" t="s">
        <v>80</v>
      </c>
      <c r="AP1563" t="e">
        <v>#N/A</v>
      </c>
      <c r="AQ1563" t="s">
        <v>81</v>
      </c>
      <c r="AR1563" t="str">
        <f t="shared" si="48"/>
        <v>60604386.STATAM</v>
      </c>
      <c r="AS1563">
        <f t="shared" si="49"/>
        <v>321116.67999999993</v>
      </c>
      <c r="AT1563" t="s">
        <v>82</v>
      </c>
    </row>
    <row r="1564" spans="1:46" x14ac:dyDescent="0.35">
      <c r="A1564" t="s">
        <v>52</v>
      </c>
      <c r="B1564" t="s">
        <v>53</v>
      </c>
      <c r="C1564" t="s">
        <v>54</v>
      </c>
      <c r="D1564" t="s">
        <v>55</v>
      </c>
      <c r="E1564" t="s">
        <v>56</v>
      </c>
      <c r="F1564" t="s">
        <v>4796</v>
      </c>
      <c r="G1564" t="s">
        <v>4800</v>
      </c>
      <c r="H1564" t="s">
        <v>59</v>
      </c>
      <c r="I1564" t="s">
        <v>4801</v>
      </c>
      <c r="J1564" t="s">
        <v>61</v>
      </c>
      <c r="K1564" t="s">
        <v>62</v>
      </c>
      <c r="L1564" t="s">
        <v>56</v>
      </c>
      <c r="M1564" t="s">
        <v>56</v>
      </c>
      <c r="N1564" t="s">
        <v>63</v>
      </c>
      <c r="O1564" t="s">
        <v>245</v>
      </c>
      <c r="P1564" t="s">
        <v>246</v>
      </c>
      <c r="Q1564" t="s">
        <v>1152</v>
      </c>
      <c r="R1564" t="s">
        <v>67</v>
      </c>
      <c r="T1564">
        <v>-860330.66</v>
      </c>
      <c r="U1564" t="s">
        <v>68</v>
      </c>
      <c r="V1564" t="s">
        <v>4798</v>
      </c>
      <c r="W1564" s="9">
        <v>60604386</v>
      </c>
      <c r="X1564" t="s">
        <v>4802</v>
      </c>
      <c r="Y1564" s="1">
        <v>46077</v>
      </c>
      <c r="Z1564" s="1">
        <v>46107</v>
      </c>
      <c r="AA1564" s="2">
        <v>1706863.04</v>
      </c>
      <c r="AB1564" s="2">
        <v>1446494.1</v>
      </c>
      <c r="AC1564" s="2">
        <v>260368.94</v>
      </c>
      <c r="AD1564" s="2">
        <v>1706863.04</v>
      </c>
      <c r="AE1564" t="s">
        <v>4803</v>
      </c>
      <c r="AF1564" t="s">
        <v>72</v>
      </c>
      <c r="AG1564">
        <v>-29</v>
      </c>
      <c r="AH1564" t="s">
        <v>117</v>
      </c>
      <c r="AI1564" t="s">
        <v>74</v>
      </c>
      <c r="AJ1564" t="s">
        <v>75</v>
      </c>
      <c r="AK1564" t="s">
        <v>76</v>
      </c>
      <c r="AL1564" t="s">
        <v>118</v>
      </c>
      <c r="AM1564" t="s">
        <v>78</v>
      </c>
      <c r="AN1564" t="s">
        <v>239</v>
      </c>
      <c r="AO1564" t="s">
        <v>119</v>
      </c>
      <c r="AP1564" t="e">
        <v>#N/A</v>
      </c>
      <c r="AQ1564" t="s">
        <v>81</v>
      </c>
      <c r="AR1564" t="str">
        <f t="shared" si="48"/>
        <v>60604386.STATAM</v>
      </c>
      <c r="AS1564">
        <f t="shared" si="49"/>
        <v>321116.67999999993</v>
      </c>
      <c r="AT1564" t="s">
        <v>82</v>
      </c>
    </row>
    <row r="1565" spans="1:46" x14ac:dyDescent="0.35">
      <c r="A1565" t="s">
        <v>52</v>
      </c>
      <c r="B1565" t="s">
        <v>53</v>
      </c>
      <c r="C1565" t="s">
        <v>54</v>
      </c>
      <c r="D1565" t="s">
        <v>55</v>
      </c>
      <c r="E1565" t="s">
        <v>56</v>
      </c>
      <c r="F1565" t="s">
        <v>4804</v>
      </c>
      <c r="G1565" t="s">
        <v>4805</v>
      </c>
      <c r="H1565" t="s">
        <v>56</v>
      </c>
      <c r="I1565" t="s">
        <v>4806</v>
      </c>
      <c r="J1565" t="s">
        <v>61</v>
      </c>
      <c r="K1565" t="s">
        <v>62</v>
      </c>
      <c r="L1565" t="s">
        <v>4807</v>
      </c>
      <c r="M1565" t="s">
        <v>56</v>
      </c>
      <c r="N1565" t="s">
        <v>244</v>
      </c>
      <c r="O1565" t="s">
        <v>318</v>
      </c>
      <c r="P1565" t="s">
        <v>319</v>
      </c>
      <c r="Q1565" t="s">
        <v>114</v>
      </c>
      <c r="R1565" t="s">
        <v>232</v>
      </c>
      <c r="T1565">
        <v>-1011190.94</v>
      </c>
      <c r="U1565" t="s">
        <v>68</v>
      </c>
      <c r="V1565" t="s">
        <v>4808</v>
      </c>
      <c r="W1565" s="9">
        <v>60604381</v>
      </c>
      <c r="X1565" t="s">
        <v>4809</v>
      </c>
      <c r="Y1565" s="1">
        <v>45890</v>
      </c>
      <c r="Z1565" s="1">
        <v>45980</v>
      </c>
      <c r="AA1565" s="2">
        <v>1934502.56</v>
      </c>
      <c r="AB1565" s="2">
        <v>1932570</v>
      </c>
      <c r="AC1565" s="2">
        <v>1932.56</v>
      </c>
      <c r="AD1565" s="2">
        <v>453847.77</v>
      </c>
      <c r="AE1565" t="s">
        <v>4810</v>
      </c>
      <c r="AF1565" t="s">
        <v>72</v>
      </c>
      <c r="AG1565">
        <v>98</v>
      </c>
      <c r="AH1565" t="s">
        <v>91</v>
      </c>
      <c r="AI1565" t="s">
        <v>74</v>
      </c>
      <c r="AJ1565" t="s">
        <v>75</v>
      </c>
      <c r="AK1565" t="s">
        <v>76</v>
      </c>
      <c r="AL1565" t="s">
        <v>77</v>
      </c>
      <c r="AM1565" t="s">
        <v>78</v>
      </c>
      <c r="AN1565" t="s">
        <v>239</v>
      </c>
      <c r="AO1565" t="s">
        <v>80</v>
      </c>
      <c r="AP1565" t="e">
        <v>#N/A</v>
      </c>
      <c r="AQ1565" t="s">
        <v>81</v>
      </c>
      <c r="AR1565" t="str">
        <f t="shared" si="48"/>
        <v>60604381.STATAM</v>
      </c>
      <c r="AS1565">
        <f t="shared" si="49"/>
        <v>924974.81000000017</v>
      </c>
      <c r="AT1565" t="s">
        <v>82</v>
      </c>
    </row>
    <row r="1566" spans="1:46" x14ac:dyDescent="0.35">
      <c r="A1566" t="s">
        <v>52</v>
      </c>
      <c r="B1566" t="s">
        <v>53</v>
      </c>
      <c r="C1566" t="s">
        <v>54</v>
      </c>
      <c r="D1566" t="s">
        <v>55</v>
      </c>
      <c r="E1566" t="s">
        <v>56</v>
      </c>
      <c r="F1566" t="s">
        <v>4804</v>
      </c>
      <c r="G1566" t="s">
        <v>4805</v>
      </c>
      <c r="H1566" t="s">
        <v>56</v>
      </c>
      <c r="I1566" t="s">
        <v>4806</v>
      </c>
      <c r="J1566" t="s">
        <v>61</v>
      </c>
      <c r="K1566" t="s">
        <v>62</v>
      </c>
      <c r="L1566" t="s">
        <v>4807</v>
      </c>
      <c r="M1566" t="s">
        <v>56</v>
      </c>
      <c r="N1566" t="s">
        <v>1183</v>
      </c>
      <c r="O1566" t="s">
        <v>318</v>
      </c>
      <c r="P1566" t="s">
        <v>319</v>
      </c>
      <c r="Q1566" t="s">
        <v>114</v>
      </c>
      <c r="R1566" t="s">
        <v>232</v>
      </c>
      <c r="T1566">
        <v>-1011190.94</v>
      </c>
      <c r="U1566" t="s">
        <v>68</v>
      </c>
      <c r="V1566" t="s">
        <v>4808</v>
      </c>
      <c r="W1566" s="9">
        <v>60604381</v>
      </c>
      <c r="X1566" t="s">
        <v>4809</v>
      </c>
      <c r="Y1566" s="1">
        <v>45890</v>
      </c>
      <c r="Z1566" s="1">
        <v>45980</v>
      </c>
      <c r="AA1566" s="2">
        <v>458162.7</v>
      </c>
      <c r="AB1566" s="2">
        <v>457705</v>
      </c>
      <c r="AC1566" s="2">
        <v>457.7</v>
      </c>
      <c r="AD1566" s="2">
        <v>107488.16</v>
      </c>
      <c r="AE1566" t="s">
        <v>4811</v>
      </c>
      <c r="AF1566" t="s">
        <v>72</v>
      </c>
      <c r="AG1566">
        <v>98</v>
      </c>
      <c r="AH1566" t="s">
        <v>91</v>
      </c>
      <c r="AI1566" t="s">
        <v>74</v>
      </c>
      <c r="AJ1566" t="s">
        <v>75</v>
      </c>
      <c r="AK1566" t="s">
        <v>76</v>
      </c>
      <c r="AL1566" t="s">
        <v>77</v>
      </c>
      <c r="AM1566" t="s">
        <v>78</v>
      </c>
      <c r="AN1566" t="s">
        <v>239</v>
      </c>
      <c r="AO1566" t="s">
        <v>80</v>
      </c>
      <c r="AP1566" t="e">
        <v>#N/A</v>
      </c>
      <c r="AQ1566" t="s">
        <v>81</v>
      </c>
      <c r="AR1566" t="str">
        <f t="shared" si="48"/>
        <v>60604381.STATAM</v>
      </c>
      <c r="AS1566">
        <f t="shared" si="49"/>
        <v>924974.81000000017</v>
      </c>
      <c r="AT1566" t="s">
        <v>82</v>
      </c>
    </row>
    <row r="1567" spans="1:46" x14ac:dyDescent="0.35">
      <c r="A1567" t="s">
        <v>52</v>
      </c>
      <c r="B1567" t="s">
        <v>53</v>
      </c>
      <c r="C1567" t="s">
        <v>54</v>
      </c>
      <c r="D1567" t="s">
        <v>55</v>
      </c>
      <c r="E1567" t="s">
        <v>56</v>
      </c>
      <c r="F1567" t="s">
        <v>4804</v>
      </c>
      <c r="G1567" t="s">
        <v>4805</v>
      </c>
      <c r="H1567" t="s">
        <v>56</v>
      </c>
      <c r="I1567" t="s">
        <v>4806</v>
      </c>
      <c r="J1567" t="s">
        <v>61</v>
      </c>
      <c r="K1567" t="s">
        <v>62</v>
      </c>
      <c r="L1567" t="s">
        <v>4807</v>
      </c>
      <c r="M1567" t="s">
        <v>56</v>
      </c>
      <c r="N1567" t="s">
        <v>263</v>
      </c>
      <c r="O1567" t="s">
        <v>318</v>
      </c>
      <c r="P1567" t="s">
        <v>319</v>
      </c>
      <c r="Q1567" t="s">
        <v>114</v>
      </c>
      <c r="R1567" t="s">
        <v>232</v>
      </c>
      <c r="T1567">
        <v>-1011190.94</v>
      </c>
      <c r="U1567" t="s">
        <v>68</v>
      </c>
      <c r="V1567" t="s">
        <v>4808</v>
      </c>
      <c r="W1567" s="9">
        <v>60604381</v>
      </c>
      <c r="X1567" t="s">
        <v>4809</v>
      </c>
      <c r="Y1567" s="1">
        <v>45890</v>
      </c>
      <c r="Z1567" s="1">
        <v>45980</v>
      </c>
      <c r="AA1567" s="2">
        <v>468240.77</v>
      </c>
      <c r="AB1567" s="2">
        <v>467773</v>
      </c>
      <c r="AC1567" s="2">
        <v>467.77</v>
      </c>
      <c r="AD1567" s="2">
        <v>109852.54</v>
      </c>
      <c r="AE1567" t="s">
        <v>4812</v>
      </c>
      <c r="AF1567" t="s">
        <v>72</v>
      </c>
      <c r="AG1567">
        <v>98</v>
      </c>
      <c r="AH1567" t="s">
        <v>91</v>
      </c>
      <c r="AI1567" t="s">
        <v>74</v>
      </c>
      <c r="AJ1567" t="s">
        <v>75</v>
      </c>
      <c r="AK1567" t="s">
        <v>76</v>
      </c>
      <c r="AL1567" t="s">
        <v>77</v>
      </c>
      <c r="AM1567" t="s">
        <v>78</v>
      </c>
      <c r="AN1567" t="s">
        <v>239</v>
      </c>
      <c r="AO1567" t="s">
        <v>80</v>
      </c>
      <c r="AP1567" t="e">
        <v>#N/A</v>
      </c>
      <c r="AQ1567" t="s">
        <v>81</v>
      </c>
      <c r="AR1567" t="str">
        <f t="shared" si="48"/>
        <v>60604381.STATAM</v>
      </c>
      <c r="AS1567">
        <f t="shared" si="49"/>
        <v>924974.81000000017</v>
      </c>
      <c r="AT1567" t="s">
        <v>82</v>
      </c>
    </row>
    <row r="1568" spans="1:46" x14ac:dyDescent="0.35">
      <c r="A1568" t="s">
        <v>52</v>
      </c>
      <c r="B1568" t="s">
        <v>53</v>
      </c>
      <c r="C1568" t="s">
        <v>54</v>
      </c>
      <c r="D1568" t="s">
        <v>55</v>
      </c>
      <c r="E1568" t="s">
        <v>56</v>
      </c>
      <c r="F1568" t="s">
        <v>4804</v>
      </c>
      <c r="G1568" t="s">
        <v>4805</v>
      </c>
      <c r="H1568" t="s">
        <v>56</v>
      </c>
      <c r="I1568" t="s">
        <v>4806</v>
      </c>
      <c r="J1568" t="s">
        <v>61</v>
      </c>
      <c r="K1568" t="s">
        <v>62</v>
      </c>
      <c r="L1568" t="s">
        <v>4807</v>
      </c>
      <c r="M1568" t="s">
        <v>56</v>
      </c>
      <c r="N1568" t="s">
        <v>254</v>
      </c>
      <c r="O1568" t="s">
        <v>318</v>
      </c>
      <c r="P1568" t="s">
        <v>319</v>
      </c>
      <c r="Q1568" t="s">
        <v>114</v>
      </c>
      <c r="R1568" t="s">
        <v>232</v>
      </c>
      <c r="T1568">
        <v>-1011190.94</v>
      </c>
      <c r="U1568" t="s">
        <v>68</v>
      </c>
      <c r="V1568" t="s">
        <v>4808</v>
      </c>
      <c r="W1568" s="9">
        <v>60604381</v>
      </c>
      <c r="X1568" t="s">
        <v>4809</v>
      </c>
      <c r="Y1568" s="1">
        <v>45890</v>
      </c>
      <c r="Z1568" s="1">
        <v>45980</v>
      </c>
      <c r="AA1568" s="2">
        <v>515812.3</v>
      </c>
      <c r="AB1568" s="2">
        <v>515297</v>
      </c>
      <c r="AC1568" s="2">
        <v>515.29999999999995</v>
      </c>
      <c r="AD1568" s="2">
        <v>121013.15</v>
      </c>
      <c r="AE1568" t="s">
        <v>4813</v>
      </c>
      <c r="AF1568" t="s">
        <v>72</v>
      </c>
      <c r="AG1568">
        <v>98</v>
      </c>
      <c r="AH1568" t="s">
        <v>91</v>
      </c>
      <c r="AI1568" t="s">
        <v>74</v>
      </c>
      <c r="AJ1568" t="s">
        <v>75</v>
      </c>
      <c r="AK1568" t="s">
        <v>76</v>
      </c>
      <c r="AL1568" t="s">
        <v>77</v>
      </c>
      <c r="AM1568" t="s">
        <v>78</v>
      </c>
      <c r="AN1568" t="s">
        <v>239</v>
      </c>
      <c r="AO1568" t="s">
        <v>80</v>
      </c>
      <c r="AP1568" t="e">
        <v>#N/A</v>
      </c>
      <c r="AQ1568" t="s">
        <v>81</v>
      </c>
      <c r="AR1568" t="str">
        <f t="shared" si="48"/>
        <v>60604381.STATAM</v>
      </c>
      <c r="AS1568">
        <f t="shared" si="49"/>
        <v>924974.81000000017</v>
      </c>
      <c r="AT1568" t="s">
        <v>82</v>
      </c>
    </row>
    <row r="1569" spans="1:46" x14ac:dyDescent="0.35">
      <c r="A1569" t="s">
        <v>52</v>
      </c>
      <c r="B1569" t="s">
        <v>53</v>
      </c>
      <c r="C1569" t="s">
        <v>54</v>
      </c>
      <c r="D1569" t="s">
        <v>55</v>
      </c>
      <c r="E1569" t="s">
        <v>56</v>
      </c>
      <c r="F1569" t="s">
        <v>4804</v>
      </c>
      <c r="G1569" t="s">
        <v>4805</v>
      </c>
      <c r="H1569" t="s">
        <v>56</v>
      </c>
      <c r="I1569" t="s">
        <v>4806</v>
      </c>
      <c r="J1569" t="s">
        <v>61</v>
      </c>
      <c r="K1569" t="s">
        <v>62</v>
      </c>
      <c r="L1569" t="s">
        <v>4807</v>
      </c>
      <c r="M1569" t="s">
        <v>56</v>
      </c>
      <c r="N1569" t="s">
        <v>1384</v>
      </c>
      <c r="O1569" t="s">
        <v>318</v>
      </c>
      <c r="P1569" t="s">
        <v>319</v>
      </c>
      <c r="Q1569" t="s">
        <v>114</v>
      </c>
      <c r="R1569" t="s">
        <v>232</v>
      </c>
      <c r="T1569">
        <v>-1011190.94</v>
      </c>
      <c r="U1569" t="s">
        <v>68</v>
      </c>
      <c r="V1569" t="s">
        <v>4808</v>
      </c>
      <c r="W1569" s="9">
        <v>60604381</v>
      </c>
      <c r="X1569" t="s">
        <v>4809</v>
      </c>
      <c r="Y1569" s="1">
        <v>45890</v>
      </c>
      <c r="Z1569" s="1">
        <v>45980</v>
      </c>
      <c r="AA1569" s="2">
        <v>100784.68</v>
      </c>
      <c r="AB1569" s="2">
        <v>100684</v>
      </c>
      <c r="AC1569" s="2">
        <v>100.68</v>
      </c>
      <c r="AD1569" s="2">
        <v>23644.79</v>
      </c>
      <c r="AE1569" t="s">
        <v>4814</v>
      </c>
      <c r="AF1569" t="s">
        <v>72</v>
      </c>
      <c r="AG1569">
        <v>98</v>
      </c>
      <c r="AH1569" t="s">
        <v>91</v>
      </c>
      <c r="AI1569" t="s">
        <v>74</v>
      </c>
      <c r="AJ1569" t="s">
        <v>75</v>
      </c>
      <c r="AK1569" t="s">
        <v>76</v>
      </c>
      <c r="AL1569" t="s">
        <v>77</v>
      </c>
      <c r="AM1569" t="s">
        <v>78</v>
      </c>
      <c r="AN1569" t="s">
        <v>239</v>
      </c>
      <c r="AO1569" t="s">
        <v>80</v>
      </c>
      <c r="AP1569" t="e">
        <v>#N/A</v>
      </c>
      <c r="AQ1569" t="s">
        <v>81</v>
      </c>
      <c r="AR1569" t="str">
        <f t="shared" si="48"/>
        <v>60604381.STATAM</v>
      </c>
      <c r="AS1569">
        <f t="shared" si="49"/>
        <v>924974.81000000017</v>
      </c>
      <c r="AT1569" t="s">
        <v>82</v>
      </c>
    </row>
    <row r="1570" spans="1:46" x14ac:dyDescent="0.35">
      <c r="A1570" t="s">
        <v>52</v>
      </c>
      <c r="B1570" t="s">
        <v>53</v>
      </c>
      <c r="C1570" t="s">
        <v>54</v>
      </c>
      <c r="D1570" t="s">
        <v>55</v>
      </c>
      <c r="E1570" t="s">
        <v>56</v>
      </c>
      <c r="F1570" t="s">
        <v>4804</v>
      </c>
      <c r="G1570" t="s">
        <v>4805</v>
      </c>
      <c r="H1570" t="s">
        <v>56</v>
      </c>
      <c r="I1570" t="s">
        <v>4806</v>
      </c>
      <c r="J1570" t="s">
        <v>61</v>
      </c>
      <c r="K1570" t="s">
        <v>62</v>
      </c>
      <c r="L1570" t="s">
        <v>4807</v>
      </c>
      <c r="M1570" t="s">
        <v>56</v>
      </c>
      <c r="N1570" t="s">
        <v>295</v>
      </c>
      <c r="O1570" t="s">
        <v>318</v>
      </c>
      <c r="P1570" t="s">
        <v>319</v>
      </c>
      <c r="Q1570" t="s">
        <v>114</v>
      </c>
      <c r="R1570" t="s">
        <v>232</v>
      </c>
      <c r="T1570">
        <v>-1011190.94</v>
      </c>
      <c r="U1570" t="s">
        <v>68</v>
      </c>
      <c r="V1570" t="s">
        <v>4808</v>
      </c>
      <c r="W1570" s="9">
        <v>60604381</v>
      </c>
      <c r="X1570" t="s">
        <v>4809</v>
      </c>
      <c r="Y1570" s="1">
        <v>45890</v>
      </c>
      <c r="Z1570" s="1">
        <v>45980</v>
      </c>
      <c r="AA1570" s="2">
        <v>94140.05</v>
      </c>
      <c r="AB1570" s="2">
        <v>94046</v>
      </c>
      <c r="AC1570" s="2">
        <v>94.05</v>
      </c>
      <c r="AD1570" s="2">
        <v>22085.91</v>
      </c>
      <c r="AE1570" t="s">
        <v>4815</v>
      </c>
      <c r="AF1570" t="s">
        <v>72</v>
      </c>
      <c r="AG1570">
        <v>98</v>
      </c>
      <c r="AH1570" t="s">
        <v>91</v>
      </c>
      <c r="AI1570" t="s">
        <v>74</v>
      </c>
      <c r="AJ1570" t="s">
        <v>75</v>
      </c>
      <c r="AK1570" t="s">
        <v>76</v>
      </c>
      <c r="AL1570" t="s">
        <v>77</v>
      </c>
      <c r="AM1570" t="s">
        <v>78</v>
      </c>
      <c r="AN1570" t="s">
        <v>239</v>
      </c>
      <c r="AO1570" t="s">
        <v>80</v>
      </c>
      <c r="AP1570" t="e">
        <v>#N/A</v>
      </c>
      <c r="AQ1570" t="s">
        <v>81</v>
      </c>
      <c r="AR1570" t="str">
        <f t="shared" si="48"/>
        <v>60604381.STATAM</v>
      </c>
      <c r="AS1570">
        <f t="shared" si="49"/>
        <v>924974.81000000017</v>
      </c>
      <c r="AT1570" t="s">
        <v>82</v>
      </c>
    </row>
    <row r="1571" spans="1:46" x14ac:dyDescent="0.35">
      <c r="A1571" t="s">
        <v>52</v>
      </c>
      <c r="B1571" t="s">
        <v>53</v>
      </c>
      <c r="C1571" t="s">
        <v>54</v>
      </c>
      <c r="D1571" t="s">
        <v>55</v>
      </c>
      <c r="E1571" t="s">
        <v>56</v>
      </c>
      <c r="F1571" t="s">
        <v>4804</v>
      </c>
      <c r="G1571" t="s">
        <v>4805</v>
      </c>
      <c r="H1571" t="s">
        <v>56</v>
      </c>
      <c r="I1571" t="s">
        <v>4806</v>
      </c>
      <c r="J1571" t="s">
        <v>61</v>
      </c>
      <c r="K1571" t="s">
        <v>62</v>
      </c>
      <c r="L1571" t="s">
        <v>4807</v>
      </c>
      <c r="M1571" t="s">
        <v>56</v>
      </c>
      <c r="N1571" t="s">
        <v>252</v>
      </c>
      <c r="O1571" t="s">
        <v>318</v>
      </c>
      <c r="P1571" t="s">
        <v>319</v>
      </c>
      <c r="Q1571" t="s">
        <v>114</v>
      </c>
      <c r="R1571" t="s">
        <v>232</v>
      </c>
      <c r="T1571">
        <v>-1011190.94</v>
      </c>
      <c r="U1571" t="s">
        <v>68</v>
      </c>
      <c r="V1571" t="s">
        <v>4808</v>
      </c>
      <c r="W1571" s="9">
        <v>60604381</v>
      </c>
      <c r="X1571" t="s">
        <v>4809</v>
      </c>
      <c r="Y1571" s="1">
        <v>45890</v>
      </c>
      <c r="Z1571" s="1">
        <v>45980</v>
      </c>
      <c r="AA1571" s="2">
        <v>90496.41</v>
      </c>
      <c r="AB1571" s="2">
        <v>90406</v>
      </c>
      <c r="AC1571" s="2">
        <v>90.41</v>
      </c>
      <c r="AD1571" s="2">
        <v>21231.09</v>
      </c>
      <c r="AE1571" t="s">
        <v>4816</v>
      </c>
      <c r="AF1571" t="s">
        <v>72</v>
      </c>
      <c r="AG1571">
        <v>98</v>
      </c>
      <c r="AH1571" t="s">
        <v>91</v>
      </c>
      <c r="AI1571" t="s">
        <v>74</v>
      </c>
      <c r="AJ1571" t="s">
        <v>75</v>
      </c>
      <c r="AK1571" t="s">
        <v>76</v>
      </c>
      <c r="AL1571" t="s">
        <v>77</v>
      </c>
      <c r="AM1571" t="s">
        <v>78</v>
      </c>
      <c r="AN1571" t="s">
        <v>239</v>
      </c>
      <c r="AO1571" t="s">
        <v>80</v>
      </c>
      <c r="AP1571" t="e">
        <v>#N/A</v>
      </c>
      <c r="AQ1571" t="s">
        <v>81</v>
      </c>
      <c r="AR1571" t="str">
        <f t="shared" si="48"/>
        <v>60604381.STATAM</v>
      </c>
      <c r="AS1571">
        <f t="shared" si="49"/>
        <v>924974.81000000017</v>
      </c>
      <c r="AT1571" t="s">
        <v>82</v>
      </c>
    </row>
    <row r="1572" spans="1:46" x14ac:dyDescent="0.35">
      <c r="A1572" t="s">
        <v>52</v>
      </c>
      <c r="B1572" t="s">
        <v>53</v>
      </c>
      <c r="C1572" t="s">
        <v>54</v>
      </c>
      <c r="D1572" t="s">
        <v>55</v>
      </c>
      <c r="E1572" t="s">
        <v>56</v>
      </c>
      <c r="F1572" t="s">
        <v>4804</v>
      </c>
      <c r="G1572" t="s">
        <v>4805</v>
      </c>
      <c r="H1572" t="s">
        <v>56</v>
      </c>
      <c r="I1572" t="s">
        <v>4806</v>
      </c>
      <c r="J1572" t="s">
        <v>61</v>
      </c>
      <c r="K1572" t="s">
        <v>62</v>
      </c>
      <c r="L1572" t="s">
        <v>4807</v>
      </c>
      <c r="M1572" t="s">
        <v>56</v>
      </c>
      <c r="N1572" t="s">
        <v>261</v>
      </c>
      <c r="O1572" t="s">
        <v>318</v>
      </c>
      <c r="P1572" t="s">
        <v>319</v>
      </c>
      <c r="Q1572" t="s">
        <v>114</v>
      </c>
      <c r="R1572" t="s">
        <v>232</v>
      </c>
      <c r="T1572">
        <v>-1011190.94</v>
      </c>
      <c r="U1572" t="s">
        <v>68</v>
      </c>
      <c r="V1572" t="s">
        <v>4808</v>
      </c>
      <c r="W1572" s="9">
        <v>60604381</v>
      </c>
      <c r="X1572" t="s">
        <v>4809</v>
      </c>
      <c r="Y1572" s="1">
        <v>45890</v>
      </c>
      <c r="Z1572" s="1">
        <v>45980</v>
      </c>
      <c r="AA1572" s="2">
        <v>195874.68</v>
      </c>
      <c r="AB1572" s="2">
        <v>195679</v>
      </c>
      <c r="AC1572" s="2">
        <v>195.68</v>
      </c>
      <c r="AD1572" s="2">
        <v>45953.56</v>
      </c>
      <c r="AE1572" t="s">
        <v>4817</v>
      </c>
      <c r="AF1572" t="s">
        <v>72</v>
      </c>
      <c r="AG1572">
        <v>98</v>
      </c>
      <c r="AH1572" t="s">
        <v>91</v>
      </c>
      <c r="AI1572" t="s">
        <v>74</v>
      </c>
      <c r="AJ1572" t="s">
        <v>75</v>
      </c>
      <c r="AK1572" t="s">
        <v>76</v>
      </c>
      <c r="AL1572" t="s">
        <v>77</v>
      </c>
      <c r="AM1572" t="s">
        <v>78</v>
      </c>
      <c r="AN1572" t="s">
        <v>239</v>
      </c>
      <c r="AO1572" t="s">
        <v>80</v>
      </c>
      <c r="AP1572" t="e">
        <v>#N/A</v>
      </c>
      <c r="AQ1572" t="s">
        <v>81</v>
      </c>
      <c r="AR1572" t="str">
        <f t="shared" si="48"/>
        <v>60604381.STATAM</v>
      </c>
      <c r="AS1572">
        <f t="shared" si="49"/>
        <v>924974.81000000017</v>
      </c>
      <c r="AT1572" t="s">
        <v>82</v>
      </c>
    </row>
    <row r="1573" spans="1:46" x14ac:dyDescent="0.35">
      <c r="A1573" t="s">
        <v>52</v>
      </c>
      <c r="B1573" t="s">
        <v>53</v>
      </c>
      <c r="C1573" t="s">
        <v>54</v>
      </c>
      <c r="D1573" t="s">
        <v>55</v>
      </c>
      <c r="E1573" t="s">
        <v>56</v>
      </c>
      <c r="F1573" t="s">
        <v>4804</v>
      </c>
      <c r="G1573" t="s">
        <v>4805</v>
      </c>
      <c r="H1573" t="s">
        <v>56</v>
      </c>
      <c r="I1573" t="s">
        <v>4818</v>
      </c>
      <c r="J1573" t="s">
        <v>61</v>
      </c>
      <c r="K1573" t="s">
        <v>62</v>
      </c>
      <c r="L1573" t="s">
        <v>4807</v>
      </c>
      <c r="M1573" t="s">
        <v>56</v>
      </c>
      <c r="N1573" t="s">
        <v>1384</v>
      </c>
      <c r="O1573" t="s">
        <v>318</v>
      </c>
      <c r="P1573" t="s">
        <v>319</v>
      </c>
      <c r="Q1573" t="s">
        <v>114</v>
      </c>
      <c r="R1573" t="s">
        <v>232</v>
      </c>
      <c r="T1573">
        <v>-1011190.94</v>
      </c>
      <c r="U1573" t="s">
        <v>68</v>
      </c>
      <c r="V1573" t="s">
        <v>4808</v>
      </c>
      <c r="W1573" s="9">
        <v>60604381</v>
      </c>
      <c r="X1573" t="s">
        <v>4819</v>
      </c>
      <c r="Y1573" s="1">
        <v>45890</v>
      </c>
      <c r="Z1573" s="1">
        <v>45980</v>
      </c>
      <c r="AA1573" s="2">
        <v>10210.200000000001</v>
      </c>
      <c r="AB1573" s="2">
        <v>10200</v>
      </c>
      <c r="AC1573" s="2">
        <v>10.199999999999999</v>
      </c>
      <c r="AD1573" s="2">
        <v>10210.200000000001</v>
      </c>
      <c r="AE1573" t="s">
        <v>4820</v>
      </c>
      <c r="AF1573" t="s">
        <v>72</v>
      </c>
      <c r="AG1573">
        <v>98</v>
      </c>
      <c r="AH1573" t="s">
        <v>91</v>
      </c>
      <c r="AI1573" t="s">
        <v>74</v>
      </c>
      <c r="AJ1573" t="s">
        <v>75</v>
      </c>
      <c r="AK1573" t="s">
        <v>76</v>
      </c>
      <c r="AL1573" t="s">
        <v>77</v>
      </c>
      <c r="AM1573" t="s">
        <v>78</v>
      </c>
      <c r="AN1573" t="s">
        <v>239</v>
      </c>
      <c r="AO1573" t="s">
        <v>80</v>
      </c>
      <c r="AP1573" t="e">
        <v>#N/A</v>
      </c>
      <c r="AQ1573" t="s">
        <v>81</v>
      </c>
      <c r="AR1573" t="str">
        <f t="shared" si="48"/>
        <v>60604381.STATAM</v>
      </c>
      <c r="AS1573">
        <f t="shared" si="49"/>
        <v>924974.81000000017</v>
      </c>
      <c r="AT1573" t="s">
        <v>82</v>
      </c>
    </row>
    <row r="1574" spans="1:46" x14ac:dyDescent="0.35">
      <c r="A1574" t="s">
        <v>52</v>
      </c>
      <c r="B1574" t="s">
        <v>53</v>
      </c>
      <c r="C1574" t="s">
        <v>54</v>
      </c>
      <c r="D1574" t="s">
        <v>55</v>
      </c>
      <c r="E1574" t="s">
        <v>56</v>
      </c>
      <c r="F1574" t="s">
        <v>4804</v>
      </c>
      <c r="G1574" t="s">
        <v>4805</v>
      </c>
      <c r="H1574" t="s">
        <v>56</v>
      </c>
      <c r="I1574" t="s">
        <v>4818</v>
      </c>
      <c r="J1574" t="s">
        <v>61</v>
      </c>
      <c r="K1574" t="s">
        <v>62</v>
      </c>
      <c r="L1574" t="s">
        <v>4807</v>
      </c>
      <c r="M1574" t="s">
        <v>56</v>
      </c>
      <c r="N1574" t="s">
        <v>477</v>
      </c>
      <c r="O1574" t="s">
        <v>318</v>
      </c>
      <c r="P1574" t="s">
        <v>319</v>
      </c>
      <c r="Q1574" t="s">
        <v>114</v>
      </c>
      <c r="R1574" t="s">
        <v>232</v>
      </c>
      <c r="T1574">
        <v>-1011190.94</v>
      </c>
      <c r="U1574" t="s">
        <v>68</v>
      </c>
      <c r="V1574" t="s">
        <v>4808</v>
      </c>
      <c r="W1574" s="9">
        <v>60604381</v>
      </c>
      <c r="X1574" t="s">
        <v>4819</v>
      </c>
      <c r="Y1574" s="1">
        <v>45890</v>
      </c>
      <c r="Z1574" s="1">
        <v>45980</v>
      </c>
      <c r="AA1574" s="2">
        <v>86216.13</v>
      </c>
      <c r="AB1574" s="2">
        <v>86130</v>
      </c>
      <c r="AC1574" s="2">
        <v>86.13</v>
      </c>
      <c r="AD1574" s="2">
        <v>86216.13</v>
      </c>
      <c r="AE1574" t="s">
        <v>4821</v>
      </c>
      <c r="AF1574" t="s">
        <v>72</v>
      </c>
      <c r="AG1574">
        <v>98</v>
      </c>
      <c r="AH1574" t="s">
        <v>91</v>
      </c>
      <c r="AI1574" t="s">
        <v>74</v>
      </c>
      <c r="AJ1574" t="s">
        <v>237</v>
      </c>
      <c r="AK1574" t="s">
        <v>383</v>
      </c>
      <c r="AL1574" t="s">
        <v>77</v>
      </c>
      <c r="AM1574" t="s">
        <v>78</v>
      </c>
      <c r="AN1574" t="s">
        <v>239</v>
      </c>
      <c r="AO1574" t="s">
        <v>80</v>
      </c>
      <c r="AP1574" t="e">
        <v>#N/A</v>
      </c>
      <c r="AQ1574" t="s">
        <v>383</v>
      </c>
      <c r="AR1574" t="str">
        <f t="shared" si="48"/>
        <v>60604381.MOBILAM</v>
      </c>
      <c r="AS1574">
        <f t="shared" si="49"/>
        <v>86216.13</v>
      </c>
      <c r="AT1574" t="s">
        <v>82</v>
      </c>
    </row>
    <row r="1575" spans="1:46" x14ac:dyDescent="0.35">
      <c r="A1575" t="s">
        <v>52</v>
      </c>
      <c r="B1575" t="s">
        <v>53</v>
      </c>
      <c r="C1575" t="s">
        <v>54</v>
      </c>
      <c r="D1575" t="s">
        <v>55</v>
      </c>
      <c r="E1575" t="s">
        <v>56</v>
      </c>
      <c r="F1575" t="s">
        <v>4804</v>
      </c>
      <c r="G1575" t="s">
        <v>4822</v>
      </c>
      <c r="H1575" t="s">
        <v>56</v>
      </c>
      <c r="I1575" t="s">
        <v>4823</v>
      </c>
      <c r="J1575" t="s">
        <v>61</v>
      </c>
      <c r="K1575" t="s">
        <v>62</v>
      </c>
      <c r="L1575" t="s">
        <v>4807</v>
      </c>
      <c r="M1575" t="s">
        <v>56</v>
      </c>
      <c r="N1575" t="s">
        <v>252</v>
      </c>
      <c r="O1575" t="s">
        <v>318</v>
      </c>
      <c r="P1575" t="s">
        <v>319</v>
      </c>
      <c r="Q1575" t="s">
        <v>114</v>
      </c>
      <c r="R1575" t="s">
        <v>232</v>
      </c>
      <c r="T1575">
        <v>-1011190.94</v>
      </c>
      <c r="U1575" t="s">
        <v>68</v>
      </c>
      <c r="V1575" t="s">
        <v>4808</v>
      </c>
      <c r="W1575" s="9">
        <v>60604381</v>
      </c>
      <c r="X1575" t="s">
        <v>4824</v>
      </c>
      <c r="Y1575" s="1">
        <v>45890</v>
      </c>
      <c r="Z1575" s="1">
        <v>45980</v>
      </c>
      <c r="AA1575" s="2">
        <v>9647.64</v>
      </c>
      <c r="AB1575" s="2">
        <v>9638</v>
      </c>
      <c r="AC1575" s="2">
        <v>9.64</v>
      </c>
      <c r="AD1575" s="2">
        <v>9647.64</v>
      </c>
      <c r="AE1575" t="s">
        <v>4825</v>
      </c>
      <c r="AF1575" t="s">
        <v>72</v>
      </c>
      <c r="AG1575">
        <v>98</v>
      </c>
      <c r="AH1575" t="s">
        <v>91</v>
      </c>
      <c r="AI1575" t="s">
        <v>74</v>
      </c>
      <c r="AJ1575" t="s">
        <v>75</v>
      </c>
      <c r="AK1575" t="s">
        <v>76</v>
      </c>
      <c r="AL1575" t="s">
        <v>77</v>
      </c>
      <c r="AM1575" t="s">
        <v>78</v>
      </c>
      <c r="AN1575" t="s">
        <v>239</v>
      </c>
      <c r="AO1575" t="s">
        <v>80</v>
      </c>
      <c r="AP1575" t="e">
        <v>#N/A</v>
      </c>
      <c r="AQ1575" t="s">
        <v>81</v>
      </c>
      <c r="AR1575" t="str">
        <f t="shared" si="48"/>
        <v>60604381.STATAM</v>
      </c>
      <c r="AS1575">
        <f t="shared" si="49"/>
        <v>924974.81000000017</v>
      </c>
      <c r="AT1575" t="s">
        <v>82</v>
      </c>
    </row>
    <row r="1576" spans="1:46" x14ac:dyDescent="0.35">
      <c r="A1576" t="s">
        <v>52</v>
      </c>
      <c r="B1576" t="s">
        <v>53</v>
      </c>
      <c r="C1576" t="s">
        <v>54</v>
      </c>
      <c r="D1576" t="s">
        <v>55</v>
      </c>
      <c r="E1576" t="s">
        <v>56</v>
      </c>
      <c r="F1576" t="s">
        <v>4826</v>
      </c>
      <c r="G1576" t="s">
        <v>4827</v>
      </c>
      <c r="H1576" t="s">
        <v>59</v>
      </c>
      <c r="I1576" t="s">
        <v>4828</v>
      </c>
      <c r="J1576" t="s">
        <v>4829</v>
      </c>
      <c r="K1576" t="s">
        <v>62</v>
      </c>
      <c r="L1576" t="s">
        <v>56</v>
      </c>
      <c r="M1576" t="s">
        <v>56</v>
      </c>
      <c r="N1576" t="s">
        <v>63</v>
      </c>
      <c r="O1576" t="s">
        <v>4830</v>
      </c>
      <c r="P1576" t="s">
        <v>4831</v>
      </c>
      <c r="Q1576" t="s">
        <v>4832</v>
      </c>
      <c r="R1576" t="s">
        <v>67</v>
      </c>
      <c r="S1576">
        <v>3000000</v>
      </c>
      <c r="T1576">
        <v>-1646857.01</v>
      </c>
      <c r="U1576" t="s">
        <v>68</v>
      </c>
      <c r="V1576" t="s">
        <v>4833</v>
      </c>
      <c r="W1576" s="9">
        <v>60603774</v>
      </c>
      <c r="X1576" t="s">
        <v>4834</v>
      </c>
      <c r="Y1576" s="1">
        <v>46003</v>
      </c>
      <c r="Z1576" s="1">
        <v>46033</v>
      </c>
      <c r="AA1576" s="2">
        <v>2342839.86</v>
      </c>
      <c r="AB1576" s="2">
        <v>1985457.5</v>
      </c>
      <c r="AC1576" s="2">
        <v>357382.36</v>
      </c>
      <c r="AD1576" s="2">
        <v>117673.61</v>
      </c>
      <c r="AE1576" t="s">
        <v>4835</v>
      </c>
      <c r="AF1576" t="s">
        <v>72</v>
      </c>
      <c r="AG1576">
        <v>45</v>
      </c>
      <c r="AH1576" t="s">
        <v>236</v>
      </c>
      <c r="AI1576" t="s">
        <v>74</v>
      </c>
      <c r="AJ1576" t="s">
        <v>75</v>
      </c>
      <c r="AK1576" t="s">
        <v>76</v>
      </c>
      <c r="AL1576" t="s">
        <v>77</v>
      </c>
      <c r="AM1576" t="s">
        <v>78</v>
      </c>
      <c r="AN1576" t="s">
        <v>79</v>
      </c>
      <c r="AO1576" t="s">
        <v>80</v>
      </c>
      <c r="AP1576" t="e">
        <v>#N/A</v>
      </c>
      <c r="AQ1576" t="s">
        <v>81</v>
      </c>
      <c r="AR1576" t="str">
        <f t="shared" si="48"/>
        <v>60603774.STATAM</v>
      </c>
      <c r="AS1576">
        <f t="shared" si="49"/>
        <v>4614886.09</v>
      </c>
      <c r="AT1576" t="s">
        <v>82</v>
      </c>
    </row>
    <row r="1577" spans="1:46" x14ac:dyDescent="0.35">
      <c r="A1577" t="s">
        <v>52</v>
      </c>
      <c r="B1577" t="s">
        <v>53</v>
      </c>
      <c r="C1577" t="s">
        <v>54</v>
      </c>
      <c r="D1577" t="s">
        <v>55</v>
      </c>
      <c r="E1577" t="s">
        <v>56</v>
      </c>
      <c r="F1577" t="s">
        <v>4826</v>
      </c>
      <c r="G1577" t="s">
        <v>4827</v>
      </c>
      <c r="H1577" t="s">
        <v>59</v>
      </c>
      <c r="I1577" t="s">
        <v>4828</v>
      </c>
      <c r="J1577" t="s">
        <v>4829</v>
      </c>
      <c r="K1577" t="s">
        <v>62</v>
      </c>
      <c r="L1577" t="s">
        <v>56</v>
      </c>
      <c r="M1577" t="s">
        <v>56</v>
      </c>
      <c r="N1577" t="s">
        <v>63</v>
      </c>
      <c r="O1577" t="s">
        <v>4830</v>
      </c>
      <c r="P1577" t="s">
        <v>4831</v>
      </c>
      <c r="Q1577" t="s">
        <v>4832</v>
      </c>
      <c r="R1577" t="s">
        <v>67</v>
      </c>
      <c r="S1577">
        <v>3000000</v>
      </c>
      <c r="T1577">
        <v>-1646857.01</v>
      </c>
      <c r="U1577" t="s">
        <v>68</v>
      </c>
      <c r="V1577" t="s">
        <v>4833</v>
      </c>
      <c r="W1577" s="9">
        <v>60603774</v>
      </c>
      <c r="X1577" t="s">
        <v>4836</v>
      </c>
      <c r="Y1577" s="1">
        <v>46046</v>
      </c>
      <c r="Z1577" s="1">
        <v>46076</v>
      </c>
      <c r="AA1577" s="2">
        <v>2280885.14</v>
      </c>
      <c r="AB1577" s="2">
        <v>1932953.5</v>
      </c>
      <c r="AC1577" s="2">
        <v>347931.64</v>
      </c>
      <c r="AD1577" s="2">
        <v>2280885.14</v>
      </c>
      <c r="AE1577" t="s">
        <v>4837</v>
      </c>
      <c r="AF1577" t="s">
        <v>72</v>
      </c>
      <c r="AG1577">
        <v>2</v>
      </c>
      <c r="AH1577" t="s">
        <v>73</v>
      </c>
      <c r="AI1577" t="s">
        <v>74</v>
      </c>
      <c r="AJ1577" t="s">
        <v>75</v>
      </c>
      <c r="AK1577" t="s">
        <v>76</v>
      </c>
      <c r="AL1577" t="s">
        <v>77</v>
      </c>
      <c r="AM1577" t="s">
        <v>78</v>
      </c>
      <c r="AN1577" t="s">
        <v>79</v>
      </c>
      <c r="AO1577" t="s">
        <v>80</v>
      </c>
      <c r="AP1577" t="e">
        <v>#N/A</v>
      </c>
      <c r="AQ1577" t="s">
        <v>81</v>
      </c>
      <c r="AR1577" t="str">
        <f t="shared" si="48"/>
        <v>60603774.STATAM</v>
      </c>
      <c r="AS1577">
        <f t="shared" si="49"/>
        <v>4614886.09</v>
      </c>
      <c r="AT1577" t="s">
        <v>82</v>
      </c>
    </row>
    <row r="1578" spans="1:46" x14ac:dyDescent="0.35">
      <c r="A1578" t="s">
        <v>52</v>
      </c>
      <c r="B1578" t="s">
        <v>53</v>
      </c>
      <c r="C1578" t="s">
        <v>54</v>
      </c>
      <c r="D1578" t="s">
        <v>55</v>
      </c>
      <c r="E1578" t="s">
        <v>56</v>
      </c>
      <c r="F1578" t="s">
        <v>4826</v>
      </c>
      <c r="G1578" t="s">
        <v>4827</v>
      </c>
      <c r="H1578" t="s">
        <v>59</v>
      </c>
      <c r="I1578" t="s">
        <v>4828</v>
      </c>
      <c r="J1578" t="s">
        <v>4829</v>
      </c>
      <c r="K1578" t="s">
        <v>62</v>
      </c>
      <c r="L1578" t="s">
        <v>56</v>
      </c>
      <c r="M1578" t="s">
        <v>56</v>
      </c>
      <c r="N1578" t="s">
        <v>63</v>
      </c>
      <c r="O1578" t="s">
        <v>4830</v>
      </c>
      <c r="P1578" t="s">
        <v>4831</v>
      </c>
      <c r="Q1578" t="s">
        <v>4832</v>
      </c>
      <c r="R1578" t="s">
        <v>67</v>
      </c>
      <c r="S1578">
        <v>3000000</v>
      </c>
      <c r="T1578">
        <v>-1646857.01</v>
      </c>
      <c r="U1578" t="s">
        <v>68</v>
      </c>
      <c r="V1578" t="s">
        <v>4833</v>
      </c>
      <c r="W1578" s="9">
        <v>60603774</v>
      </c>
      <c r="X1578" t="s">
        <v>4838</v>
      </c>
      <c r="Y1578" s="1">
        <v>46070</v>
      </c>
      <c r="Z1578" s="1">
        <v>46100</v>
      </c>
      <c r="AA1578" s="2">
        <v>2216327.34</v>
      </c>
      <c r="AB1578" s="2">
        <v>1878243.5</v>
      </c>
      <c r="AC1578" s="2">
        <v>338083.84000000003</v>
      </c>
      <c r="AD1578" s="2">
        <v>2216327.34</v>
      </c>
      <c r="AE1578" t="s">
        <v>4839</v>
      </c>
      <c r="AF1578" t="s">
        <v>72</v>
      </c>
      <c r="AG1578">
        <v>-22</v>
      </c>
      <c r="AH1578" t="s">
        <v>117</v>
      </c>
      <c r="AI1578" t="s">
        <v>74</v>
      </c>
      <c r="AJ1578" t="s">
        <v>75</v>
      </c>
      <c r="AK1578" t="s">
        <v>76</v>
      </c>
      <c r="AL1578" t="s">
        <v>118</v>
      </c>
      <c r="AM1578" t="s">
        <v>78</v>
      </c>
      <c r="AN1578" t="s">
        <v>79</v>
      </c>
      <c r="AO1578" t="s">
        <v>119</v>
      </c>
      <c r="AP1578" t="e">
        <v>#N/A</v>
      </c>
      <c r="AQ1578" t="s">
        <v>81</v>
      </c>
      <c r="AR1578" t="str">
        <f t="shared" si="48"/>
        <v>60603774.STATAM</v>
      </c>
      <c r="AS1578">
        <f t="shared" si="49"/>
        <v>4614886.09</v>
      </c>
      <c r="AT1578" t="s">
        <v>82</v>
      </c>
    </row>
    <row r="1579" spans="1:46" x14ac:dyDescent="0.35">
      <c r="A1579" t="s">
        <v>52</v>
      </c>
      <c r="B1579" t="s">
        <v>53</v>
      </c>
      <c r="C1579" t="s">
        <v>54</v>
      </c>
      <c r="D1579" t="s">
        <v>55</v>
      </c>
      <c r="E1579" t="s">
        <v>56</v>
      </c>
      <c r="F1579" t="s">
        <v>4840</v>
      </c>
      <c r="G1579" t="s">
        <v>4841</v>
      </c>
      <c r="H1579" t="s">
        <v>56</v>
      </c>
      <c r="I1579" t="s">
        <v>4842</v>
      </c>
      <c r="J1579" t="s">
        <v>4843</v>
      </c>
      <c r="K1579" t="s">
        <v>62</v>
      </c>
      <c r="L1579" t="s">
        <v>56</v>
      </c>
      <c r="M1579" t="s">
        <v>56</v>
      </c>
      <c r="N1579" t="s">
        <v>1183</v>
      </c>
      <c r="O1579" t="s">
        <v>391</v>
      </c>
      <c r="P1579" t="s">
        <v>392</v>
      </c>
      <c r="Q1579" t="s">
        <v>114</v>
      </c>
      <c r="R1579" t="s">
        <v>67</v>
      </c>
      <c r="S1579">
        <v>500000</v>
      </c>
      <c r="T1579">
        <v>161665.01</v>
      </c>
      <c r="U1579" t="s">
        <v>68</v>
      </c>
      <c r="V1579" t="s">
        <v>4844</v>
      </c>
      <c r="W1579" s="9">
        <v>60602280</v>
      </c>
      <c r="X1579" t="s">
        <v>4845</v>
      </c>
      <c r="Y1579" s="1">
        <v>46025</v>
      </c>
      <c r="Z1579" s="1">
        <v>46055</v>
      </c>
      <c r="AA1579" s="2">
        <v>338334.99</v>
      </c>
      <c r="AB1579" s="2">
        <v>286724.57</v>
      </c>
      <c r="AC1579" s="2">
        <v>51610.42</v>
      </c>
      <c r="AD1579" s="2">
        <v>338334.99</v>
      </c>
      <c r="AE1579" t="s">
        <v>4846</v>
      </c>
      <c r="AF1579" t="s">
        <v>72</v>
      </c>
      <c r="AG1579">
        <v>23</v>
      </c>
      <c r="AH1579" t="s">
        <v>73</v>
      </c>
      <c r="AI1579" t="s">
        <v>74</v>
      </c>
      <c r="AJ1579" t="s">
        <v>75</v>
      </c>
      <c r="AK1579" t="s">
        <v>76</v>
      </c>
      <c r="AL1579" t="s">
        <v>77</v>
      </c>
      <c r="AM1579" t="s">
        <v>78</v>
      </c>
      <c r="AN1579" t="s">
        <v>104</v>
      </c>
      <c r="AO1579" t="s">
        <v>80</v>
      </c>
      <c r="AP1579" t="e">
        <v>#N/A</v>
      </c>
      <c r="AQ1579" t="s">
        <v>81</v>
      </c>
      <c r="AR1579" t="str">
        <f t="shared" si="48"/>
        <v>60602280.STATAM</v>
      </c>
      <c r="AS1579">
        <f t="shared" si="49"/>
        <v>338334.99</v>
      </c>
      <c r="AT1579" t="s">
        <v>82</v>
      </c>
    </row>
    <row r="1580" spans="1:46" x14ac:dyDescent="0.35">
      <c r="A1580" t="s">
        <v>52</v>
      </c>
      <c r="B1580" t="s">
        <v>53</v>
      </c>
      <c r="C1580" t="s">
        <v>54</v>
      </c>
      <c r="D1580" t="s">
        <v>55</v>
      </c>
      <c r="E1580" t="s">
        <v>56</v>
      </c>
      <c r="F1580" t="s">
        <v>4847</v>
      </c>
      <c r="G1580" t="s">
        <v>56</v>
      </c>
      <c r="H1580" t="s">
        <v>56</v>
      </c>
      <c r="I1580" t="s">
        <v>4848</v>
      </c>
      <c r="J1580" t="s">
        <v>61</v>
      </c>
      <c r="K1580" t="s">
        <v>640</v>
      </c>
      <c r="L1580" t="s">
        <v>56</v>
      </c>
      <c r="M1580" t="s">
        <v>56</v>
      </c>
      <c r="N1580" t="s">
        <v>56</v>
      </c>
      <c r="O1580" t="s">
        <v>85</v>
      </c>
      <c r="P1580" t="s">
        <v>86</v>
      </c>
      <c r="Q1580" t="s">
        <v>87</v>
      </c>
      <c r="R1580" t="s">
        <v>88</v>
      </c>
      <c r="T1580">
        <v>26357.95</v>
      </c>
      <c r="U1580" t="s">
        <v>68</v>
      </c>
      <c r="V1580" t="s">
        <v>4849</v>
      </c>
      <c r="W1580" s="9">
        <v>60602400</v>
      </c>
      <c r="X1580" t="s">
        <v>4850</v>
      </c>
      <c r="Y1580" s="1">
        <v>45798</v>
      </c>
      <c r="Z1580" s="1">
        <v>45798</v>
      </c>
      <c r="AA1580" s="2">
        <v>-23892</v>
      </c>
      <c r="AB1580" s="2">
        <v>-23892</v>
      </c>
      <c r="AC1580" s="2">
        <v>0</v>
      </c>
      <c r="AD1580" s="2">
        <v>-19967.509999999998</v>
      </c>
      <c r="AE1580" t="s">
        <v>4850</v>
      </c>
      <c r="AF1580" t="s">
        <v>72</v>
      </c>
      <c r="AG1580">
        <v>280</v>
      </c>
      <c r="AH1580" t="s">
        <v>101</v>
      </c>
      <c r="AI1580" t="s">
        <v>74</v>
      </c>
      <c r="AJ1580" t="s">
        <v>75</v>
      </c>
      <c r="AK1580" t="s">
        <v>102</v>
      </c>
      <c r="AL1580" t="s">
        <v>77</v>
      </c>
      <c r="AM1580" t="s">
        <v>103</v>
      </c>
      <c r="AN1580" t="s">
        <v>2346</v>
      </c>
      <c r="AO1580" t="s">
        <v>80</v>
      </c>
      <c r="AP1580" t="s">
        <v>46</v>
      </c>
      <c r="AQ1580" t="s">
        <v>105</v>
      </c>
      <c r="AR1580" t="str">
        <f t="shared" si="48"/>
        <v>60602400.STATEQ</v>
      </c>
      <c r="AS1580">
        <f t="shared" si="49"/>
        <v>-40213.509999999995</v>
      </c>
      <c r="AT1580" t="s">
        <v>93</v>
      </c>
    </row>
    <row r="1581" spans="1:46" x14ac:dyDescent="0.35">
      <c r="A1581" t="s">
        <v>52</v>
      </c>
      <c r="B1581" t="s">
        <v>53</v>
      </c>
      <c r="C1581" t="s">
        <v>54</v>
      </c>
      <c r="D1581" t="s">
        <v>55</v>
      </c>
      <c r="E1581" t="s">
        <v>56</v>
      </c>
      <c r="F1581" t="s">
        <v>4847</v>
      </c>
      <c r="G1581" t="s">
        <v>56</v>
      </c>
      <c r="H1581" t="s">
        <v>56</v>
      </c>
      <c r="I1581" t="s">
        <v>4851</v>
      </c>
      <c r="J1581" t="s">
        <v>61</v>
      </c>
      <c r="K1581" t="s">
        <v>640</v>
      </c>
      <c r="L1581" t="s">
        <v>56</v>
      </c>
      <c r="M1581" t="s">
        <v>56</v>
      </c>
      <c r="N1581" t="s">
        <v>56</v>
      </c>
      <c r="O1581" t="s">
        <v>85</v>
      </c>
      <c r="P1581" t="s">
        <v>86</v>
      </c>
      <c r="Q1581" t="s">
        <v>87</v>
      </c>
      <c r="R1581" t="s">
        <v>88</v>
      </c>
      <c r="T1581">
        <v>26357.95</v>
      </c>
      <c r="U1581" t="s">
        <v>68</v>
      </c>
      <c r="V1581" t="s">
        <v>4849</v>
      </c>
      <c r="W1581" s="9">
        <v>60602400</v>
      </c>
      <c r="X1581" t="s">
        <v>4852</v>
      </c>
      <c r="Y1581" s="1">
        <v>45799</v>
      </c>
      <c r="Z1581" s="1">
        <v>45799</v>
      </c>
      <c r="AA1581" s="2">
        <v>-13471</v>
      </c>
      <c r="AB1581" s="2">
        <v>-13471</v>
      </c>
      <c r="AC1581" s="2">
        <v>0</v>
      </c>
      <c r="AD1581" s="2">
        <v>-13471</v>
      </c>
      <c r="AE1581" t="s">
        <v>4852</v>
      </c>
      <c r="AF1581" t="s">
        <v>72</v>
      </c>
      <c r="AG1581">
        <v>279</v>
      </c>
      <c r="AH1581" t="s">
        <v>101</v>
      </c>
      <c r="AI1581" t="s">
        <v>74</v>
      </c>
      <c r="AJ1581" t="s">
        <v>75</v>
      </c>
      <c r="AK1581" t="s">
        <v>102</v>
      </c>
      <c r="AL1581" t="s">
        <v>77</v>
      </c>
      <c r="AM1581" t="s">
        <v>103</v>
      </c>
      <c r="AN1581" t="s">
        <v>2346</v>
      </c>
      <c r="AO1581" t="s">
        <v>80</v>
      </c>
      <c r="AP1581" t="s">
        <v>46</v>
      </c>
      <c r="AQ1581" t="s">
        <v>105</v>
      </c>
      <c r="AR1581" t="str">
        <f t="shared" si="48"/>
        <v>60602400.STATEQ</v>
      </c>
      <c r="AS1581">
        <f t="shared" si="49"/>
        <v>-40213.509999999995</v>
      </c>
      <c r="AT1581" t="s">
        <v>93</v>
      </c>
    </row>
    <row r="1582" spans="1:46" x14ac:dyDescent="0.35">
      <c r="A1582" t="s">
        <v>52</v>
      </c>
      <c r="B1582" t="s">
        <v>53</v>
      </c>
      <c r="C1582" t="s">
        <v>54</v>
      </c>
      <c r="D1582" t="s">
        <v>55</v>
      </c>
      <c r="E1582" t="s">
        <v>56</v>
      </c>
      <c r="F1582" t="s">
        <v>4847</v>
      </c>
      <c r="G1582" t="s">
        <v>56</v>
      </c>
      <c r="H1582" t="s">
        <v>56</v>
      </c>
      <c r="I1582" t="s">
        <v>4853</v>
      </c>
      <c r="J1582" t="s">
        <v>61</v>
      </c>
      <c r="K1582" t="s">
        <v>640</v>
      </c>
      <c r="L1582" t="s">
        <v>56</v>
      </c>
      <c r="M1582" t="s">
        <v>56</v>
      </c>
      <c r="N1582" t="s">
        <v>56</v>
      </c>
      <c r="O1582" t="s">
        <v>85</v>
      </c>
      <c r="P1582" t="s">
        <v>86</v>
      </c>
      <c r="Q1582" t="s">
        <v>87</v>
      </c>
      <c r="R1582" t="s">
        <v>88</v>
      </c>
      <c r="T1582">
        <v>26357.95</v>
      </c>
      <c r="U1582" t="s">
        <v>68</v>
      </c>
      <c r="V1582" t="s">
        <v>4849</v>
      </c>
      <c r="W1582" s="9">
        <v>60602400</v>
      </c>
      <c r="X1582" t="s">
        <v>4854</v>
      </c>
      <c r="Y1582" s="1">
        <v>45800</v>
      </c>
      <c r="Z1582" s="1">
        <v>45800</v>
      </c>
      <c r="AA1582" s="2">
        <v>-43594</v>
      </c>
      <c r="AB1582" s="2">
        <v>-43594</v>
      </c>
      <c r="AC1582" s="2">
        <v>0</v>
      </c>
      <c r="AD1582" s="2">
        <v>-6775</v>
      </c>
      <c r="AE1582" t="s">
        <v>4854</v>
      </c>
      <c r="AF1582" t="s">
        <v>72</v>
      </c>
      <c r="AG1582">
        <v>278</v>
      </c>
      <c r="AH1582" t="s">
        <v>101</v>
      </c>
      <c r="AI1582" t="s">
        <v>74</v>
      </c>
      <c r="AJ1582" t="s">
        <v>75</v>
      </c>
      <c r="AK1582" t="s">
        <v>102</v>
      </c>
      <c r="AL1582" t="s">
        <v>77</v>
      </c>
      <c r="AM1582" t="s">
        <v>103</v>
      </c>
      <c r="AN1582" t="s">
        <v>2346</v>
      </c>
      <c r="AO1582" t="s">
        <v>80</v>
      </c>
      <c r="AP1582" t="s">
        <v>46</v>
      </c>
      <c r="AQ1582" t="s">
        <v>105</v>
      </c>
      <c r="AR1582" t="str">
        <f t="shared" si="48"/>
        <v>60602400.STATEQ</v>
      </c>
      <c r="AS1582">
        <f t="shared" si="49"/>
        <v>-40213.509999999995</v>
      </c>
      <c r="AT1582" t="s">
        <v>93</v>
      </c>
    </row>
    <row r="1583" spans="1:46" x14ac:dyDescent="0.35">
      <c r="A1583" t="s">
        <v>52</v>
      </c>
      <c r="B1583" t="s">
        <v>53</v>
      </c>
      <c r="C1583" t="s">
        <v>54</v>
      </c>
      <c r="D1583" t="s">
        <v>55</v>
      </c>
      <c r="E1583" t="s">
        <v>56</v>
      </c>
      <c r="F1583" t="s">
        <v>4855</v>
      </c>
      <c r="G1583" t="s">
        <v>56</v>
      </c>
      <c r="H1583" t="s">
        <v>56</v>
      </c>
      <c r="I1583" t="s">
        <v>4856</v>
      </c>
      <c r="J1583" t="s">
        <v>61</v>
      </c>
      <c r="K1583" t="s">
        <v>640</v>
      </c>
      <c r="L1583" t="s">
        <v>56</v>
      </c>
      <c r="M1583" t="s">
        <v>56</v>
      </c>
      <c r="N1583" t="s">
        <v>56</v>
      </c>
      <c r="O1583" t="s">
        <v>2621</v>
      </c>
      <c r="P1583" t="s">
        <v>2622</v>
      </c>
      <c r="Q1583" t="s">
        <v>87</v>
      </c>
      <c r="R1583" t="s">
        <v>88</v>
      </c>
      <c r="T1583">
        <v>3950960.08</v>
      </c>
      <c r="U1583" t="s">
        <v>68</v>
      </c>
      <c r="V1583" t="s">
        <v>4849</v>
      </c>
      <c r="W1583" s="9">
        <v>60602713</v>
      </c>
      <c r="X1583" t="s">
        <v>4857</v>
      </c>
      <c r="Y1583" s="1">
        <v>46042</v>
      </c>
      <c r="Z1583" s="1">
        <v>46042</v>
      </c>
      <c r="AA1583" s="2">
        <v>-30000000</v>
      </c>
      <c r="AB1583" s="2">
        <v>-30000000</v>
      </c>
      <c r="AC1583" s="2">
        <v>0</v>
      </c>
      <c r="AD1583" s="2">
        <v>-3994741.62</v>
      </c>
      <c r="AE1583" t="s">
        <v>4857</v>
      </c>
      <c r="AF1583" t="s">
        <v>72</v>
      </c>
      <c r="AG1583">
        <v>36</v>
      </c>
      <c r="AH1583" t="s">
        <v>236</v>
      </c>
      <c r="AI1583" t="s">
        <v>74</v>
      </c>
      <c r="AJ1583" t="s">
        <v>75</v>
      </c>
      <c r="AK1583" t="s">
        <v>102</v>
      </c>
      <c r="AL1583" t="s">
        <v>77</v>
      </c>
      <c r="AM1583" t="s">
        <v>103</v>
      </c>
      <c r="AN1583" t="s">
        <v>2346</v>
      </c>
      <c r="AO1583" t="s">
        <v>80</v>
      </c>
      <c r="AP1583" t="e">
        <v>#N/A</v>
      </c>
      <c r="AQ1583" t="s">
        <v>105</v>
      </c>
      <c r="AR1583" t="str">
        <f t="shared" si="48"/>
        <v>60602713.STATEQ</v>
      </c>
      <c r="AS1583">
        <f t="shared" si="49"/>
        <v>-3994741.62</v>
      </c>
      <c r="AT1583" t="s">
        <v>93</v>
      </c>
    </row>
    <row r="1584" spans="1:46" x14ac:dyDescent="0.35">
      <c r="A1584" t="s">
        <v>52</v>
      </c>
      <c r="B1584" t="s">
        <v>53</v>
      </c>
      <c r="C1584" t="s">
        <v>54</v>
      </c>
      <c r="D1584" t="s">
        <v>55</v>
      </c>
      <c r="E1584" t="s">
        <v>56</v>
      </c>
      <c r="F1584" t="s">
        <v>4858</v>
      </c>
      <c r="G1584" t="s">
        <v>4859</v>
      </c>
      <c r="H1584" t="s">
        <v>59</v>
      </c>
      <c r="I1584" t="s">
        <v>4860</v>
      </c>
      <c r="J1584" t="s">
        <v>61</v>
      </c>
      <c r="K1584" t="s">
        <v>62</v>
      </c>
      <c r="L1584" t="s">
        <v>56</v>
      </c>
      <c r="M1584" t="s">
        <v>56</v>
      </c>
      <c r="N1584" t="s">
        <v>63</v>
      </c>
      <c r="O1584" t="s">
        <v>4830</v>
      </c>
      <c r="P1584" t="s">
        <v>4831</v>
      </c>
      <c r="Q1584" t="s">
        <v>4861</v>
      </c>
      <c r="R1584" t="s">
        <v>67</v>
      </c>
      <c r="S1584">
        <v>5000000</v>
      </c>
      <c r="T1584">
        <v>651752.11</v>
      </c>
      <c r="U1584" t="s">
        <v>68</v>
      </c>
      <c r="V1584" t="s">
        <v>4862</v>
      </c>
      <c r="W1584" s="9">
        <v>60604089</v>
      </c>
      <c r="X1584" t="s">
        <v>4863</v>
      </c>
      <c r="Y1584" s="1">
        <v>45722</v>
      </c>
      <c r="Z1584" s="1">
        <v>45752</v>
      </c>
      <c r="AA1584" s="2">
        <v>2597162.2999999998</v>
      </c>
      <c r="AB1584" s="2">
        <v>2200985</v>
      </c>
      <c r="AC1584" s="2">
        <v>396177.3</v>
      </c>
      <c r="AD1584" s="2">
        <v>23002.77</v>
      </c>
      <c r="AE1584" t="s">
        <v>4864</v>
      </c>
      <c r="AF1584" t="s">
        <v>72</v>
      </c>
      <c r="AG1584">
        <v>326</v>
      </c>
      <c r="AH1584" t="s">
        <v>101</v>
      </c>
      <c r="AI1584" t="s">
        <v>74</v>
      </c>
      <c r="AJ1584" t="s">
        <v>75</v>
      </c>
      <c r="AK1584" t="s">
        <v>76</v>
      </c>
      <c r="AL1584" t="s">
        <v>77</v>
      </c>
      <c r="AM1584" t="s">
        <v>78</v>
      </c>
      <c r="AN1584" t="s">
        <v>79</v>
      </c>
      <c r="AO1584" t="s">
        <v>80</v>
      </c>
      <c r="AP1584" t="e">
        <v>#N/A</v>
      </c>
      <c r="AQ1584" t="s">
        <v>81</v>
      </c>
      <c r="AR1584" t="str">
        <f t="shared" si="48"/>
        <v>60604089.STATAM</v>
      </c>
      <c r="AS1584">
        <f t="shared" si="49"/>
        <v>4348247.8900000006</v>
      </c>
      <c r="AT1584" t="s">
        <v>82</v>
      </c>
    </row>
    <row r="1585" spans="1:46" x14ac:dyDescent="0.35">
      <c r="A1585" t="s">
        <v>52</v>
      </c>
      <c r="B1585" t="s">
        <v>53</v>
      </c>
      <c r="C1585" t="s">
        <v>54</v>
      </c>
      <c r="D1585" t="s">
        <v>55</v>
      </c>
      <c r="E1585" t="s">
        <v>56</v>
      </c>
      <c r="F1585" t="s">
        <v>4858</v>
      </c>
      <c r="G1585" t="s">
        <v>4859</v>
      </c>
      <c r="H1585" t="s">
        <v>59</v>
      </c>
      <c r="I1585" t="s">
        <v>4860</v>
      </c>
      <c r="J1585" t="s">
        <v>61</v>
      </c>
      <c r="K1585" t="s">
        <v>62</v>
      </c>
      <c r="L1585" t="s">
        <v>56</v>
      </c>
      <c r="M1585" t="s">
        <v>56</v>
      </c>
      <c r="N1585" t="s">
        <v>63</v>
      </c>
      <c r="O1585" t="s">
        <v>4830</v>
      </c>
      <c r="P1585" t="s">
        <v>4831</v>
      </c>
      <c r="Q1585" t="s">
        <v>4861</v>
      </c>
      <c r="R1585" t="s">
        <v>67</v>
      </c>
      <c r="S1585">
        <v>5000000</v>
      </c>
      <c r="T1585">
        <v>651752.11</v>
      </c>
      <c r="U1585" t="s">
        <v>68</v>
      </c>
      <c r="V1585" t="s">
        <v>4862</v>
      </c>
      <c r="W1585" s="9">
        <v>60604089</v>
      </c>
      <c r="X1585" t="s">
        <v>4865</v>
      </c>
      <c r="Y1585" s="1">
        <v>46007</v>
      </c>
      <c r="Z1585" s="1">
        <v>46037</v>
      </c>
      <c r="AA1585" s="2">
        <v>705235.43</v>
      </c>
      <c r="AB1585" s="2">
        <v>597657.15</v>
      </c>
      <c r="AC1585" s="2">
        <v>107578.28</v>
      </c>
      <c r="AD1585" s="2">
        <v>705235.43</v>
      </c>
      <c r="AE1585" t="s">
        <v>4866</v>
      </c>
      <c r="AF1585" t="s">
        <v>72</v>
      </c>
      <c r="AG1585">
        <v>41</v>
      </c>
      <c r="AH1585" t="s">
        <v>236</v>
      </c>
      <c r="AI1585" t="s">
        <v>74</v>
      </c>
      <c r="AJ1585" t="s">
        <v>75</v>
      </c>
      <c r="AK1585" t="s">
        <v>76</v>
      </c>
      <c r="AL1585" t="s">
        <v>77</v>
      </c>
      <c r="AM1585" t="s">
        <v>78</v>
      </c>
      <c r="AN1585" t="s">
        <v>79</v>
      </c>
      <c r="AO1585" t="s">
        <v>80</v>
      </c>
      <c r="AP1585" t="e">
        <v>#N/A</v>
      </c>
      <c r="AQ1585" t="s">
        <v>81</v>
      </c>
      <c r="AR1585" t="str">
        <f t="shared" si="48"/>
        <v>60604089.STATAM</v>
      </c>
      <c r="AS1585">
        <f t="shared" si="49"/>
        <v>4348247.8900000006</v>
      </c>
      <c r="AT1585" t="s">
        <v>82</v>
      </c>
    </row>
    <row r="1586" spans="1:46" x14ac:dyDescent="0.35">
      <c r="A1586" t="s">
        <v>52</v>
      </c>
      <c r="B1586" t="s">
        <v>53</v>
      </c>
      <c r="C1586" t="s">
        <v>54</v>
      </c>
      <c r="D1586" t="s">
        <v>55</v>
      </c>
      <c r="E1586" t="s">
        <v>56</v>
      </c>
      <c r="F1586" t="s">
        <v>4858</v>
      </c>
      <c r="G1586" t="s">
        <v>4859</v>
      </c>
      <c r="H1586" t="s">
        <v>59</v>
      </c>
      <c r="I1586" t="s">
        <v>4860</v>
      </c>
      <c r="J1586" t="s">
        <v>61</v>
      </c>
      <c r="K1586" t="s">
        <v>62</v>
      </c>
      <c r="L1586" t="s">
        <v>56</v>
      </c>
      <c r="M1586" t="s">
        <v>56</v>
      </c>
      <c r="N1586" t="s">
        <v>63</v>
      </c>
      <c r="O1586" t="s">
        <v>4830</v>
      </c>
      <c r="P1586" t="s">
        <v>4831</v>
      </c>
      <c r="Q1586" t="s">
        <v>4861</v>
      </c>
      <c r="R1586" t="s">
        <v>67</v>
      </c>
      <c r="S1586">
        <v>5000000</v>
      </c>
      <c r="T1586">
        <v>651752.11</v>
      </c>
      <c r="U1586" t="s">
        <v>68</v>
      </c>
      <c r="V1586" t="s">
        <v>4862</v>
      </c>
      <c r="W1586" s="9">
        <v>60604089</v>
      </c>
      <c r="X1586" t="s">
        <v>4867</v>
      </c>
      <c r="Y1586" s="1">
        <v>46048</v>
      </c>
      <c r="Z1586" s="1">
        <v>46078</v>
      </c>
      <c r="AA1586" s="2">
        <v>1603052.17</v>
      </c>
      <c r="AB1586" s="2">
        <v>1358518.79</v>
      </c>
      <c r="AC1586" s="2">
        <v>244533.38</v>
      </c>
      <c r="AD1586" s="2">
        <v>1603052.17</v>
      </c>
      <c r="AE1586" t="s">
        <v>4868</v>
      </c>
      <c r="AF1586" t="s">
        <v>72</v>
      </c>
      <c r="AG1586">
        <v>0</v>
      </c>
      <c r="AH1586" t="s">
        <v>117</v>
      </c>
      <c r="AI1586" t="s">
        <v>74</v>
      </c>
      <c r="AJ1586" t="s">
        <v>75</v>
      </c>
      <c r="AK1586" t="s">
        <v>76</v>
      </c>
      <c r="AL1586" t="s">
        <v>77</v>
      </c>
      <c r="AM1586" t="s">
        <v>78</v>
      </c>
      <c r="AN1586" t="s">
        <v>79</v>
      </c>
      <c r="AO1586" t="s">
        <v>119</v>
      </c>
      <c r="AP1586" t="e">
        <v>#N/A</v>
      </c>
      <c r="AQ1586" t="s">
        <v>81</v>
      </c>
      <c r="AR1586" t="str">
        <f t="shared" si="48"/>
        <v>60604089.STATAM</v>
      </c>
      <c r="AS1586">
        <f t="shared" si="49"/>
        <v>4348247.8900000006</v>
      </c>
      <c r="AT1586" t="s">
        <v>82</v>
      </c>
    </row>
    <row r="1587" spans="1:46" x14ac:dyDescent="0.35">
      <c r="A1587" t="s">
        <v>52</v>
      </c>
      <c r="B1587" t="s">
        <v>53</v>
      </c>
      <c r="C1587" t="s">
        <v>54</v>
      </c>
      <c r="D1587" t="s">
        <v>55</v>
      </c>
      <c r="E1587" t="s">
        <v>56</v>
      </c>
      <c r="F1587" t="s">
        <v>4858</v>
      </c>
      <c r="G1587" t="s">
        <v>4859</v>
      </c>
      <c r="H1587" t="s">
        <v>59</v>
      </c>
      <c r="I1587" t="s">
        <v>4860</v>
      </c>
      <c r="J1587" t="s">
        <v>61</v>
      </c>
      <c r="K1587" t="s">
        <v>62</v>
      </c>
      <c r="L1587" t="s">
        <v>56</v>
      </c>
      <c r="M1587" t="s">
        <v>56</v>
      </c>
      <c r="N1587" t="s">
        <v>63</v>
      </c>
      <c r="O1587" t="s">
        <v>4830</v>
      </c>
      <c r="P1587" t="s">
        <v>4831</v>
      </c>
      <c r="Q1587" t="s">
        <v>4861</v>
      </c>
      <c r="R1587" t="s">
        <v>67</v>
      </c>
      <c r="S1587">
        <v>5000000</v>
      </c>
      <c r="T1587">
        <v>651752.11</v>
      </c>
      <c r="U1587" t="s">
        <v>68</v>
      </c>
      <c r="V1587" t="s">
        <v>4862</v>
      </c>
      <c r="W1587" s="9">
        <v>60604089</v>
      </c>
      <c r="X1587" t="s">
        <v>4869</v>
      </c>
      <c r="Y1587" s="1">
        <v>46073</v>
      </c>
      <c r="Z1587" s="1">
        <v>46103</v>
      </c>
      <c r="AA1587" s="2">
        <v>2016957.52</v>
      </c>
      <c r="AB1587" s="2">
        <v>1709286.04</v>
      </c>
      <c r="AC1587" s="2">
        <v>307671.48</v>
      </c>
      <c r="AD1587" s="2">
        <v>2016957.52</v>
      </c>
      <c r="AE1587" t="s">
        <v>4870</v>
      </c>
      <c r="AF1587" t="s">
        <v>72</v>
      </c>
      <c r="AG1587">
        <v>-25</v>
      </c>
      <c r="AH1587" t="s">
        <v>117</v>
      </c>
      <c r="AI1587" t="s">
        <v>74</v>
      </c>
      <c r="AJ1587" t="s">
        <v>75</v>
      </c>
      <c r="AK1587" t="s">
        <v>76</v>
      </c>
      <c r="AL1587" t="s">
        <v>118</v>
      </c>
      <c r="AM1587" t="s">
        <v>78</v>
      </c>
      <c r="AN1587" t="s">
        <v>79</v>
      </c>
      <c r="AO1587" t="s">
        <v>119</v>
      </c>
      <c r="AP1587" t="e">
        <v>#N/A</v>
      </c>
      <c r="AQ1587" t="s">
        <v>81</v>
      </c>
      <c r="AR1587" t="str">
        <f t="shared" si="48"/>
        <v>60604089.STATAM</v>
      </c>
      <c r="AS1587">
        <f t="shared" si="49"/>
        <v>4348247.8900000006</v>
      </c>
      <c r="AT1587" t="s">
        <v>82</v>
      </c>
    </row>
    <row r="1588" spans="1:46" x14ac:dyDescent="0.35">
      <c r="A1588" t="s">
        <v>52</v>
      </c>
      <c r="B1588" t="s">
        <v>53</v>
      </c>
      <c r="C1588" t="s">
        <v>54</v>
      </c>
      <c r="D1588" t="s">
        <v>55</v>
      </c>
      <c r="E1588" t="s">
        <v>56</v>
      </c>
      <c r="F1588" t="s">
        <v>4871</v>
      </c>
      <c r="G1588" t="s">
        <v>4872</v>
      </c>
      <c r="H1588" t="s">
        <v>111</v>
      </c>
      <c r="I1588" t="s">
        <v>4873</v>
      </c>
      <c r="J1588" t="s">
        <v>56</v>
      </c>
      <c r="K1588" t="s">
        <v>640</v>
      </c>
      <c r="L1588" t="s">
        <v>56</v>
      </c>
      <c r="M1588" t="s">
        <v>56</v>
      </c>
      <c r="N1588" t="s">
        <v>56</v>
      </c>
      <c r="O1588" t="s">
        <v>2341</v>
      </c>
      <c r="P1588" t="s">
        <v>2342</v>
      </c>
      <c r="Q1588" t="s">
        <v>114</v>
      </c>
      <c r="R1588" t="s">
        <v>67</v>
      </c>
      <c r="T1588">
        <v>-245700</v>
      </c>
      <c r="U1588" t="s">
        <v>68</v>
      </c>
      <c r="V1588" t="s">
        <v>4874</v>
      </c>
      <c r="W1588" s="9">
        <v>20000032</v>
      </c>
      <c r="X1588" t="s">
        <v>4875</v>
      </c>
      <c r="Y1588" s="1">
        <v>45848</v>
      </c>
      <c r="Z1588" s="1">
        <v>45878</v>
      </c>
      <c r="AA1588" s="2">
        <v>11765.35</v>
      </c>
      <c r="AB1588" s="2">
        <v>9970.6299999999992</v>
      </c>
      <c r="AC1588" s="2">
        <v>1794.71</v>
      </c>
      <c r="AD1588" s="2">
        <v>721.59</v>
      </c>
      <c r="AE1588" t="s">
        <v>4875</v>
      </c>
      <c r="AF1588" t="s">
        <v>72</v>
      </c>
      <c r="AG1588">
        <v>200</v>
      </c>
      <c r="AH1588" t="s">
        <v>101</v>
      </c>
      <c r="AI1588" t="s">
        <v>74</v>
      </c>
      <c r="AJ1588" t="s">
        <v>75</v>
      </c>
      <c r="AK1588" t="s">
        <v>102</v>
      </c>
      <c r="AL1588" t="s">
        <v>77</v>
      </c>
      <c r="AM1588" t="s">
        <v>103</v>
      </c>
      <c r="AN1588" t="s">
        <v>738</v>
      </c>
      <c r="AO1588" t="s">
        <v>80</v>
      </c>
      <c r="AP1588" t="e">
        <v>#N/A</v>
      </c>
      <c r="AQ1588" t="s">
        <v>105</v>
      </c>
      <c r="AR1588" t="str">
        <f t="shared" si="48"/>
        <v>20000032.STATEQ</v>
      </c>
      <c r="AS1588">
        <f t="shared" si="49"/>
        <v>721.59</v>
      </c>
      <c r="AT1588" t="s">
        <v>82</v>
      </c>
    </row>
    <row r="1589" spans="1:46" x14ac:dyDescent="0.35">
      <c r="A1589" t="s">
        <v>52</v>
      </c>
      <c r="B1589" t="s">
        <v>53</v>
      </c>
      <c r="C1589" t="s">
        <v>54</v>
      </c>
      <c r="D1589" t="s">
        <v>55</v>
      </c>
      <c r="E1589" t="s">
        <v>56</v>
      </c>
      <c r="F1589" t="s">
        <v>4871</v>
      </c>
      <c r="G1589" t="s">
        <v>4872</v>
      </c>
      <c r="H1589" t="s">
        <v>111</v>
      </c>
      <c r="I1589" t="s">
        <v>4873</v>
      </c>
      <c r="J1589" t="s">
        <v>56</v>
      </c>
      <c r="K1589" t="s">
        <v>640</v>
      </c>
      <c r="L1589" t="s">
        <v>56</v>
      </c>
      <c r="M1589" t="s">
        <v>56</v>
      </c>
      <c r="N1589" t="s">
        <v>147</v>
      </c>
      <c r="O1589" t="s">
        <v>2341</v>
      </c>
      <c r="P1589" t="s">
        <v>2342</v>
      </c>
      <c r="Q1589" t="s">
        <v>114</v>
      </c>
      <c r="R1589" t="s">
        <v>67</v>
      </c>
      <c r="T1589">
        <v>-245700</v>
      </c>
      <c r="U1589" t="s">
        <v>68</v>
      </c>
      <c r="V1589" t="s">
        <v>4874</v>
      </c>
      <c r="W1589" s="9">
        <v>20000032</v>
      </c>
      <c r="X1589" t="s">
        <v>4875</v>
      </c>
      <c r="Y1589" s="1">
        <v>45848</v>
      </c>
      <c r="Z1589" s="1">
        <v>45878</v>
      </c>
      <c r="AA1589" s="2">
        <v>3994334.65</v>
      </c>
      <c r="AB1589" s="2">
        <v>3385029.37</v>
      </c>
      <c r="AC1589" s="2">
        <v>609305.29</v>
      </c>
      <c r="AD1589" s="2">
        <v>244978.41</v>
      </c>
      <c r="AE1589" t="s">
        <v>4876</v>
      </c>
      <c r="AF1589" t="s">
        <v>72</v>
      </c>
      <c r="AG1589">
        <v>200</v>
      </c>
      <c r="AH1589" t="s">
        <v>101</v>
      </c>
      <c r="AI1589" t="s">
        <v>74</v>
      </c>
      <c r="AJ1589" t="s">
        <v>127</v>
      </c>
      <c r="AK1589" t="s">
        <v>128</v>
      </c>
      <c r="AL1589" t="s">
        <v>77</v>
      </c>
      <c r="AM1589" t="s">
        <v>103</v>
      </c>
      <c r="AN1589" t="s">
        <v>738</v>
      </c>
      <c r="AO1589" t="s">
        <v>80</v>
      </c>
      <c r="AP1589" t="e">
        <v>#N/A</v>
      </c>
      <c r="AQ1589" t="s">
        <v>129</v>
      </c>
      <c r="AR1589" t="str">
        <f t="shared" si="48"/>
        <v>20000032.SPMINEQ</v>
      </c>
      <c r="AS1589">
        <f t="shared" si="49"/>
        <v>244978.41</v>
      </c>
      <c r="AT1589" t="s">
        <v>82</v>
      </c>
    </row>
    <row r="1590" spans="1:46" x14ac:dyDescent="0.35">
      <c r="A1590" t="s">
        <v>52</v>
      </c>
      <c r="B1590" t="s">
        <v>53</v>
      </c>
      <c r="C1590" t="s">
        <v>54</v>
      </c>
      <c r="D1590" t="s">
        <v>55</v>
      </c>
      <c r="E1590" t="s">
        <v>56</v>
      </c>
      <c r="F1590" t="s">
        <v>4877</v>
      </c>
      <c r="G1590" t="s">
        <v>4878</v>
      </c>
      <c r="H1590" t="s">
        <v>56</v>
      </c>
      <c r="I1590" t="s">
        <v>4879</v>
      </c>
      <c r="J1590" t="s">
        <v>61</v>
      </c>
      <c r="K1590" t="s">
        <v>640</v>
      </c>
      <c r="L1590" t="s">
        <v>56</v>
      </c>
      <c r="M1590" t="s">
        <v>56</v>
      </c>
      <c r="N1590" t="s">
        <v>295</v>
      </c>
      <c r="O1590" t="s">
        <v>974</v>
      </c>
      <c r="P1590" t="s">
        <v>975</v>
      </c>
      <c r="Q1590" t="s">
        <v>87</v>
      </c>
      <c r="R1590" t="s">
        <v>248</v>
      </c>
      <c r="S1590">
        <v>2000000</v>
      </c>
      <c r="T1590">
        <v>-154924829.11000001</v>
      </c>
      <c r="U1590" t="s">
        <v>68</v>
      </c>
      <c r="V1590" t="s">
        <v>4874</v>
      </c>
      <c r="W1590" s="9">
        <v>60601538</v>
      </c>
      <c r="X1590" t="s">
        <v>4880</v>
      </c>
      <c r="Y1590" s="1">
        <v>45999</v>
      </c>
      <c r="Z1590" s="1">
        <v>46059</v>
      </c>
      <c r="AA1590" s="2">
        <v>226.56</v>
      </c>
      <c r="AB1590" s="2">
        <v>192</v>
      </c>
      <c r="AC1590" s="2">
        <v>34.56</v>
      </c>
      <c r="AD1590" s="2">
        <v>1.29</v>
      </c>
      <c r="AE1590" t="s">
        <v>4881</v>
      </c>
      <c r="AF1590" t="s">
        <v>72</v>
      </c>
      <c r="AG1590">
        <v>19</v>
      </c>
      <c r="AH1590" t="s">
        <v>73</v>
      </c>
      <c r="AI1590" t="s">
        <v>74</v>
      </c>
      <c r="AJ1590" t="s">
        <v>75</v>
      </c>
      <c r="AK1590" t="s">
        <v>76</v>
      </c>
      <c r="AL1590" t="s">
        <v>77</v>
      </c>
      <c r="AM1590" t="s">
        <v>78</v>
      </c>
      <c r="AN1590" t="s">
        <v>979</v>
      </c>
      <c r="AO1590" t="s">
        <v>80</v>
      </c>
      <c r="AP1590" t="s">
        <v>46</v>
      </c>
      <c r="AQ1590" t="s">
        <v>81</v>
      </c>
      <c r="AR1590" t="str">
        <f t="shared" si="48"/>
        <v>60601538.STATAM</v>
      </c>
      <c r="AS1590">
        <f t="shared" si="49"/>
        <v>5820725.1799999988</v>
      </c>
      <c r="AT1590" t="s">
        <v>82</v>
      </c>
    </row>
    <row r="1591" spans="1:46" x14ac:dyDescent="0.35">
      <c r="A1591" t="s">
        <v>52</v>
      </c>
      <c r="B1591" t="s">
        <v>53</v>
      </c>
      <c r="C1591" t="s">
        <v>54</v>
      </c>
      <c r="D1591" t="s">
        <v>55</v>
      </c>
      <c r="E1591" t="s">
        <v>56</v>
      </c>
      <c r="F1591" t="s">
        <v>4877</v>
      </c>
      <c r="G1591" t="s">
        <v>4878</v>
      </c>
      <c r="H1591" t="s">
        <v>56</v>
      </c>
      <c r="I1591" t="s">
        <v>4879</v>
      </c>
      <c r="J1591" t="s">
        <v>61</v>
      </c>
      <c r="K1591" t="s">
        <v>640</v>
      </c>
      <c r="L1591" t="s">
        <v>56</v>
      </c>
      <c r="M1591" t="s">
        <v>56</v>
      </c>
      <c r="N1591" t="s">
        <v>252</v>
      </c>
      <c r="O1591" t="s">
        <v>974</v>
      </c>
      <c r="P1591" t="s">
        <v>975</v>
      </c>
      <c r="Q1591" t="s">
        <v>87</v>
      </c>
      <c r="R1591" t="s">
        <v>248</v>
      </c>
      <c r="S1591">
        <v>2000000</v>
      </c>
      <c r="T1591">
        <v>-154924829.11000001</v>
      </c>
      <c r="U1591" t="s">
        <v>68</v>
      </c>
      <c r="V1591" t="s">
        <v>4874</v>
      </c>
      <c r="W1591" s="9">
        <v>60601538</v>
      </c>
      <c r="X1591" t="s">
        <v>4880</v>
      </c>
      <c r="Y1591" s="1">
        <v>45999</v>
      </c>
      <c r="Z1591" s="1">
        <v>46059</v>
      </c>
      <c r="AA1591" s="2">
        <v>67388.62</v>
      </c>
      <c r="AB1591" s="2">
        <v>57109</v>
      </c>
      <c r="AC1591" s="2">
        <v>10279.620000000001</v>
      </c>
      <c r="AD1591" s="2">
        <v>383.6</v>
      </c>
      <c r="AE1591" t="s">
        <v>4882</v>
      </c>
      <c r="AF1591" t="s">
        <v>72</v>
      </c>
      <c r="AG1591">
        <v>19</v>
      </c>
      <c r="AH1591" t="s">
        <v>73</v>
      </c>
      <c r="AI1591" t="s">
        <v>74</v>
      </c>
      <c r="AJ1591" t="s">
        <v>75</v>
      </c>
      <c r="AK1591" t="s">
        <v>76</v>
      </c>
      <c r="AL1591" t="s">
        <v>77</v>
      </c>
      <c r="AM1591" t="s">
        <v>78</v>
      </c>
      <c r="AN1591" t="s">
        <v>979</v>
      </c>
      <c r="AO1591" t="s">
        <v>80</v>
      </c>
      <c r="AP1591" t="s">
        <v>46</v>
      </c>
      <c r="AQ1591" t="s">
        <v>81</v>
      </c>
      <c r="AR1591" t="str">
        <f t="shared" si="48"/>
        <v>60601538.STATAM</v>
      </c>
      <c r="AS1591">
        <f t="shared" si="49"/>
        <v>5820725.1799999988</v>
      </c>
      <c r="AT1591" t="s">
        <v>82</v>
      </c>
    </row>
    <row r="1592" spans="1:46" x14ac:dyDescent="0.35">
      <c r="A1592" t="s">
        <v>52</v>
      </c>
      <c r="B1592" t="s">
        <v>53</v>
      </c>
      <c r="C1592" t="s">
        <v>54</v>
      </c>
      <c r="D1592" t="s">
        <v>55</v>
      </c>
      <c r="E1592" t="s">
        <v>56</v>
      </c>
      <c r="F1592" t="s">
        <v>4877</v>
      </c>
      <c r="G1592" t="s">
        <v>4878</v>
      </c>
      <c r="H1592" t="s">
        <v>56</v>
      </c>
      <c r="I1592" t="s">
        <v>4883</v>
      </c>
      <c r="J1592" t="s">
        <v>61</v>
      </c>
      <c r="K1592" t="s">
        <v>640</v>
      </c>
      <c r="L1592" t="s">
        <v>56</v>
      </c>
      <c r="M1592" t="s">
        <v>56</v>
      </c>
      <c r="N1592" t="s">
        <v>261</v>
      </c>
      <c r="O1592" t="s">
        <v>974</v>
      </c>
      <c r="P1592" t="s">
        <v>975</v>
      </c>
      <c r="Q1592" t="s">
        <v>87</v>
      </c>
      <c r="R1592" t="s">
        <v>248</v>
      </c>
      <c r="S1592">
        <v>2000000</v>
      </c>
      <c r="T1592">
        <v>-154924829.11000001</v>
      </c>
      <c r="U1592" t="s">
        <v>68</v>
      </c>
      <c r="V1592" t="s">
        <v>4874</v>
      </c>
      <c r="W1592" s="9">
        <v>60601538</v>
      </c>
      <c r="X1592" t="s">
        <v>4884</v>
      </c>
      <c r="Y1592" s="1">
        <v>46025</v>
      </c>
      <c r="Z1592" s="1">
        <v>46085</v>
      </c>
      <c r="AA1592" s="2">
        <v>325.68</v>
      </c>
      <c r="AB1592" s="2">
        <v>276</v>
      </c>
      <c r="AC1592" s="2">
        <v>49.68</v>
      </c>
      <c r="AD1592" s="2">
        <v>325.68</v>
      </c>
      <c r="AE1592" t="s">
        <v>4885</v>
      </c>
      <c r="AF1592" t="s">
        <v>72</v>
      </c>
      <c r="AG1592">
        <v>-7</v>
      </c>
      <c r="AH1592" t="s">
        <v>117</v>
      </c>
      <c r="AI1592" t="s">
        <v>74</v>
      </c>
      <c r="AJ1592" t="s">
        <v>75</v>
      </c>
      <c r="AK1592" t="s">
        <v>76</v>
      </c>
      <c r="AL1592" t="s">
        <v>118</v>
      </c>
      <c r="AM1592" t="s">
        <v>78</v>
      </c>
      <c r="AN1592" t="s">
        <v>979</v>
      </c>
      <c r="AO1592" t="s">
        <v>119</v>
      </c>
      <c r="AP1592" t="s">
        <v>46</v>
      </c>
      <c r="AQ1592" t="s">
        <v>81</v>
      </c>
      <c r="AR1592" t="str">
        <f t="shared" si="48"/>
        <v>60601538.STATAM</v>
      </c>
      <c r="AS1592">
        <f t="shared" si="49"/>
        <v>5820725.1799999988</v>
      </c>
      <c r="AT1592" t="s">
        <v>82</v>
      </c>
    </row>
    <row r="1593" spans="1:46" x14ac:dyDescent="0.35">
      <c r="A1593" t="s">
        <v>52</v>
      </c>
      <c r="B1593" t="s">
        <v>53</v>
      </c>
      <c r="C1593" t="s">
        <v>54</v>
      </c>
      <c r="D1593" t="s">
        <v>55</v>
      </c>
      <c r="E1593" t="s">
        <v>56</v>
      </c>
      <c r="F1593" t="s">
        <v>4877</v>
      </c>
      <c r="G1593" t="s">
        <v>4878</v>
      </c>
      <c r="H1593" t="s">
        <v>56</v>
      </c>
      <c r="I1593" t="s">
        <v>4883</v>
      </c>
      <c r="J1593" t="s">
        <v>61</v>
      </c>
      <c r="K1593" t="s">
        <v>640</v>
      </c>
      <c r="L1593" t="s">
        <v>56</v>
      </c>
      <c r="M1593" t="s">
        <v>56</v>
      </c>
      <c r="N1593" t="s">
        <v>252</v>
      </c>
      <c r="O1593" t="s">
        <v>974</v>
      </c>
      <c r="P1593" t="s">
        <v>975</v>
      </c>
      <c r="Q1593" t="s">
        <v>87</v>
      </c>
      <c r="R1593" t="s">
        <v>248</v>
      </c>
      <c r="S1593">
        <v>2000000</v>
      </c>
      <c r="T1593">
        <v>-154924829.11000001</v>
      </c>
      <c r="U1593" t="s">
        <v>68</v>
      </c>
      <c r="V1593" t="s">
        <v>4874</v>
      </c>
      <c r="W1593" s="9">
        <v>60601538</v>
      </c>
      <c r="X1593" t="s">
        <v>4884</v>
      </c>
      <c r="Y1593" s="1">
        <v>46025</v>
      </c>
      <c r="Z1593" s="1">
        <v>46085</v>
      </c>
      <c r="AA1593" s="2">
        <v>804.76</v>
      </c>
      <c r="AB1593" s="2">
        <v>682</v>
      </c>
      <c r="AC1593" s="2">
        <v>122.76</v>
      </c>
      <c r="AD1593" s="2">
        <v>804.76</v>
      </c>
      <c r="AE1593" t="s">
        <v>4886</v>
      </c>
      <c r="AF1593" t="s">
        <v>72</v>
      </c>
      <c r="AG1593">
        <v>-7</v>
      </c>
      <c r="AH1593" t="s">
        <v>117</v>
      </c>
      <c r="AI1593" t="s">
        <v>74</v>
      </c>
      <c r="AJ1593" t="s">
        <v>75</v>
      </c>
      <c r="AK1593" t="s">
        <v>76</v>
      </c>
      <c r="AL1593" t="s">
        <v>118</v>
      </c>
      <c r="AM1593" t="s">
        <v>78</v>
      </c>
      <c r="AN1593" t="s">
        <v>979</v>
      </c>
      <c r="AO1593" t="s">
        <v>119</v>
      </c>
      <c r="AP1593" t="s">
        <v>46</v>
      </c>
      <c r="AQ1593" t="s">
        <v>81</v>
      </c>
      <c r="AR1593" t="str">
        <f t="shared" si="48"/>
        <v>60601538.STATAM</v>
      </c>
      <c r="AS1593">
        <f t="shared" si="49"/>
        <v>5820725.1799999988</v>
      </c>
      <c r="AT1593" t="s">
        <v>82</v>
      </c>
    </row>
    <row r="1594" spans="1:46" x14ac:dyDescent="0.35">
      <c r="A1594" t="s">
        <v>52</v>
      </c>
      <c r="B1594" t="s">
        <v>53</v>
      </c>
      <c r="C1594" t="s">
        <v>54</v>
      </c>
      <c r="D1594" t="s">
        <v>55</v>
      </c>
      <c r="E1594" t="s">
        <v>56</v>
      </c>
      <c r="F1594" t="s">
        <v>4877</v>
      </c>
      <c r="G1594" t="s">
        <v>4878</v>
      </c>
      <c r="H1594" t="s">
        <v>56</v>
      </c>
      <c r="I1594" t="s">
        <v>4887</v>
      </c>
      <c r="J1594" t="s">
        <v>61</v>
      </c>
      <c r="K1594" t="s">
        <v>640</v>
      </c>
      <c r="L1594" t="s">
        <v>56</v>
      </c>
      <c r="M1594" t="s">
        <v>56</v>
      </c>
      <c r="N1594" t="s">
        <v>252</v>
      </c>
      <c r="O1594" t="s">
        <v>974</v>
      </c>
      <c r="P1594" t="s">
        <v>975</v>
      </c>
      <c r="Q1594" t="s">
        <v>87</v>
      </c>
      <c r="R1594" t="s">
        <v>248</v>
      </c>
      <c r="S1594">
        <v>2000000</v>
      </c>
      <c r="T1594">
        <v>-154924829.11000001</v>
      </c>
      <c r="U1594" t="s">
        <v>68</v>
      </c>
      <c r="V1594" t="s">
        <v>4874</v>
      </c>
      <c r="W1594" s="9">
        <v>60601538</v>
      </c>
      <c r="X1594" t="s">
        <v>4888</v>
      </c>
      <c r="Y1594" s="1">
        <v>46031</v>
      </c>
      <c r="Z1594" s="1">
        <v>46091</v>
      </c>
      <c r="AA1594" s="2">
        <v>168.74</v>
      </c>
      <c r="AB1594" s="2">
        <v>143</v>
      </c>
      <c r="AC1594" s="2">
        <v>25.74</v>
      </c>
      <c r="AD1594" s="2">
        <v>168.74</v>
      </c>
      <c r="AE1594" t="s">
        <v>4889</v>
      </c>
      <c r="AF1594" t="s">
        <v>72</v>
      </c>
      <c r="AG1594">
        <v>-13</v>
      </c>
      <c r="AH1594" t="s">
        <v>117</v>
      </c>
      <c r="AI1594" t="s">
        <v>74</v>
      </c>
      <c r="AJ1594" t="s">
        <v>75</v>
      </c>
      <c r="AK1594" t="s">
        <v>76</v>
      </c>
      <c r="AL1594" t="s">
        <v>118</v>
      </c>
      <c r="AM1594" t="s">
        <v>78</v>
      </c>
      <c r="AN1594" t="s">
        <v>979</v>
      </c>
      <c r="AO1594" t="s">
        <v>119</v>
      </c>
      <c r="AP1594" t="s">
        <v>46</v>
      </c>
      <c r="AQ1594" t="s">
        <v>81</v>
      </c>
      <c r="AR1594" t="str">
        <f t="shared" si="48"/>
        <v>60601538.STATAM</v>
      </c>
      <c r="AS1594">
        <f t="shared" si="49"/>
        <v>5820725.1799999988</v>
      </c>
      <c r="AT1594" t="s">
        <v>82</v>
      </c>
    </row>
    <row r="1595" spans="1:46" x14ac:dyDescent="0.35">
      <c r="A1595" t="s">
        <v>52</v>
      </c>
      <c r="B1595" t="s">
        <v>53</v>
      </c>
      <c r="C1595" t="s">
        <v>54</v>
      </c>
      <c r="D1595" t="s">
        <v>55</v>
      </c>
      <c r="E1595" t="s">
        <v>56</v>
      </c>
      <c r="F1595" t="s">
        <v>4877</v>
      </c>
      <c r="G1595" t="s">
        <v>4890</v>
      </c>
      <c r="H1595" t="s">
        <v>56</v>
      </c>
      <c r="I1595" t="s">
        <v>4891</v>
      </c>
      <c r="J1595" t="s">
        <v>476</v>
      </c>
      <c r="K1595" t="s">
        <v>640</v>
      </c>
      <c r="L1595" t="s">
        <v>56</v>
      </c>
      <c r="M1595" t="s">
        <v>56</v>
      </c>
      <c r="N1595" t="s">
        <v>252</v>
      </c>
      <c r="O1595" t="s">
        <v>974</v>
      </c>
      <c r="P1595" t="s">
        <v>975</v>
      </c>
      <c r="Q1595" t="s">
        <v>393</v>
      </c>
      <c r="R1595" t="s">
        <v>248</v>
      </c>
      <c r="S1595">
        <v>2000000</v>
      </c>
      <c r="T1595">
        <v>-154924829.11000001</v>
      </c>
      <c r="U1595" t="s">
        <v>68</v>
      </c>
      <c r="V1595" t="s">
        <v>4874</v>
      </c>
      <c r="W1595" s="9">
        <v>60601538</v>
      </c>
      <c r="X1595" t="s">
        <v>4892</v>
      </c>
      <c r="Y1595" s="1">
        <v>46042</v>
      </c>
      <c r="Z1595" s="1">
        <v>46102</v>
      </c>
      <c r="AA1595" s="2">
        <v>5091.6499999999996</v>
      </c>
      <c r="AB1595" s="2">
        <v>4314.96</v>
      </c>
      <c r="AC1595" s="2">
        <v>776.69</v>
      </c>
      <c r="AD1595" s="2">
        <v>5091.6499999999996</v>
      </c>
      <c r="AE1595" t="s">
        <v>4893</v>
      </c>
      <c r="AF1595" t="s">
        <v>72</v>
      </c>
      <c r="AG1595">
        <v>-24</v>
      </c>
      <c r="AH1595" t="s">
        <v>117</v>
      </c>
      <c r="AI1595" t="s">
        <v>74</v>
      </c>
      <c r="AJ1595" t="s">
        <v>75</v>
      </c>
      <c r="AK1595" t="s">
        <v>76</v>
      </c>
      <c r="AL1595" t="s">
        <v>118</v>
      </c>
      <c r="AM1595" t="s">
        <v>78</v>
      </c>
      <c r="AN1595" t="s">
        <v>979</v>
      </c>
      <c r="AO1595" t="s">
        <v>119</v>
      </c>
      <c r="AP1595" t="s">
        <v>46</v>
      </c>
      <c r="AQ1595" t="s">
        <v>81</v>
      </c>
      <c r="AR1595" t="str">
        <f t="shared" si="48"/>
        <v>60601538.STATAM</v>
      </c>
      <c r="AS1595">
        <f t="shared" si="49"/>
        <v>5820725.1799999988</v>
      </c>
      <c r="AT1595" t="s">
        <v>82</v>
      </c>
    </row>
    <row r="1596" spans="1:46" x14ac:dyDescent="0.35">
      <c r="A1596" t="s">
        <v>52</v>
      </c>
      <c r="B1596" t="s">
        <v>53</v>
      </c>
      <c r="C1596" t="s">
        <v>54</v>
      </c>
      <c r="D1596" t="s">
        <v>55</v>
      </c>
      <c r="E1596" t="s">
        <v>56</v>
      </c>
      <c r="F1596" t="s">
        <v>4877</v>
      </c>
      <c r="G1596" t="s">
        <v>4890</v>
      </c>
      <c r="H1596" t="s">
        <v>56</v>
      </c>
      <c r="I1596" t="s">
        <v>4891</v>
      </c>
      <c r="J1596" t="s">
        <v>476</v>
      </c>
      <c r="K1596" t="s">
        <v>640</v>
      </c>
      <c r="L1596" t="s">
        <v>56</v>
      </c>
      <c r="M1596" t="s">
        <v>56</v>
      </c>
      <c r="N1596" t="s">
        <v>261</v>
      </c>
      <c r="O1596" t="s">
        <v>974</v>
      </c>
      <c r="P1596" t="s">
        <v>975</v>
      </c>
      <c r="Q1596" t="s">
        <v>393</v>
      </c>
      <c r="R1596" t="s">
        <v>248</v>
      </c>
      <c r="S1596">
        <v>2000000</v>
      </c>
      <c r="T1596">
        <v>-154924829.11000001</v>
      </c>
      <c r="U1596" t="s">
        <v>68</v>
      </c>
      <c r="V1596" t="s">
        <v>4874</v>
      </c>
      <c r="W1596" s="9">
        <v>60601538</v>
      </c>
      <c r="X1596" t="s">
        <v>4892</v>
      </c>
      <c r="Y1596" s="1">
        <v>46042</v>
      </c>
      <c r="Z1596" s="1">
        <v>46102</v>
      </c>
      <c r="AA1596" s="2">
        <v>10013.950000000001</v>
      </c>
      <c r="AB1596" s="2">
        <v>8486.4</v>
      </c>
      <c r="AC1596" s="2">
        <v>1527.55</v>
      </c>
      <c r="AD1596" s="2">
        <v>10013.950000000001</v>
      </c>
      <c r="AE1596" t="s">
        <v>4894</v>
      </c>
      <c r="AF1596" t="s">
        <v>72</v>
      </c>
      <c r="AG1596">
        <v>-24</v>
      </c>
      <c r="AH1596" t="s">
        <v>117</v>
      </c>
      <c r="AI1596" t="s">
        <v>74</v>
      </c>
      <c r="AJ1596" t="s">
        <v>75</v>
      </c>
      <c r="AK1596" t="s">
        <v>76</v>
      </c>
      <c r="AL1596" t="s">
        <v>118</v>
      </c>
      <c r="AM1596" t="s">
        <v>78</v>
      </c>
      <c r="AN1596" t="s">
        <v>979</v>
      </c>
      <c r="AO1596" t="s">
        <v>119</v>
      </c>
      <c r="AP1596" t="s">
        <v>46</v>
      </c>
      <c r="AQ1596" t="s">
        <v>81</v>
      </c>
      <c r="AR1596" t="str">
        <f t="shared" si="48"/>
        <v>60601538.STATAM</v>
      </c>
      <c r="AS1596">
        <f t="shared" si="49"/>
        <v>5820725.1799999988</v>
      </c>
      <c r="AT1596" t="s">
        <v>82</v>
      </c>
    </row>
    <row r="1597" spans="1:46" x14ac:dyDescent="0.35">
      <c r="A1597" t="s">
        <v>52</v>
      </c>
      <c r="B1597" t="s">
        <v>53</v>
      </c>
      <c r="C1597" t="s">
        <v>54</v>
      </c>
      <c r="D1597" t="s">
        <v>55</v>
      </c>
      <c r="E1597" t="s">
        <v>56</v>
      </c>
      <c r="F1597" t="s">
        <v>4877</v>
      </c>
      <c r="G1597" t="s">
        <v>4890</v>
      </c>
      <c r="H1597" t="s">
        <v>56</v>
      </c>
      <c r="I1597" t="s">
        <v>4891</v>
      </c>
      <c r="J1597" t="s">
        <v>476</v>
      </c>
      <c r="K1597" t="s">
        <v>640</v>
      </c>
      <c r="L1597" t="s">
        <v>56</v>
      </c>
      <c r="M1597" t="s">
        <v>56</v>
      </c>
      <c r="N1597" t="s">
        <v>244</v>
      </c>
      <c r="O1597" t="s">
        <v>974</v>
      </c>
      <c r="P1597" t="s">
        <v>975</v>
      </c>
      <c r="Q1597" t="s">
        <v>393</v>
      </c>
      <c r="R1597" t="s">
        <v>248</v>
      </c>
      <c r="S1597">
        <v>2000000</v>
      </c>
      <c r="T1597">
        <v>-154924829.11000001</v>
      </c>
      <c r="U1597" t="s">
        <v>68</v>
      </c>
      <c r="V1597" t="s">
        <v>4874</v>
      </c>
      <c r="W1597" s="9">
        <v>60601538</v>
      </c>
      <c r="X1597" t="s">
        <v>4892</v>
      </c>
      <c r="Y1597" s="1">
        <v>46042</v>
      </c>
      <c r="Z1597" s="1">
        <v>46102</v>
      </c>
      <c r="AA1597" s="2">
        <v>1032108.23</v>
      </c>
      <c r="AB1597" s="2">
        <v>874668</v>
      </c>
      <c r="AC1597" s="2">
        <v>157440.23000000001</v>
      </c>
      <c r="AD1597" s="2">
        <v>1032108.23</v>
      </c>
      <c r="AE1597" t="s">
        <v>4895</v>
      </c>
      <c r="AF1597" t="s">
        <v>72</v>
      </c>
      <c r="AG1597">
        <v>-24</v>
      </c>
      <c r="AH1597" t="s">
        <v>117</v>
      </c>
      <c r="AI1597" t="s">
        <v>74</v>
      </c>
      <c r="AJ1597" t="s">
        <v>75</v>
      </c>
      <c r="AK1597" t="s">
        <v>76</v>
      </c>
      <c r="AL1597" t="s">
        <v>118</v>
      </c>
      <c r="AM1597" t="s">
        <v>78</v>
      </c>
      <c r="AN1597" t="s">
        <v>979</v>
      </c>
      <c r="AO1597" t="s">
        <v>119</v>
      </c>
      <c r="AP1597" t="s">
        <v>46</v>
      </c>
      <c r="AQ1597" t="s">
        <v>81</v>
      </c>
      <c r="AR1597" t="str">
        <f t="shared" si="48"/>
        <v>60601538.STATAM</v>
      </c>
      <c r="AS1597">
        <f t="shared" si="49"/>
        <v>5820725.1799999988</v>
      </c>
      <c r="AT1597" t="s">
        <v>82</v>
      </c>
    </row>
    <row r="1598" spans="1:46" x14ac:dyDescent="0.35">
      <c r="A1598" t="s">
        <v>52</v>
      </c>
      <c r="B1598" t="s">
        <v>53</v>
      </c>
      <c r="C1598" t="s">
        <v>54</v>
      </c>
      <c r="D1598" t="s">
        <v>55</v>
      </c>
      <c r="E1598" t="s">
        <v>56</v>
      </c>
      <c r="F1598" t="s">
        <v>4877</v>
      </c>
      <c r="G1598" t="s">
        <v>4890</v>
      </c>
      <c r="H1598" t="s">
        <v>56</v>
      </c>
      <c r="I1598" t="s">
        <v>4891</v>
      </c>
      <c r="J1598" t="s">
        <v>476</v>
      </c>
      <c r="K1598" t="s">
        <v>640</v>
      </c>
      <c r="L1598" t="s">
        <v>56</v>
      </c>
      <c r="M1598" t="s">
        <v>56</v>
      </c>
      <c r="N1598" t="s">
        <v>1384</v>
      </c>
      <c r="O1598" t="s">
        <v>974</v>
      </c>
      <c r="P1598" t="s">
        <v>975</v>
      </c>
      <c r="Q1598" t="s">
        <v>393</v>
      </c>
      <c r="R1598" t="s">
        <v>248</v>
      </c>
      <c r="S1598">
        <v>2000000</v>
      </c>
      <c r="T1598">
        <v>-154924829.11000001</v>
      </c>
      <c r="U1598" t="s">
        <v>68</v>
      </c>
      <c r="V1598" t="s">
        <v>4874</v>
      </c>
      <c r="W1598" s="9">
        <v>60601538</v>
      </c>
      <c r="X1598" t="s">
        <v>4892</v>
      </c>
      <c r="Y1598" s="1">
        <v>46042</v>
      </c>
      <c r="Z1598" s="1">
        <v>46102</v>
      </c>
      <c r="AA1598" s="2">
        <v>57035.35</v>
      </c>
      <c r="AB1598" s="2">
        <v>48335.040000000001</v>
      </c>
      <c r="AC1598" s="2">
        <v>8700.31</v>
      </c>
      <c r="AD1598" s="2">
        <v>57035.35</v>
      </c>
      <c r="AE1598" t="s">
        <v>4896</v>
      </c>
      <c r="AF1598" t="s">
        <v>72</v>
      </c>
      <c r="AG1598">
        <v>-24</v>
      </c>
      <c r="AH1598" t="s">
        <v>117</v>
      </c>
      <c r="AI1598" t="s">
        <v>74</v>
      </c>
      <c r="AJ1598" t="s">
        <v>75</v>
      </c>
      <c r="AK1598" t="s">
        <v>76</v>
      </c>
      <c r="AL1598" t="s">
        <v>118</v>
      </c>
      <c r="AM1598" t="s">
        <v>78</v>
      </c>
      <c r="AN1598" t="s">
        <v>979</v>
      </c>
      <c r="AO1598" t="s">
        <v>119</v>
      </c>
      <c r="AP1598" t="s">
        <v>46</v>
      </c>
      <c r="AQ1598" t="s">
        <v>81</v>
      </c>
      <c r="AR1598" t="str">
        <f t="shared" si="48"/>
        <v>60601538.STATAM</v>
      </c>
      <c r="AS1598">
        <f t="shared" si="49"/>
        <v>5820725.1799999988</v>
      </c>
      <c r="AT1598" t="s">
        <v>82</v>
      </c>
    </row>
    <row r="1599" spans="1:46" x14ac:dyDescent="0.35">
      <c r="A1599" t="s">
        <v>52</v>
      </c>
      <c r="B1599" t="s">
        <v>53</v>
      </c>
      <c r="C1599" t="s">
        <v>54</v>
      </c>
      <c r="D1599" t="s">
        <v>55</v>
      </c>
      <c r="E1599" t="s">
        <v>56</v>
      </c>
      <c r="F1599" t="s">
        <v>4877</v>
      </c>
      <c r="G1599" t="s">
        <v>4890</v>
      </c>
      <c r="H1599" t="s">
        <v>56</v>
      </c>
      <c r="I1599" t="s">
        <v>4891</v>
      </c>
      <c r="J1599" t="s">
        <v>476</v>
      </c>
      <c r="K1599" t="s">
        <v>640</v>
      </c>
      <c r="L1599" t="s">
        <v>56</v>
      </c>
      <c r="M1599" t="s">
        <v>56</v>
      </c>
      <c r="N1599" t="s">
        <v>4897</v>
      </c>
      <c r="O1599" t="s">
        <v>974</v>
      </c>
      <c r="P1599" t="s">
        <v>975</v>
      </c>
      <c r="Q1599" t="s">
        <v>393</v>
      </c>
      <c r="R1599" t="s">
        <v>248</v>
      </c>
      <c r="S1599">
        <v>2000000</v>
      </c>
      <c r="T1599">
        <v>-154924829.11000001</v>
      </c>
      <c r="U1599" t="s">
        <v>68</v>
      </c>
      <c r="V1599" t="s">
        <v>4874</v>
      </c>
      <c r="W1599" s="9">
        <v>60601538</v>
      </c>
      <c r="X1599" t="s">
        <v>4892</v>
      </c>
      <c r="Y1599" s="1">
        <v>46042</v>
      </c>
      <c r="Z1599" s="1">
        <v>46102</v>
      </c>
      <c r="AA1599" s="2">
        <v>10470.469999999999</v>
      </c>
      <c r="AB1599" s="2">
        <v>8873.2800000000007</v>
      </c>
      <c r="AC1599" s="2">
        <v>1597.19</v>
      </c>
      <c r="AD1599" s="2">
        <v>10470.469999999999</v>
      </c>
      <c r="AE1599" t="s">
        <v>4898</v>
      </c>
      <c r="AF1599" t="s">
        <v>72</v>
      </c>
      <c r="AG1599">
        <v>-24</v>
      </c>
      <c r="AH1599" t="s">
        <v>117</v>
      </c>
      <c r="AI1599" t="s">
        <v>74</v>
      </c>
      <c r="AJ1599" t="s">
        <v>75</v>
      </c>
      <c r="AK1599" t="s">
        <v>76</v>
      </c>
      <c r="AL1599" t="s">
        <v>118</v>
      </c>
      <c r="AM1599" t="s">
        <v>78</v>
      </c>
      <c r="AN1599" t="s">
        <v>979</v>
      </c>
      <c r="AO1599" t="s">
        <v>119</v>
      </c>
      <c r="AP1599" t="s">
        <v>46</v>
      </c>
      <c r="AQ1599" t="s">
        <v>81</v>
      </c>
      <c r="AR1599" t="str">
        <f t="shared" si="48"/>
        <v>60601538.STATAM</v>
      </c>
      <c r="AS1599">
        <f t="shared" si="49"/>
        <v>5820725.1799999988</v>
      </c>
      <c r="AT1599" t="s">
        <v>82</v>
      </c>
    </row>
    <row r="1600" spans="1:46" x14ac:dyDescent="0.35">
      <c r="A1600" t="s">
        <v>52</v>
      </c>
      <c r="B1600" t="s">
        <v>53</v>
      </c>
      <c r="C1600" t="s">
        <v>54</v>
      </c>
      <c r="D1600" t="s">
        <v>55</v>
      </c>
      <c r="E1600" t="s">
        <v>56</v>
      </c>
      <c r="F1600" t="s">
        <v>4877</v>
      </c>
      <c r="G1600" t="s">
        <v>4890</v>
      </c>
      <c r="H1600" t="s">
        <v>56</v>
      </c>
      <c r="I1600" t="s">
        <v>4891</v>
      </c>
      <c r="J1600" t="s">
        <v>476</v>
      </c>
      <c r="K1600" t="s">
        <v>640</v>
      </c>
      <c r="L1600" t="s">
        <v>56</v>
      </c>
      <c r="M1600" t="s">
        <v>56</v>
      </c>
      <c r="N1600" t="s">
        <v>295</v>
      </c>
      <c r="O1600" t="s">
        <v>974</v>
      </c>
      <c r="P1600" t="s">
        <v>975</v>
      </c>
      <c r="Q1600" t="s">
        <v>393</v>
      </c>
      <c r="R1600" t="s">
        <v>248</v>
      </c>
      <c r="S1600">
        <v>2000000</v>
      </c>
      <c r="T1600">
        <v>-154924829.11000001</v>
      </c>
      <c r="U1600" t="s">
        <v>68</v>
      </c>
      <c r="V1600" t="s">
        <v>4874</v>
      </c>
      <c r="W1600" s="9">
        <v>60601538</v>
      </c>
      <c r="X1600" t="s">
        <v>4892</v>
      </c>
      <c r="Y1600" s="1">
        <v>46042</v>
      </c>
      <c r="Z1600" s="1">
        <v>46102</v>
      </c>
      <c r="AA1600" s="2">
        <v>17745.310000000001</v>
      </c>
      <c r="AB1600" s="2">
        <v>15038.4</v>
      </c>
      <c r="AC1600" s="2">
        <v>2706.91</v>
      </c>
      <c r="AD1600" s="2">
        <v>17745.310000000001</v>
      </c>
      <c r="AE1600" t="s">
        <v>4899</v>
      </c>
      <c r="AF1600" t="s">
        <v>72</v>
      </c>
      <c r="AG1600">
        <v>-24</v>
      </c>
      <c r="AH1600" t="s">
        <v>117</v>
      </c>
      <c r="AI1600" t="s">
        <v>74</v>
      </c>
      <c r="AJ1600" t="s">
        <v>75</v>
      </c>
      <c r="AK1600" t="s">
        <v>76</v>
      </c>
      <c r="AL1600" t="s">
        <v>118</v>
      </c>
      <c r="AM1600" t="s">
        <v>78</v>
      </c>
      <c r="AN1600" t="s">
        <v>979</v>
      </c>
      <c r="AO1600" t="s">
        <v>119</v>
      </c>
      <c r="AP1600" t="s">
        <v>46</v>
      </c>
      <c r="AQ1600" t="s">
        <v>81</v>
      </c>
      <c r="AR1600" t="str">
        <f t="shared" si="48"/>
        <v>60601538.STATAM</v>
      </c>
      <c r="AS1600">
        <f t="shared" si="49"/>
        <v>5820725.1799999988</v>
      </c>
      <c r="AT1600" t="s">
        <v>82</v>
      </c>
    </row>
    <row r="1601" spans="1:46" x14ac:dyDescent="0.35">
      <c r="A1601" t="s">
        <v>52</v>
      </c>
      <c r="B1601" t="s">
        <v>53</v>
      </c>
      <c r="C1601" t="s">
        <v>54</v>
      </c>
      <c r="D1601" t="s">
        <v>55</v>
      </c>
      <c r="E1601" t="s">
        <v>56</v>
      </c>
      <c r="F1601" t="s">
        <v>4877</v>
      </c>
      <c r="G1601" t="s">
        <v>4890</v>
      </c>
      <c r="H1601" t="s">
        <v>56</v>
      </c>
      <c r="I1601" t="s">
        <v>4891</v>
      </c>
      <c r="J1601" t="s">
        <v>476</v>
      </c>
      <c r="K1601" t="s">
        <v>640</v>
      </c>
      <c r="L1601" t="s">
        <v>56</v>
      </c>
      <c r="M1601" t="s">
        <v>56</v>
      </c>
      <c r="N1601" t="s">
        <v>263</v>
      </c>
      <c r="O1601" t="s">
        <v>974</v>
      </c>
      <c r="P1601" t="s">
        <v>975</v>
      </c>
      <c r="Q1601" t="s">
        <v>393</v>
      </c>
      <c r="R1601" t="s">
        <v>248</v>
      </c>
      <c r="S1601">
        <v>2000000</v>
      </c>
      <c r="T1601">
        <v>-154924829.11000001</v>
      </c>
      <c r="U1601" t="s">
        <v>68</v>
      </c>
      <c r="V1601" t="s">
        <v>4874</v>
      </c>
      <c r="W1601" s="9">
        <v>60601538</v>
      </c>
      <c r="X1601" t="s">
        <v>4892</v>
      </c>
      <c r="Y1601" s="1">
        <v>46042</v>
      </c>
      <c r="Z1601" s="1">
        <v>46102</v>
      </c>
      <c r="AA1601" s="2">
        <v>530937.81000000006</v>
      </c>
      <c r="AB1601" s="2">
        <v>449947.3</v>
      </c>
      <c r="AC1601" s="2">
        <v>80990.509999999995</v>
      </c>
      <c r="AD1601" s="2">
        <v>530937.81000000006</v>
      </c>
      <c r="AE1601" t="s">
        <v>4900</v>
      </c>
      <c r="AF1601" t="s">
        <v>72</v>
      </c>
      <c r="AG1601">
        <v>-24</v>
      </c>
      <c r="AH1601" t="s">
        <v>117</v>
      </c>
      <c r="AI1601" t="s">
        <v>74</v>
      </c>
      <c r="AJ1601" t="s">
        <v>75</v>
      </c>
      <c r="AK1601" t="s">
        <v>76</v>
      </c>
      <c r="AL1601" t="s">
        <v>118</v>
      </c>
      <c r="AM1601" t="s">
        <v>78</v>
      </c>
      <c r="AN1601" t="s">
        <v>979</v>
      </c>
      <c r="AO1601" t="s">
        <v>119</v>
      </c>
      <c r="AP1601" t="s">
        <v>46</v>
      </c>
      <c r="AQ1601" t="s">
        <v>81</v>
      </c>
      <c r="AR1601" t="str">
        <f t="shared" si="48"/>
        <v>60601538.STATAM</v>
      </c>
      <c r="AS1601">
        <f t="shared" si="49"/>
        <v>5820725.1799999988</v>
      </c>
      <c r="AT1601" t="s">
        <v>82</v>
      </c>
    </row>
    <row r="1602" spans="1:46" x14ac:dyDescent="0.35">
      <c r="A1602" t="s">
        <v>52</v>
      </c>
      <c r="B1602" t="s">
        <v>53</v>
      </c>
      <c r="C1602" t="s">
        <v>54</v>
      </c>
      <c r="D1602" t="s">
        <v>55</v>
      </c>
      <c r="E1602" t="s">
        <v>56</v>
      </c>
      <c r="F1602" t="s">
        <v>4877</v>
      </c>
      <c r="G1602" t="s">
        <v>4901</v>
      </c>
      <c r="H1602" t="s">
        <v>56</v>
      </c>
      <c r="I1602" t="s">
        <v>4902</v>
      </c>
      <c r="J1602" t="s">
        <v>61</v>
      </c>
      <c r="K1602" t="s">
        <v>640</v>
      </c>
      <c r="L1602" t="s">
        <v>56</v>
      </c>
      <c r="M1602" t="s">
        <v>56</v>
      </c>
      <c r="N1602" t="s">
        <v>252</v>
      </c>
      <c r="O1602" t="s">
        <v>974</v>
      </c>
      <c r="P1602" t="s">
        <v>975</v>
      </c>
      <c r="Q1602" t="s">
        <v>87</v>
      </c>
      <c r="R1602" t="s">
        <v>248</v>
      </c>
      <c r="S1602">
        <v>2000000</v>
      </c>
      <c r="T1602">
        <v>-154924829.11000001</v>
      </c>
      <c r="U1602" t="s">
        <v>68</v>
      </c>
      <c r="V1602" t="s">
        <v>4874</v>
      </c>
      <c r="W1602" s="9">
        <v>60601538</v>
      </c>
      <c r="X1602" t="s">
        <v>4903</v>
      </c>
      <c r="Y1602" s="1">
        <v>46042</v>
      </c>
      <c r="Z1602" s="1">
        <v>46102</v>
      </c>
      <c r="AA1602" s="2">
        <v>24373.11</v>
      </c>
      <c r="AB1602" s="2">
        <v>20655.18</v>
      </c>
      <c r="AC1602" s="2">
        <v>3717.93</v>
      </c>
      <c r="AD1602" s="2">
        <v>24373.11</v>
      </c>
      <c r="AE1602" t="s">
        <v>4904</v>
      </c>
      <c r="AF1602" t="s">
        <v>72</v>
      </c>
      <c r="AG1602">
        <v>-24</v>
      </c>
      <c r="AH1602" t="s">
        <v>117</v>
      </c>
      <c r="AI1602" t="s">
        <v>74</v>
      </c>
      <c r="AJ1602" t="s">
        <v>75</v>
      </c>
      <c r="AK1602" t="s">
        <v>76</v>
      </c>
      <c r="AL1602" t="s">
        <v>118</v>
      </c>
      <c r="AM1602" t="s">
        <v>78</v>
      </c>
      <c r="AN1602" t="s">
        <v>979</v>
      </c>
      <c r="AO1602" t="s">
        <v>119</v>
      </c>
      <c r="AP1602" t="s">
        <v>46</v>
      </c>
      <c r="AQ1602" t="s">
        <v>81</v>
      </c>
      <c r="AR1602" t="str">
        <f t="shared" si="48"/>
        <v>60601538.STATAM</v>
      </c>
      <c r="AS1602">
        <f t="shared" si="49"/>
        <v>5820725.1799999988</v>
      </c>
      <c r="AT1602" t="s">
        <v>82</v>
      </c>
    </row>
    <row r="1603" spans="1:46" x14ac:dyDescent="0.35">
      <c r="A1603" t="s">
        <v>52</v>
      </c>
      <c r="B1603" t="s">
        <v>53</v>
      </c>
      <c r="C1603" t="s">
        <v>54</v>
      </c>
      <c r="D1603" t="s">
        <v>55</v>
      </c>
      <c r="E1603" t="s">
        <v>56</v>
      </c>
      <c r="F1603" t="s">
        <v>4877</v>
      </c>
      <c r="G1603" t="s">
        <v>4901</v>
      </c>
      <c r="H1603" t="s">
        <v>56</v>
      </c>
      <c r="I1603" t="s">
        <v>4902</v>
      </c>
      <c r="J1603" t="s">
        <v>61</v>
      </c>
      <c r="K1603" t="s">
        <v>640</v>
      </c>
      <c r="L1603" t="s">
        <v>56</v>
      </c>
      <c r="M1603" t="s">
        <v>56</v>
      </c>
      <c r="N1603" t="s">
        <v>1384</v>
      </c>
      <c r="O1603" t="s">
        <v>974</v>
      </c>
      <c r="P1603" t="s">
        <v>975</v>
      </c>
      <c r="Q1603" t="s">
        <v>87</v>
      </c>
      <c r="R1603" t="s">
        <v>248</v>
      </c>
      <c r="S1603">
        <v>2000000</v>
      </c>
      <c r="T1603">
        <v>-154924829.11000001</v>
      </c>
      <c r="U1603" t="s">
        <v>68</v>
      </c>
      <c r="V1603" t="s">
        <v>4874</v>
      </c>
      <c r="W1603" s="9">
        <v>60601538</v>
      </c>
      <c r="X1603" t="s">
        <v>4903</v>
      </c>
      <c r="Y1603" s="1">
        <v>46042</v>
      </c>
      <c r="Z1603" s="1">
        <v>46102</v>
      </c>
      <c r="AA1603" s="2">
        <v>34286.74</v>
      </c>
      <c r="AB1603" s="2">
        <v>29056.560000000001</v>
      </c>
      <c r="AC1603" s="2">
        <v>5230.18</v>
      </c>
      <c r="AD1603" s="2">
        <v>34286.74</v>
      </c>
      <c r="AE1603" t="s">
        <v>4905</v>
      </c>
      <c r="AF1603" t="s">
        <v>72</v>
      </c>
      <c r="AG1603">
        <v>-24</v>
      </c>
      <c r="AH1603" t="s">
        <v>117</v>
      </c>
      <c r="AI1603" t="s">
        <v>74</v>
      </c>
      <c r="AJ1603" t="s">
        <v>75</v>
      </c>
      <c r="AK1603" t="s">
        <v>76</v>
      </c>
      <c r="AL1603" t="s">
        <v>118</v>
      </c>
      <c r="AM1603" t="s">
        <v>78</v>
      </c>
      <c r="AN1603" t="s">
        <v>979</v>
      </c>
      <c r="AO1603" t="s">
        <v>119</v>
      </c>
      <c r="AP1603" t="s">
        <v>46</v>
      </c>
      <c r="AQ1603" t="s">
        <v>81</v>
      </c>
      <c r="AR1603" t="str">
        <f t="shared" si="48"/>
        <v>60601538.STATAM</v>
      </c>
      <c r="AS1603">
        <f t="shared" si="49"/>
        <v>5820725.1799999988</v>
      </c>
      <c r="AT1603" t="s">
        <v>82</v>
      </c>
    </row>
    <row r="1604" spans="1:46" x14ac:dyDescent="0.35">
      <c r="A1604" t="s">
        <v>52</v>
      </c>
      <c r="B1604" t="s">
        <v>53</v>
      </c>
      <c r="C1604" t="s">
        <v>54</v>
      </c>
      <c r="D1604" t="s">
        <v>55</v>
      </c>
      <c r="E1604" t="s">
        <v>56</v>
      </c>
      <c r="F1604" t="s">
        <v>4877</v>
      </c>
      <c r="G1604" t="s">
        <v>4906</v>
      </c>
      <c r="H1604" t="s">
        <v>56</v>
      </c>
      <c r="I1604" t="s">
        <v>4907</v>
      </c>
      <c r="J1604" t="s">
        <v>476</v>
      </c>
      <c r="K1604" t="s">
        <v>640</v>
      </c>
      <c r="L1604" t="s">
        <v>56</v>
      </c>
      <c r="M1604" t="s">
        <v>56</v>
      </c>
      <c r="N1604" t="s">
        <v>682</v>
      </c>
      <c r="O1604" t="s">
        <v>974</v>
      </c>
      <c r="P1604" t="s">
        <v>975</v>
      </c>
      <c r="Q1604" t="s">
        <v>393</v>
      </c>
      <c r="R1604" t="s">
        <v>248</v>
      </c>
      <c r="S1604">
        <v>2000000</v>
      </c>
      <c r="T1604">
        <v>-154924829.11000001</v>
      </c>
      <c r="U1604" t="s">
        <v>68</v>
      </c>
      <c r="V1604" t="s">
        <v>4874</v>
      </c>
      <c r="W1604" s="9">
        <v>60601538</v>
      </c>
      <c r="X1604" t="s">
        <v>4908</v>
      </c>
      <c r="Y1604" s="1">
        <v>46042</v>
      </c>
      <c r="Z1604" s="1">
        <v>46102</v>
      </c>
      <c r="AA1604" s="2">
        <v>7267.48</v>
      </c>
      <c r="AB1604" s="2">
        <v>6158.88</v>
      </c>
      <c r="AC1604" s="2">
        <v>1108.5999999999999</v>
      </c>
      <c r="AD1604" s="2">
        <v>7267.48</v>
      </c>
      <c r="AE1604" t="s">
        <v>4909</v>
      </c>
      <c r="AF1604" t="s">
        <v>72</v>
      </c>
      <c r="AG1604">
        <v>-24</v>
      </c>
      <c r="AH1604" t="s">
        <v>117</v>
      </c>
      <c r="AI1604" t="s">
        <v>74</v>
      </c>
      <c r="AJ1604" t="s">
        <v>127</v>
      </c>
      <c r="AK1604" t="s">
        <v>334</v>
      </c>
      <c r="AL1604" t="s">
        <v>118</v>
      </c>
      <c r="AM1604" t="s">
        <v>78</v>
      </c>
      <c r="AN1604" t="s">
        <v>979</v>
      </c>
      <c r="AO1604" t="s">
        <v>119</v>
      </c>
      <c r="AP1604" t="s">
        <v>46</v>
      </c>
      <c r="AQ1604" t="s">
        <v>335</v>
      </c>
      <c r="AR1604" t="str">
        <f t="shared" si="48"/>
        <v>60601538.SPMINAM</v>
      </c>
      <c r="AS1604">
        <f t="shared" si="49"/>
        <v>73819.48</v>
      </c>
      <c r="AT1604" t="s">
        <v>82</v>
      </c>
    </row>
    <row r="1605" spans="1:46" x14ac:dyDescent="0.35">
      <c r="A1605" t="s">
        <v>52</v>
      </c>
      <c r="B1605" t="s">
        <v>53</v>
      </c>
      <c r="C1605" t="s">
        <v>54</v>
      </c>
      <c r="D1605" t="s">
        <v>55</v>
      </c>
      <c r="E1605" t="s">
        <v>56</v>
      </c>
      <c r="F1605" t="s">
        <v>4877</v>
      </c>
      <c r="G1605" t="s">
        <v>4910</v>
      </c>
      <c r="H1605" t="s">
        <v>56</v>
      </c>
      <c r="I1605" t="s">
        <v>4911</v>
      </c>
      <c r="J1605" t="s">
        <v>476</v>
      </c>
      <c r="K1605" t="s">
        <v>640</v>
      </c>
      <c r="L1605" t="s">
        <v>56</v>
      </c>
      <c r="M1605" t="s">
        <v>56</v>
      </c>
      <c r="N1605" t="s">
        <v>254</v>
      </c>
      <c r="O1605" t="s">
        <v>974</v>
      </c>
      <c r="P1605" t="s">
        <v>975</v>
      </c>
      <c r="Q1605" t="s">
        <v>393</v>
      </c>
      <c r="R1605" t="s">
        <v>248</v>
      </c>
      <c r="S1605">
        <v>2000000</v>
      </c>
      <c r="T1605">
        <v>-154924829.11000001</v>
      </c>
      <c r="U1605" t="s">
        <v>68</v>
      </c>
      <c r="V1605" t="s">
        <v>4874</v>
      </c>
      <c r="W1605" s="9">
        <v>60601538</v>
      </c>
      <c r="X1605" t="s">
        <v>4912</v>
      </c>
      <c r="Y1605" s="1">
        <v>46042</v>
      </c>
      <c r="Z1605" s="1">
        <v>46102</v>
      </c>
      <c r="AA1605" s="2">
        <v>954203.45</v>
      </c>
      <c r="AB1605" s="2">
        <v>808647</v>
      </c>
      <c r="AC1605" s="2">
        <v>145556.45000000001</v>
      </c>
      <c r="AD1605" s="2">
        <v>954203.45</v>
      </c>
      <c r="AE1605" t="s">
        <v>4913</v>
      </c>
      <c r="AF1605" t="s">
        <v>72</v>
      </c>
      <c r="AG1605">
        <v>-24</v>
      </c>
      <c r="AH1605" t="s">
        <v>117</v>
      </c>
      <c r="AI1605" t="s">
        <v>74</v>
      </c>
      <c r="AJ1605" t="s">
        <v>75</v>
      </c>
      <c r="AK1605" t="s">
        <v>76</v>
      </c>
      <c r="AL1605" t="s">
        <v>118</v>
      </c>
      <c r="AM1605" t="s">
        <v>78</v>
      </c>
      <c r="AN1605" t="s">
        <v>979</v>
      </c>
      <c r="AO1605" t="s">
        <v>119</v>
      </c>
      <c r="AP1605" t="s">
        <v>46</v>
      </c>
      <c r="AQ1605" t="s">
        <v>81</v>
      </c>
      <c r="AR1605" t="str">
        <f t="shared" si="48"/>
        <v>60601538.STATAM</v>
      </c>
      <c r="AS1605">
        <f t="shared" si="49"/>
        <v>5820725.1799999988</v>
      </c>
      <c r="AT1605" t="s">
        <v>82</v>
      </c>
    </row>
    <row r="1606" spans="1:46" x14ac:dyDescent="0.35">
      <c r="A1606" t="s">
        <v>52</v>
      </c>
      <c r="B1606" t="s">
        <v>53</v>
      </c>
      <c r="C1606" t="s">
        <v>54</v>
      </c>
      <c r="D1606" t="s">
        <v>55</v>
      </c>
      <c r="E1606" t="s">
        <v>56</v>
      </c>
      <c r="F1606" t="s">
        <v>4877</v>
      </c>
      <c r="G1606" t="s">
        <v>4910</v>
      </c>
      <c r="H1606" t="s">
        <v>56</v>
      </c>
      <c r="I1606" t="s">
        <v>4911</v>
      </c>
      <c r="J1606" t="s">
        <v>476</v>
      </c>
      <c r="K1606" t="s">
        <v>640</v>
      </c>
      <c r="L1606" t="s">
        <v>56</v>
      </c>
      <c r="M1606" t="s">
        <v>56</v>
      </c>
      <c r="N1606" t="s">
        <v>261</v>
      </c>
      <c r="O1606" t="s">
        <v>974</v>
      </c>
      <c r="P1606" t="s">
        <v>975</v>
      </c>
      <c r="Q1606" t="s">
        <v>393</v>
      </c>
      <c r="R1606" t="s">
        <v>248</v>
      </c>
      <c r="S1606">
        <v>2000000</v>
      </c>
      <c r="T1606">
        <v>-154924829.11000001</v>
      </c>
      <c r="U1606" t="s">
        <v>68</v>
      </c>
      <c r="V1606" t="s">
        <v>4874</v>
      </c>
      <c r="W1606" s="9">
        <v>60601538</v>
      </c>
      <c r="X1606" t="s">
        <v>4912</v>
      </c>
      <c r="Y1606" s="1">
        <v>46042</v>
      </c>
      <c r="Z1606" s="1">
        <v>46102</v>
      </c>
      <c r="AA1606" s="2">
        <v>66430.789999999994</v>
      </c>
      <c r="AB1606" s="2">
        <v>56297.279999999999</v>
      </c>
      <c r="AC1606" s="2">
        <v>10133.51</v>
      </c>
      <c r="AD1606" s="2">
        <v>66430.789999999994</v>
      </c>
      <c r="AE1606" t="s">
        <v>4914</v>
      </c>
      <c r="AF1606" t="s">
        <v>72</v>
      </c>
      <c r="AG1606">
        <v>-24</v>
      </c>
      <c r="AH1606" t="s">
        <v>117</v>
      </c>
      <c r="AI1606" t="s">
        <v>74</v>
      </c>
      <c r="AJ1606" t="s">
        <v>75</v>
      </c>
      <c r="AK1606" t="s">
        <v>76</v>
      </c>
      <c r="AL1606" t="s">
        <v>118</v>
      </c>
      <c r="AM1606" t="s">
        <v>78</v>
      </c>
      <c r="AN1606" t="s">
        <v>979</v>
      </c>
      <c r="AO1606" t="s">
        <v>119</v>
      </c>
      <c r="AP1606" t="s">
        <v>46</v>
      </c>
      <c r="AQ1606" t="s">
        <v>81</v>
      </c>
      <c r="AR1606" t="str">
        <f t="shared" si="48"/>
        <v>60601538.STATAM</v>
      </c>
      <c r="AS1606">
        <f t="shared" si="49"/>
        <v>5820725.1799999988</v>
      </c>
      <c r="AT1606" t="s">
        <v>82</v>
      </c>
    </row>
    <row r="1607" spans="1:46" x14ac:dyDescent="0.35">
      <c r="A1607" t="s">
        <v>52</v>
      </c>
      <c r="B1607" t="s">
        <v>53</v>
      </c>
      <c r="C1607" t="s">
        <v>54</v>
      </c>
      <c r="D1607" t="s">
        <v>55</v>
      </c>
      <c r="E1607" t="s">
        <v>56</v>
      </c>
      <c r="F1607" t="s">
        <v>4877</v>
      </c>
      <c r="G1607" t="s">
        <v>4910</v>
      </c>
      <c r="H1607" t="s">
        <v>56</v>
      </c>
      <c r="I1607" t="s">
        <v>4911</v>
      </c>
      <c r="J1607" t="s">
        <v>476</v>
      </c>
      <c r="K1607" t="s">
        <v>640</v>
      </c>
      <c r="L1607" t="s">
        <v>56</v>
      </c>
      <c r="M1607" t="s">
        <v>56</v>
      </c>
      <c r="N1607" t="s">
        <v>252</v>
      </c>
      <c r="O1607" t="s">
        <v>974</v>
      </c>
      <c r="P1607" t="s">
        <v>975</v>
      </c>
      <c r="Q1607" t="s">
        <v>393</v>
      </c>
      <c r="R1607" t="s">
        <v>248</v>
      </c>
      <c r="S1607">
        <v>2000000</v>
      </c>
      <c r="T1607">
        <v>-154924829.11000001</v>
      </c>
      <c r="U1607" t="s">
        <v>68</v>
      </c>
      <c r="V1607" t="s">
        <v>4874</v>
      </c>
      <c r="W1607" s="9">
        <v>60601538</v>
      </c>
      <c r="X1607" t="s">
        <v>4912</v>
      </c>
      <c r="Y1607" s="1">
        <v>46042</v>
      </c>
      <c r="Z1607" s="1">
        <v>46102</v>
      </c>
      <c r="AA1607" s="2">
        <v>21044.03</v>
      </c>
      <c r="AB1607" s="2">
        <v>17833.919999999998</v>
      </c>
      <c r="AC1607" s="2">
        <v>3210.11</v>
      </c>
      <c r="AD1607" s="2">
        <v>21044.03</v>
      </c>
      <c r="AE1607" t="s">
        <v>4915</v>
      </c>
      <c r="AF1607" t="s">
        <v>72</v>
      </c>
      <c r="AG1607">
        <v>-24</v>
      </c>
      <c r="AH1607" t="s">
        <v>117</v>
      </c>
      <c r="AI1607" t="s">
        <v>74</v>
      </c>
      <c r="AJ1607" t="s">
        <v>75</v>
      </c>
      <c r="AK1607" t="s">
        <v>76</v>
      </c>
      <c r="AL1607" t="s">
        <v>118</v>
      </c>
      <c r="AM1607" t="s">
        <v>78</v>
      </c>
      <c r="AN1607" t="s">
        <v>979</v>
      </c>
      <c r="AO1607" t="s">
        <v>119</v>
      </c>
      <c r="AP1607" t="s">
        <v>46</v>
      </c>
      <c r="AQ1607" t="s">
        <v>81</v>
      </c>
      <c r="AR1607" t="str">
        <f t="shared" si="48"/>
        <v>60601538.STATAM</v>
      </c>
      <c r="AS1607">
        <f t="shared" si="49"/>
        <v>5820725.1799999988</v>
      </c>
      <c r="AT1607" t="s">
        <v>82</v>
      </c>
    </row>
    <row r="1608" spans="1:46" x14ac:dyDescent="0.35">
      <c r="A1608" t="s">
        <v>52</v>
      </c>
      <c r="B1608" t="s">
        <v>53</v>
      </c>
      <c r="C1608" t="s">
        <v>54</v>
      </c>
      <c r="D1608" t="s">
        <v>55</v>
      </c>
      <c r="E1608" t="s">
        <v>56</v>
      </c>
      <c r="F1608" t="s">
        <v>4877</v>
      </c>
      <c r="G1608" t="s">
        <v>4901</v>
      </c>
      <c r="H1608" t="s">
        <v>56</v>
      </c>
      <c r="I1608" t="s">
        <v>4916</v>
      </c>
      <c r="J1608" t="s">
        <v>61</v>
      </c>
      <c r="K1608" t="s">
        <v>640</v>
      </c>
      <c r="L1608" t="s">
        <v>56</v>
      </c>
      <c r="M1608" t="s">
        <v>56</v>
      </c>
      <c r="N1608" t="s">
        <v>252</v>
      </c>
      <c r="O1608" t="s">
        <v>974</v>
      </c>
      <c r="P1608" t="s">
        <v>975</v>
      </c>
      <c r="Q1608" t="s">
        <v>87</v>
      </c>
      <c r="R1608" t="s">
        <v>248</v>
      </c>
      <c r="S1608">
        <v>2000000</v>
      </c>
      <c r="T1608">
        <v>-154924829.11000001</v>
      </c>
      <c r="U1608" t="s">
        <v>68</v>
      </c>
      <c r="V1608" t="s">
        <v>4874</v>
      </c>
      <c r="W1608" s="9">
        <v>60601538</v>
      </c>
      <c r="X1608" t="s">
        <v>4917</v>
      </c>
      <c r="Y1608" s="1">
        <v>46052</v>
      </c>
      <c r="Z1608" s="1">
        <v>46112</v>
      </c>
      <c r="AA1608" s="2">
        <v>1767.17</v>
      </c>
      <c r="AB1608" s="2">
        <v>1497.6</v>
      </c>
      <c r="AC1608" s="2">
        <v>269.57</v>
      </c>
      <c r="AD1608" s="2">
        <v>1767.17</v>
      </c>
      <c r="AE1608" t="s">
        <v>4918</v>
      </c>
      <c r="AF1608" t="s">
        <v>72</v>
      </c>
      <c r="AG1608">
        <v>-34</v>
      </c>
      <c r="AH1608" t="s">
        <v>117</v>
      </c>
      <c r="AI1608" t="s">
        <v>74</v>
      </c>
      <c r="AJ1608" t="s">
        <v>75</v>
      </c>
      <c r="AK1608" t="s">
        <v>76</v>
      </c>
      <c r="AL1608" t="s">
        <v>118</v>
      </c>
      <c r="AM1608" t="s">
        <v>78</v>
      </c>
      <c r="AN1608" t="s">
        <v>979</v>
      </c>
      <c r="AO1608" t="s">
        <v>119</v>
      </c>
      <c r="AP1608" t="s">
        <v>46</v>
      </c>
      <c r="AQ1608" t="s">
        <v>81</v>
      </c>
      <c r="AR1608" t="str">
        <f t="shared" ref="AR1608:AR1634" si="50">W1608&amp;"."&amp;AQ1608</f>
        <v>60601538.STATAM</v>
      </c>
      <c r="AS1608">
        <f t="shared" ref="AS1608:AS1634" si="51">SUMIFS(AD:AD,AQ:AQ,AQ1608,W:W,W1608)</f>
        <v>5820725.1799999988</v>
      </c>
      <c r="AT1608" t="s">
        <v>82</v>
      </c>
    </row>
    <row r="1609" spans="1:46" x14ac:dyDescent="0.35">
      <c r="A1609" t="s">
        <v>52</v>
      </c>
      <c r="B1609" t="s">
        <v>53</v>
      </c>
      <c r="C1609" t="s">
        <v>54</v>
      </c>
      <c r="D1609" t="s">
        <v>55</v>
      </c>
      <c r="E1609" t="s">
        <v>56</v>
      </c>
      <c r="F1609" t="s">
        <v>4877</v>
      </c>
      <c r="G1609" t="s">
        <v>4901</v>
      </c>
      <c r="H1609" t="s">
        <v>56</v>
      </c>
      <c r="I1609" t="s">
        <v>4916</v>
      </c>
      <c r="J1609" t="s">
        <v>61</v>
      </c>
      <c r="K1609" t="s">
        <v>640</v>
      </c>
      <c r="L1609" t="s">
        <v>56</v>
      </c>
      <c r="M1609" t="s">
        <v>56</v>
      </c>
      <c r="N1609" t="s">
        <v>261</v>
      </c>
      <c r="O1609" t="s">
        <v>974</v>
      </c>
      <c r="P1609" t="s">
        <v>975</v>
      </c>
      <c r="Q1609" t="s">
        <v>87</v>
      </c>
      <c r="R1609" t="s">
        <v>248</v>
      </c>
      <c r="S1609">
        <v>2000000</v>
      </c>
      <c r="T1609">
        <v>-154924829.11000001</v>
      </c>
      <c r="U1609" t="s">
        <v>68</v>
      </c>
      <c r="V1609" t="s">
        <v>4874</v>
      </c>
      <c r="W1609" s="9">
        <v>60601538</v>
      </c>
      <c r="X1609" t="s">
        <v>4917</v>
      </c>
      <c r="Y1609" s="1">
        <v>46052</v>
      </c>
      <c r="Z1609" s="1">
        <v>46112</v>
      </c>
      <c r="AA1609" s="2">
        <v>4977.5200000000004</v>
      </c>
      <c r="AB1609" s="2">
        <v>4218.24</v>
      </c>
      <c r="AC1609" s="2">
        <v>759.28</v>
      </c>
      <c r="AD1609" s="2">
        <v>4977.5200000000004</v>
      </c>
      <c r="AE1609" t="s">
        <v>4919</v>
      </c>
      <c r="AF1609" t="s">
        <v>72</v>
      </c>
      <c r="AG1609">
        <v>-34</v>
      </c>
      <c r="AH1609" t="s">
        <v>117</v>
      </c>
      <c r="AI1609" t="s">
        <v>74</v>
      </c>
      <c r="AJ1609" t="s">
        <v>75</v>
      </c>
      <c r="AK1609" t="s">
        <v>76</v>
      </c>
      <c r="AL1609" t="s">
        <v>118</v>
      </c>
      <c r="AM1609" t="s">
        <v>78</v>
      </c>
      <c r="AN1609" t="s">
        <v>979</v>
      </c>
      <c r="AO1609" t="s">
        <v>119</v>
      </c>
      <c r="AP1609" t="s">
        <v>46</v>
      </c>
      <c r="AQ1609" t="s">
        <v>81</v>
      </c>
      <c r="AR1609" t="str">
        <f t="shared" si="50"/>
        <v>60601538.STATAM</v>
      </c>
      <c r="AS1609">
        <f t="shared" si="51"/>
        <v>5820725.1799999988</v>
      </c>
      <c r="AT1609" t="s">
        <v>82</v>
      </c>
    </row>
    <row r="1610" spans="1:46" x14ac:dyDescent="0.35">
      <c r="A1610" t="s">
        <v>52</v>
      </c>
      <c r="B1610" t="s">
        <v>53</v>
      </c>
      <c r="C1610" t="s">
        <v>54</v>
      </c>
      <c r="D1610" t="s">
        <v>55</v>
      </c>
      <c r="E1610" t="s">
        <v>56</v>
      </c>
      <c r="F1610" t="s">
        <v>4877</v>
      </c>
      <c r="G1610" t="s">
        <v>4878</v>
      </c>
      <c r="H1610" t="s">
        <v>56</v>
      </c>
      <c r="I1610" t="s">
        <v>4920</v>
      </c>
      <c r="J1610" t="s">
        <v>61</v>
      </c>
      <c r="K1610" t="s">
        <v>640</v>
      </c>
      <c r="L1610" t="s">
        <v>56</v>
      </c>
      <c r="M1610" t="s">
        <v>56</v>
      </c>
      <c r="N1610" t="s">
        <v>252</v>
      </c>
      <c r="O1610" t="s">
        <v>974</v>
      </c>
      <c r="P1610" t="s">
        <v>975</v>
      </c>
      <c r="Q1610" t="s">
        <v>87</v>
      </c>
      <c r="R1610" t="s">
        <v>248</v>
      </c>
      <c r="S1610">
        <v>2000000</v>
      </c>
      <c r="T1610">
        <v>-154924829.11000001</v>
      </c>
      <c r="U1610" t="s">
        <v>68</v>
      </c>
      <c r="V1610" t="s">
        <v>4874</v>
      </c>
      <c r="W1610" s="9">
        <v>60601538</v>
      </c>
      <c r="X1610" t="s">
        <v>4921</v>
      </c>
      <c r="Y1610" s="1">
        <v>46052</v>
      </c>
      <c r="Z1610" s="1">
        <v>46112</v>
      </c>
      <c r="AA1610" s="2">
        <v>679.68</v>
      </c>
      <c r="AB1610" s="2">
        <v>576</v>
      </c>
      <c r="AC1610" s="2">
        <v>103.68</v>
      </c>
      <c r="AD1610" s="2">
        <v>679.68</v>
      </c>
      <c r="AE1610" t="s">
        <v>4922</v>
      </c>
      <c r="AF1610" t="s">
        <v>72</v>
      </c>
      <c r="AG1610">
        <v>-34</v>
      </c>
      <c r="AH1610" t="s">
        <v>117</v>
      </c>
      <c r="AI1610" t="s">
        <v>74</v>
      </c>
      <c r="AJ1610" t="s">
        <v>75</v>
      </c>
      <c r="AK1610" t="s">
        <v>76</v>
      </c>
      <c r="AL1610" t="s">
        <v>118</v>
      </c>
      <c r="AM1610" t="s">
        <v>78</v>
      </c>
      <c r="AN1610" t="s">
        <v>979</v>
      </c>
      <c r="AO1610" t="s">
        <v>119</v>
      </c>
      <c r="AP1610" t="s">
        <v>46</v>
      </c>
      <c r="AQ1610" t="s">
        <v>81</v>
      </c>
      <c r="AR1610" t="str">
        <f t="shared" si="50"/>
        <v>60601538.STATAM</v>
      </c>
      <c r="AS1610">
        <f t="shared" si="51"/>
        <v>5820725.1799999988</v>
      </c>
      <c r="AT1610" t="s">
        <v>82</v>
      </c>
    </row>
    <row r="1611" spans="1:46" x14ac:dyDescent="0.35">
      <c r="A1611" t="s">
        <v>52</v>
      </c>
      <c r="B1611" t="s">
        <v>53</v>
      </c>
      <c r="C1611" t="s">
        <v>54</v>
      </c>
      <c r="D1611" t="s">
        <v>55</v>
      </c>
      <c r="E1611" t="s">
        <v>56</v>
      </c>
      <c r="F1611" t="s">
        <v>4877</v>
      </c>
      <c r="G1611" t="s">
        <v>4878</v>
      </c>
      <c r="H1611" t="s">
        <v>56</v>
      </c>
      <c r="I1611" t="s">
        <v>4920</v>
      </c>
      <c r="J1611" t="s">
        <v>61</v>
      </c>
      <c r="K1611" t="s">
        <v>640</v>
      </c>
      <c r="L1611" t="s">
        <v>56</v>
      </c>
      <c r="M1611" t="s">
        <v>56</v>
      </c>
      <c r="N1611" t="s">
        <v>261</v>
      </c>
      <c r="O1611" t="s">
        <v>974</v>
      </c>
      <c r="P1611" t="s">
        <v>975</v>
      </c>
      <c r="Q1611" t="s">
        <v>87</v>
      </c>
      <c r="R1611" t="s">
        <v>248</v>
      </c>
      <c r="S1611">
        <v>2000000</v>
      </c>
      <c r="T1611">
        <v>-154924829.11000001</v>
      </c>
      <c r="U1611" t="s">
        <v>68</v>
      </c>
      <c r="V1611" t="s">
        <v>4874</v>
      </c>
      <c r="W1611" s="9">
        <v>60601538</v>
      </c>
      <c r="X1611" t="s">
        <v>4921</v>
      </c>
      <c r="Y1611" s="1">
        <v>46052</v>
      </c>
      <c r="Z1611" s="1">
        <v>46112</v>
      </c>
      <c r="AA1611" s="2">
        <v>776.44</v>
      </c>
      <c r="AB1611" s="2">
        <v>658</v>
      </c>
      <c r="AC1611" s="2">
        <v>118.44</v>
      </c>
      <c r="AD1611" s="2">
        <v>776.44</v>
      </c>
      <c r="AE1611" t="s">
        <v>4923</v>
      </c>
      <c r="AF1611" t="s">
        <v>72</v>
      </c>
      <c r="AG1611">
        <v>-34</v>
      </c>
      <c r="AH1611" t="s">
        <v>117</v>
      </c>
      <c r="AI1611" t="s">
        <v>74</v>
      </c>
      <c r="AJ1611" t="s">
        <v>75</v>
      </c>
      <c r="AK1611" t="s">
        <v>76</v>
      </c>
      <c r="AL1611" t="s">
        <v>118</v>
      </c>
      <c r="AM1611" t="s">
        <v>78</v>
      </c>
      <c r="AN1611" t="s">
        <v>979</v>
      </c>
      <c r="AO1611" t="s">
        <v>119</v>
      </c>
      <c r="AP1611" t="s">
        <v>46</v>
      </c>
      <c r="AQ1611" t="s">
        <v>81</v>
      </c>
      <c r="AR1611" t="str">
        <f t="shared" si="50"/>
        <v>60601538.STATAM</v>
      </c>
      <c r="AS1611">
        <f t="shared" si="51"/>
        <v>5820725.1799999988</v>
      </c>
      <c r="AT1611" t="s">
        <v>82</v>
      </c>
    </row>
    <row r="1612" spans="1:46" x14ac:dyDescent="0.35">
      <c r="A1612" t="s">
        <v>52</v>
      </c>
      <c r="B1612" t="s">
        <v>53</v>
      </c>
      <c r="C1612" t="s">
        <v>54</v>
      </c>
      <c r="D1612" t="s">
        <v>55</v>
      </c>
      <c r="E1612" t="s">
        <v>56</v>
      </c>
      <c r="F1612" t="s">
        <v>4877</v>
      </c>
      <c r="G1612" t="s">
        <v>4910</v>
      </c>
      <c r="H1612" t="s">
        <v>56</v>
      </c>
      <c r="I1612" t="s">
        <v>4924</v>
      </c>
      <c r="J1612" t="s">
        <v>476</v>
      </c>
      <c r="K1612" t="s">
        <v>640</v>
      </c>
      <c r="L1612" t="s">
        <v>56</v>
      </c>
      <c r="M1612" t="s">
        <v>56</v>
      </c>
      <c r="N1612" t="s">
        <v>252</v>
      </c>
      <c r="O1612" t="s">
        <v>974</v>
      </c>
      <c r="P1612" t="s">
        <v>975</v>
      </c>
      <c r="Q1612" t="s">
        <v>393</v>
      </c>
      <c r="R1612" t="s">
        <v>248</v>
      </c>
      <c r="S1612">
        <v>2000000</v>
      </c>
      <c r="T1612">
        <v>-154924829.11000001</v>
      </c>
      <c r="U1612" t="s">
        <v>68</v>
      </c>
      <c r="V1612" t="s">
        <v>4874</v>
      </c>
      <c r="W1612" s="9">
        <v>60601538</v>
      </c>
      <c r="X1612" t="s">
        <v>4925</v>
      </c>
      <c r="Y1612" s="1">
        <v>46052</v>
      </c>
      <c r="Z1612" s="1">
        <v>46112</v>
      </c>
      <c r="AA1612" s="2">
        <v>1801194.13</v>
      </c>
      <c r="AB1612" s="2">
        <v>1526435.7</v>
      </c>
      <c r="AC1612" s="2">
        <v>274758.43</v>
      </c>
      <c r="AD1612" s="2">
        <v>1801194.13</v>
      </c>
      <c r="AE1612" t="s">
        <v>4926</v>
      </c>
      <c r="AF1612" t="s">
        <v>72</v>
      </c>
      <c r="AG1612">
        <v>-34</v>
      </c>
      <c r="AH1612" t="s">
        <v>117</v>
      </c>
      <c r="AI1612" t="s">
        <v>74</v>
      </c>
      <c r="AJ1612" t="s">
        <v>75</v>
      </c>
      <c r="AK1612" t="s">
        <v>76</v>
      </c>
      <c r="AL1612" t="s">
        <v>118</v>
      </c>
      <c r="AM1612" t="s">
        <v>78</v>
      </c>
      <c r="AN1612" t="s">
        <v>979</v>
      </c>
      <c r="AO1612" t="s">
        <v>119</v>
      </c>
      <c r="AP1612" t="s">
        <v>46</v>
      </c>
      <c r="AQ1612" t="s">
        <v>81</v>
      </c>
      <c r="AR1612" t="str">
        <f t="shared" si="50"/>
        <v>60601538.STATAM</v>
      </c>
      <c r="AS1612">
        <f t="shared" si="51"/>
        <v>5820725.1799999988</v>
      </c>
      <c r="AT1612" t="s">
        <v>82</v>
      </c>
    </row>
    <row r="1613" spans="1:46" x14ac:dyDescent="0.35">
      <c r="A1613" t="s">
        <v>52</v>
      </c>
      <c r="B1613" t="s">
        <v>53</v>
      </c>
      <c r="C1613" t="s">
        <v>54</v>
      </c>
      <c r="D1613" t="s">
        <v>55</v>
      </c>
      <c r="E1613" t="s">
        <v>56</v>
      </c>
      <c r="F1613" t="s">
        <v>4877</v>
      </c>
      <c r="G1613" t="s">
        <v>4910</v>
      </c>
      <c r="H1613" t="s">
        <v>56</v>
      </c>
      <c r="I1613" t="s">
        <v>4924</v>
      </c>
      <c r="J1613" t="s">
        <v>476</v>
      </c>
      <c r="K1613" t="s">
        <v>640</v>
      </c>
      <c r="L1613" t="s">
        <v>56</v>
      </c>
      <c r="M1613" t="s">
        <v>56</v>
      </c>
      <c r="N1613" t="s">
        <v>254</v>
      </c>
      <c r="O1613" t="s">
        <v>974</v>
      </c>
      <c r="P1613" t="s">
        <v>975</v>
      </c>
      <c r="Q1613" t="s">
        <v>393</v>
      </c>
      <c r="R1613" t="s">
        <v>248</v>
      </c>
      <c r="S1613">
        <v>2000000</v>
      </c>
      <c r="T1613">
        <v>-154924829.11000001</v>
      </c>
      <c r="U1613" t="s">
        <v>68</v>
      </c>
      <c r="V1613" t="s">
        <v>4874</v>
      </c>
      <c r="W1613" s="9">
        <v>60601538</v>
      </c>
      <c r="X1613" t="s">
        <v>4925</v>
      </c>
      <c r="Y1613" s="1">
        <v>46052</v>
      </c>
      <c r="Z1613" s="1">
        <v>46112</v>
      </c>
      <c r="AA1613" s="2">
        <v>150742.64000000001</v>
      </c>
      <c r="AB1613" s="2">
        <v>127748</v>
      </c>
      <c r="AC1613" s="2">
        <v>22994.639999999999</v>
      </c>
      <c r="AD1613" s="2">
        <v>150742.64000000001</v>
      </c>
      <c r="AE1613" t="s">
        <v>4927</v>
      </c>
      <c r="AF1613" t="s">
        <v>72</v>
      </c>
      <c r="AG1613">
        <v>-34</v>
      </c>
      <c r="AH1613" t="s">
        <v>117</v>
      </c>
      <c r="AI1613" t="s">
        <v>74</v>
      </c>
      <c r="AJ1613" t="s">
        <v>75</v>
      </c>
      <c r="AK1613" t="s">
        <v>76</v>
      </c>
      <c r="AL1613" t="s">
        <v>118</v>
      </c>
      <c r="AM1613" t="s">
        <v>78</v>
      </c>
      <c r="AN1613" t="s">
        <v>979</v>
      </c>
      <c r="AO1613" t="s">
        <v>119</v>
      </c>
      <c r="AP1613" t="s">
        <v>46</v>
      </c>
      <c r="AQ1613" t="s">
        <v>81</v>
      </c>
      <c r="AR1613" t="str">
        <f t="shared" si="50"/>
        <v>60601538.STATAM</v>
      </c>
      <c r="AS1613">
        <f t="shared" si="51"/>
        <v>5820725.1799999988</v>
      </c>
      <c r="AT1613" t="s">
        <v>82</v>
      </c>
    </row>
    <row r="1614" spans="1:46" x14ac:dyDescent="0.35">
      <c r="A1614" t="s">
        <v>52</v>
      </c>
      <c r="B1614" t="s">
        <v>53</v>
      </c>
      <c r="C1614" t="s">
        <v>54</v>
      </c>
      <c r="D1614" t="s">
        <v>55</v>
      </c>
      <c r="E1614" t="s">
        <v>56</v>
      </c>
      <c r="F1614" t="s">
        <v>4877</v>
      </c>
      <c r="G1614" t="s">
        <v>4890</v>
      </c>
      <c r="H1614" t="s">
        <v>56</v>
      </c>
      <c r="I1614" t="s">
        <v>4928</v>
      </c>
      <c r="J1614" t="s">
        <v>476</v>
      </c>
      <c r="K1614" t="s">
        <v>640</v>
      </c>
      <c r="L1614" t="s">
        <v>56</v>
      </c>
      <c r="M1614" t="s">
        <v>56</v>
      </c>
      <c r="N1614" t="s">
        <v>1186</v>
      </c>
      <c r="O1614" t="s">
        <v>974</v>
      </c>
      <c r="P1614" t="s">
        <v>975</v>
      </c>
      <c r="Q1614" t="s">
        <v>393</v>
      </c>
      <c r="R1614" t="s">
        <v>248</v>
      </c>
      <c r="S1614">
        <v>2000000</v>
      </c>
      <c r="T1614">
        <v>-154924829.11000001</v>
      </c>
      <c r="U1614" t="s">
        <v>68</v>
      </c>
      <c r="V1614" t="s">
        <v>4874</v>
      </c>
      <c r="W1614" s="9">
        <v>60601538</v>
      </c>
      <c r="X1614" t="s">
        <v>4929</v>
      </c>
      <c r="Y1614" s="1">
        <v>46052</v>
      </c>
      <c r="Z1614" s="1">
        <v>46112</v>
      </c>
      <c r="AA1614" s="2">
        <v>3387.07</v>
      </c>
      <c r="AB1614" s="2">
        <v>2870.4</v>
      </c>
      <c r="AC1614" s="2">
        <v>516.66999999999996</v>
      </c>
      <c r="AD1614" s="2">
        <v>3387.07</v>
      </c>
      <c r="AE1614" t="s">
        <v>4930</v>
      </c>
      <c r="AF1614" t="s">
        <v>72</v>
      </c>
      <c r="AG1614">
        <v>-34</v>
      </c>
      <c r="AH1614" t="s">
        <v>117</v>
      </c>
      <c r="AI1614" t="s">
        <v>74</v>
      </c>
      <c r="AJ1614" t="s">
        <v>75</v>
      </c>
      <c r="AK1614" t="s">
        <v>76</v>
      </c>
      <c r="AL1614" t="s">
        <v>118</v>
      </c>
      <c r="AM1614" t="s">
        <v>78</v>
      </c>
      <c r="AN1614" t="s">
        <v>979</v>
      </c>
      <c r="AO1614" t="s">
        <v>119</v>
      </c>
      <c r="AP1614" t="s">
        <v>46</v>
      </c>
      <c r="AQ1614" t="s">
        <v>81</v>
      </c>
      <c r="AR1614" t="str">
        <f t="shared" si="50"/>
        <v>60601538.STATAM</v>
      </c>
      <c r="AS1614">
        <f t="shared" si="51"/>
        <v>5820725.1799999988</v>
      </c>
      <c r="AT1614" t="s">
        <v>82</v>
      </c>
    </row>
    <row r="1615" spans="1:46" x14ac:dyDescent="0.35">
      <c r="A1615" t="s">
        <v>52</v>
      </c>
      <c r="B1615" t="s">
        <v>53</v>
      </c>
      <c r="C1615" t="s">
        <v>54</v>
      </c>
      <c r="D1615" t="s">
        <v>55</v>
      </c>
      <c r="E1615" t="s">
        <v>56</v>
      </c>
      <c r="F1615" t="s">
        <v>4877</v>
      </c>
      <c r="G1615" t="s">
        <v>4890</v>
      </c>
      <c r="H1615" t="s">
        <v>56</v>
      </c>
      <c r="I1615" t="s">
        <v>4928</v>
      </c>
      <c r="J1615" t="s">
        <v>476</v>
      </c>
      <c r="K1615" t="s">
        <v>640</v>
      </c>
      <c r="L1615" t="s">
        <v>56</v>
      </c>
      <c r="M1615" t="s">
        <v>56</v>
      </c>
      <c r="N1615" t="s">
        <v>252</v>
      </c>
      <c r="O1615" t="s">
        <v>974</v>
      </c>
      <c r="P1615" t="s">
        <v>975</v>
      </c>
      <c r="Q1615" t="s">
        <v>393</v>
      </c>
      <c r="R1615" t="s">
        <v>248</v>
      </c>
      <c r="S1615">
        <v>2000000</v>
      </c>
      <c r="T1615">
        <v>-154924829.11000001</v>
      </c>
      <c r="U1615" t="s">
        <v>68</v>
      </c>
      <c r="V1615" t="s">
        <v>4874</v>
      </c>
      <c r="W1615" s="9">
        <v>60601538</v>
      </c>
      <c r="X1615" t="s">
        <v>4929</v>
      </c>
      <c r="Y1615" s="1">
        <v>46052</v>
      </c>
      <c r="Z1615" s="1">
        <v>46112</v>
      </c>
      <c r="AA1615" s="2">
        <v>2164.7800000000002</v>
      </c>
      <c r="AB1615" s="2">
        <v>1834.56</v>
      </c>
      <c r="AC1615" s="2">
        <v>330.22</v>
      </c>
      <c r="AD1615" s="2">
        <v>2164.7800000000002</v>
      </c>
      <c r="AE1615" t="s">
        <v>4931</v>
      </c>
      <c r="AF1615" t="s">
        <v>72</v>
      </c>
      <c r="AG1615">
        <v>-34</v>
      </c>
      <c r="AH1615" t="s">
        <v>117</v>
      </c>
      <c r="AI1615" t="s">
        <v>74</v>
      </c>
      <c r="AJ1615" t="s">
        <v>75</v>
      </c>
      <c r="AK1615" t="s">
        <v>76</v>
      </c>
      <c r="AL1615" t="s">
        <v>118</v>
      </c>
      <c r="AM1615" t="s">
        <v>78</v>
      </c>
      <c r="AN1615" t="s">
        <v>979</v>
      </c>
      <c r="AO1615" t="s">
        <v>119</v>
      </c>
      <c r="AP1615" t="s">
        <v>46</v>
      </c>
      <c r="AQ1615" t="s">
        <v>81</v>
      </c>
      <c r="AR1615" t="str">
        <f t="shared" si="50"/>
        <v>60601538.STATAM</v>
      </c>
      <c r="AS1615">
        <f t="shared" si="51"/>
        <v>5820725.1799999988</v>
      </c>
      <c r="AT1615" t="s">
        <v>82</v>
      </c>
    </row>
    <row r="1616" spans="1:46" x14ac:dyDescent="0.35">
      <c r="A1616" t="s">
        <v>52</v>
      </c>
      <c r="B1616" t="s">
        <v>53</v>
      </c>
      <c r="C1616" t="s">
        <v>54</v>
      </c>
      <c r="D1616" t="s">
        <v>55</v>
      </c>
      <c r="E1616" t="s">
        <v>56</v>
      </c>
      <c r="F1616" t="s">
        <v>4877</v>
      </c>
      <c r="G1616" t="s">
        <v>4901</v>
      </c>
      <c r="H1616" t="s">
        <v>56</v>
      </c>
      <c r="I1616" t="s">
        <v>4932</v>
      </c>
      <c r="J1616" t="s">
        <v>61</v>
      </c>
      <c r="K1616" t="s">
        <v>640</v>
      </c>
      <c r="L1616" t="s">
        <v>56</v>
      </c>
      <c r="M1616" t="s">
        <v>56</v>
      </c>
      <c r="N1616" t="s">
        <v>1384</v>
      </c>
      <c r="O1616" t="s">
        <v>974</v>
      </c>
      <c r="P1616" t="s">
        <v>975</v>
      </c>
      <c r="Q1616" t="s">
        <v>87</v>
      </c>
      <c r="R1616" t="s">
        <v>248</v>
      </c>
      <c r="S1616">
        <v>2000000</v>
      </c>
      <c r="T1616">
        <v>-154924829.11000001</v>
      </c>
      <c r="U1616" t="s">
        <v>68</v>
      </c>
      <c r="V1616" t="s">
        <v>4874</v>
      </c>
      <c r="W1616" s="9">
        <v>60601538</v>
      </c>
      <c r="X1616" t="s">
        <v>4933</v>
      </c>
      <c r="Y1616" s="1">
        <v>46059</v>
      </c>
      <c r="Z1616" s="1">
        <v>46119</v>
      </c>
      <c r="AA1616" s="2">
        <v>230598.85</v>
      </c>
      <c r="AB1616" s="2">
        <v>195422.76</v>
      </c>
      <c r="AC1616" s="2">
        <v>35176.089999999997</v>
      </c>
      <c r="AD1616" s="2">
        <v>230598.85</v>
      </c>
      <c r="AE1616" t="s">
        <v>4934</v>
      </c>
      <c r="AF1616" t="s">
        <v>72</v>
      </c>
      <c r="AG1616">
        <v>-41</v>
      </c>
      <c r="AH1616" t="s">
        <v>117</v>
      </c>
      <c r="AI1616" t="s">
        <v>74</v>
      </c>
      <c r="AJ1616" t="s">
        <v>75</v>
      </c>
      <c r="AK1616" t="s">
        <v>76</v>
      </c>
      <c r="AL1616" t="s">
        <v>118</v>
      </c>
      <c r="AM1616" t="s">
        <v>78</v>
      </c>
      <c r="AN1616" t="s">
        <v>979</v>
      </c>
      <c r="AO1616" t="s">
        <v>119</v>
      </c>
      <c r="AP1616" t="s">
        <v>46</v>
      </c>
      <c r="AQ1616" t="s">
        <v>81</v>
      </c>
      <c r="AR1616" t="str">
        <f t="shared" si="50"/>
        <v>60601538.STATAM</v>
      </c>
      <c r="AS1616">
        <f t="shared" si="51"/>
        <v>5820725.1799999988</v>
      </c>
      <c r="AT1616" t="s">
        <v>82</v>
      </c>
    </row>
    <row r="1617" spans="1:46" x14ac:dyDescent="0.35">
      <c r="A1617" t="s">
        <v>52</v>
      </c>
      <c r="B1617" t="s">
        <v>53</v>
      </c>
      <c r="C1617" t="s">
        <v>54</v>
      </c>
      <c r="D1617" t="s">
        <v>55</v>
      </c>
      <c r="E1617" t="s">
        <v>56</v>
      </c>
      <c r="F1617" t="s">
        <v>4877</v>
      </c>
      <c r="G1617" t="s">
        <v>4901</v>
      </c>
      <c r="H1617" t="s">
        <v>56</v>
      </c>
      <c r="I1617" t="s">
        <v>4932</v>
      </c>
      <c r="J1617" t="s">
        <v>61</v>
      </c>
      <c r="K1617" t="s">
        <v>640</v>
      </c>
      <c r="L1617" t="s">
        <v>56</v>
      </c>
      <c r="M1617" t="s">
        <v>56</v>
      </c>
      <c r="N1617" t="s">
        <v>252</v>
      </c>
      <c r="O1617" t="s">
        <v>974</v>
      </c>
      <c r="P1617" t="s">
        <v>975</v>
      </c>
      <c r="Q1617" t="s">
        <v>87</v>
      </c>
      <c r="R1617" t="s">
        <v>248</v>
      </c>
      <c r="S1617">
        <v>2000000</v>
      </c>
      <c r="T1617">
        <v>-154924829.11000001</v>
      </c>
      <c r="U1617" t="s">
        <v>68</v>
      </c>
      <c r="V1617" t="s">
        <v>4874</v>
      </c>
      <c r="W1617" s="9">
        <v>60601538</v>
      </c>
      <c r="X1617" t="s">
        <v>4933</v>
      </c>
      <c r="Y1617" s="1">
        <v>46059</v>
      </c>
      <c r="Z1617" s="1">
        <v>46119</v>
      </c>
      <c r="AA1617" s="2">
        <v>20675.86</v>
      </c>
      <c r="AB1617" s="2">
        <v>17521.919999999998</v>
      </c>
      <c r="AC1617" s="2">
        <v>3153.94</v>
      </c>
      <c r="AD1617" s="2">
        <v>20675.86</v>
      </c>
      <c r="AE1617" t="s">
        <v>4935</v>
      </c>
      <c r="AF1617" t="s">
        <v>72</v>
      </c>
      <c r="AG1617">
        <v>-41</v>
      </c>
      <c r="AH1617" t="s">
        <v>117</v>
      </c>
      <c r="AI1617" t="s">
        <v>74</v>
      </c>
      <c r="AJ1617" t="s">
        <v>75</v>
      </c>
      <c r="AK1617" t="s">
        <v>76</v>
      </c>
      <c r="AL1617" t="s">
        <v>118</v>
      </c>
      <c r="AM1617" t="s">
        <v>78</v>
      </c>
      <c r="AN1617" t="s">
        <v>979</v>
      </c>
      <c r="AO1617" t="s">
        <v>119</v>
      </c>
      <c r="AP1617" t="s">
        <v>46</v>
      </c>
      <c r="AQ1617" t="s">
        <v>81</v>
      </c>
      <c r="AR1617" t="str">
        <f t="shared" si="50"/>
        <v>60601538.STATAM</v>
      </c>
      <c r="AS1617">
        <f t="shared" si="51"/>
        <v>5820725.1799999988</v>
      </c>
      <c r="AT1617" t="s">
        <v>82</v>
      </c>
    </row>
    <row r="1618" spans="1:46" x14ac:dyDescent="0.35">
      <c r="A1618" t="s">
        <v>52</v>
      </c>
      <c r="B1618" t="s">
        <v>53</v>
      </c>
      <c r="C1618" t="s">
        <v>54</v>
      </c>
      <c r="D1618" t="s">
        <v>55</v>
      </c>
      <c r="E1618" t="s">
        <v>56</v>
      </c>
      <c r="F1618" t="s">
        <v>4877</v>
      </c>
      <c r="G1618" t="s">
        <v>4890</v>
      </c>
      <c r="H1618" t="s">
        <v>56</v>
      </c>
      <c r="I1618" t="s">
        <v>4936</v>
      </c>
      <c r="J1618" t="s">
        <v>476</v>
      </c>
      <c r="K1618" t="s">
        <v>640</v>
      </c>
      <c r="L1618" t="s">
        <v>56</v>
      </c>
      <c r="M1618" t="s">
        <v>56</v>
      </c>
      <c r="N1618" t="s">
        <v>1384</v>
      </c>
      <c r="O1618" t="s">
        <v>974</v>
      </c>
      <c r="P1618" t="s">
        <v>975</v>
      </c>
      <c r="Q1618" t="s">
        <v>393</v>
      </c>
      <c r="R1618" t="s">
        <v>248</v>
      </c>
      <c r="S1618">
        <v>2000000</v>
      </c>
      <c r="T1618">
        <v>-154924829.11000001</v>
      </c>
      <c r="U1618" t="s">
        <v>68</v>
      </c>
      <c r="V1618" t="s">
        <v>4874</v>
      </c>
      <c r="W1618" s="9">
        <v>60601538</v>
      </c>
      <c r="X1618" t="s">
        <v>4937</v>
      </c>
      <c r="Y1618" s="1">
        <v>46059</v>
      </c>
      <c r="Z1618" s="1">
        <v>46119</v>
      </c>
      <c r="AA1618" s="2">
        <v>3214.04</v>
      </c>
      <c r="AB1618" s="2">
        <v>2723.76</v>
      </c>
      <c r="AC1618" s="2">
        <v>490.28</v>
      </c>
      <c r="AD1618" s="2">
        <v>3214.04</v>
      </c>
      <c r="AE1618" t="s">
        <v>4938</v>
      </c>
      <c r="AF1618" t="s">
        <v>72</v>
      </c>
      <c r="AG1618">
        <v>-41</v>
      </c>
      <c r="AH1618" t="s">
        <v>117</v>
      </c>
      <c r="AI1618" t="s">
        <v>74</v>
      </c>
      <c r="AJ1618" t="s">
        <v>75</v>
      </c>
      <c r="AK1618" t="s">
        <v>76</v>
      </c>
      <c r="AL1618" t="s">
        <v>118</v>
      </c>
      <c r="AM1618" t="s">
        <v>78</v>
      </c>
      <c r="AN1618" t="s">
        <v>979</v>
      </c>
      <c r="AO1618" t="s">
        <v>119</v>
      </c>
      <c r="AP1618" t="s">
        <v>46</v>
      </c>
      <c r="AQ1618" t="s">
        <v>81</v>
      </c>
      <c r="AR1618" t="str">
        <f t="shared" si="50"/>
        <v>60601538.STATAM</v>
      </c>
      <c r="AS1618">
        <f t="shared" si="51"/>
        <v>5820725.1799999988</v>
      </c>
      <c r="AT1618" t="s">
        <v>82</v>
      </c>
    </row>
    <row r="1619" spans="1:46" x14ac:dyDescent="0.35">
      <c r="A1619" t="s">
        <v>52</v>
      </c>
      <c r="B1619" t="s">
        <v>53</v>
      </c>
      <c r="C1619" t="s">
        <v>54</v>
      </c>
      <c r="D1619" t="s">
        <v>55</v>
      </c>
      <c r="E1619" t="s">
        <v>56</v>
      </c>
      <c r="F1619" t="s">
        <v>4877</v>
      </c>
      <c r="G1619" t="s">
        <v>4890</v>
      </c>
      <c r="H1619" t="s">
        <v>56</v>
      </c>
      <c r="I1619" t="s">
        <v>4936</v>
      </c>
      <c r="J1619" t="s">
        <v>476</v>
      </c>
      <c r="K1619" t="s">
        <v>640</v>
      </c>
      <c r="L1619" t="s">
        <v>56</v>
      </c>
      <c r="M1619" t="s">
        <v>56</v>
      </c>
      <c r="N1619" t="s">
        <v>655</v>
      </c>
      <c r="O1619" t="s">
        <v>974</v>
      </c>
      <c r="P1619" t="s">
        <v>975</v>
      </c>
      <c r="Q1619" t="s">
        <v>393</v>
      </c>
      <c r="R1619" t="s">
        <v>248</v>
      </c>
      <c r="S1619">
        <v>2000000</v>
      </c>
      <c r="T1619">
        <v>-154924829.11000001</v>
      </c>
      <c r="U1619" t="s">
        <v>68</v>
      </c>
      <c r="V1619" t="s">
        <v>4874</v>
      </c>
      <c r="W1619" s="9">
        <v>60601538</v>
      </c>
      <c r="X1619" t="s">
        <v>4937</v>
      </c>
      <c r="Y1619" s="1">
        <v>46059</v>
      </c>
      <c r="Z1619" s="1">
        <v>46119</v>
      </c>
      <c r="AA1619" s="2">
        <v>5927.38</v>
      </c>
      <c r="AB1619" s="2">
        <v>5023.2</v>
      </c>
      <c r="AC1619" s="2">
        <v>904.18</v>
      </c>
      <c r="AD1619" s="2">
        <v>5927.38</v>
      </c>
      <c r="AE1619" t="s">
        <v>4939</v>
      </c>
      <c r="AF1619" t="s">
        <v>72</v>
      </c>
      <c r="AG1619">
        <v>-41</v>
      </c>
      <c r="AH1619" t="s">
        <v>117</v>
      </c>
      <c r="AI1619" t="s">
        <v>74</v>
      </c>
      <c r="AJ1619" t="s">
        <v>75</v>
      </c>
      <c r="AK1619" t="s">
        <v>76</v>
      </c>
      <c r="AL1619" t="s">
        <v>118</v>
      </c>
      <c r="AM1619" t="s">
        <v>78</v>
      </c>
      <c r="AN1619" t="s">
        <v>979</v>
      </c>
      <c r="AO1619" t="s">
        <v>119</v>
      </c>
      <c r="AP1619" t="s">
        <v>46</v>
      </c>
      <c r="AQ1619" t="s">
        <v>81</v>
      </c>
      <c r="AR1619" t="str">
        <f t="shared" si="50"/>
        <v>60601538.STATAM</v>
      </c>
      <c r="AS1619">
        <f t="shared" si="51"/>
        <v>5820725.1799999988</v>
      </c>
      <c r="AT1619" t="s">
        <v>82</v>
      </c>
    </row>
    <row r="1620" spans="1:46" x14ac:dyDescent="0.35">
      <c r="A1620" t="s">
        <v>52</v>
      </c>
      <c r="B1620" t="s">
        <v>53</v>
      </c>
      <c r="C1620" t="s">
        <v>54</v>
      </c>
      <c r="D1620" t="s">
        <v>55</v>
      </c>
      <c r="E1620" t="s">
        <v>56</v>
      </c>
      <c r="F1620" t="s">
        <v>4877</v>
      </c>
      <c r="G1620" t="s">
        <v>4890</v>
      </c>
      <c r="H1620" t="s">
        <v>56</v>
      </c>
      <c r="I1620" t="s">
        <v>4936</v>
      </c>
      <c r="J1620" t="s">
        <v>476</v>
      </c>
      <c r="K1620" t="s">
        <v>640</v>
      </c>
      <c r="L1620" t="s">
        <v>56</v>
      </c>
      <c r="M1620" t="s">
        <v>56</v>
      </c>
      <c r="N1620" t="s">
        <v>244</v>
      </c>
      <c r="O1620" t="s">
        <v>974</v>
      </c>
      <c r="P1620" t="s">
        <v>975</v>
      </c>
      <c r="Q1620" t="s">
        <v>393</v>
      </c>
      <c r="R1620" t="s">
        <v>248</v>
      </c>
      <c r="S1620">
        <v>2000000</v>
      </c>
      <c r="T1620">
        <v>-154924829.11000001</v>
      </c>
      <c r="U1620" t="s">
        <v>68</v>
      </c>
      <c r="V1620" t="s">
        <v>4874</v>
      </c>
      <c r="W1620" s="9">
        <v>60601538</v>
      </c>
      <c r="X1620" t="s">
        <v>4937</v>
      </c>
      <c r="Y1620" s="1">
        <v>46059</v>
      </c>
      <c r="Z1620" s="1">
        <v>46119</v>
      </c>
      <c r="AA1620" s="2">
        <v>118965.25</v>
      </c>
      <c r="AB1620" s="2">
        <v>100818</v>
      </c>
      <c r="AC1620" s="2">
        <v>18147.25</v>
      </c>
      <c r="AD1620" s="2">
        <v>118965.25</v>
      </c>
      <c r="AE1620" t="s">
        <v>4940</v>
      </c>
      <c r="AF1620" t="s">
        <v>72</v>
      </c>
      <c r="AG1620">
        <v>-41</v>
      </c>
      <c r="AH1620" t="s">
        <v>117</v>
      </c>
      <c r="AI1620" t="s">
        <v>74</v>
      </c>
      <c r="AJ1620" t="s">
        <v>75</v>
      </c>
      <c r="AK1620" t="s">
        <v>76</v>
      </c>
      <c r="AL1620" t="s">
        <v>118</v>
      </c>
      <c r="AM1620" t="s">
        <v>78</v>
      </c>
      <c r="AN1620" t="s">
        <v>979</v>
      </c>
      <c r="AO1620" t="s">
        <v>119</v>
      </c>
      <c r="AP1620" t="s">
        <v>46</v>
      </c>
      <c r="AQ1620" t="s">
        <v>81</v>
      </c>
      <c r="AR1620" t="str">
        <f t="shared" si="50"/>
        <v>60601538.STATAM</v>
      </c>
      <c r="AS1620">
        <f t="shared" si="51"/>
        <v>5820725.1799999988</v>
      </c>
      <c r="AT1620" t="s">
        <v>82</v>
      </c>
    </row>
    <row r="1621" spans="1:46" x14ac:dyDescent="0.35">
      <c r="A1621" t="s">
        <v>52</v>
      </c>
      <c r="B1621" t="s">
        <v>53</v>
      </c>
      <c r="C1621" t="s">
        <v>54</v>
      </c>
      <c r="D1621" t="s">
        <v>55</v>
      </c>
      <c r="E1621" t="s">
        <v>56</v>
      </c>
      <c r="F1621" t="s">
        <v>4877</v>
      </c>
      <c r="G1621" t="s">
        <v>4901</v>
      </c>
      <c r="H1621" t="s">
        <v>56</v>
      </c>
      <c r="I1621" t="s">
        <v>4941</v>
      </c>
      <c r="J1621" t="s">
        <v>61</v>
      </c>
      <c r="K1621" t="s">
        <v>640</v>
      </c>
      <c r="L1621" t="s">
        <v>56</v>
      </c>
      <c r="M1621" t="s">
        <v>56</v>
      </c>
      <c r="N1621" t="s">
        <v>1384</v>
      </c>
      <c r="O1621" t="s">
        <v>974</v>
      </c>
      <c r="P1621" t="s">
        <v>975</v>
      </c>
      <c r="Q1621" t="s">
        <v>87</v>
      </c>
      <c r="R1621" t="s">
        <v>248</v>
      </c>
      <c r="S1621">
        <v>2000000</v>
      </c>
      <c r="T1621">
        <v>-154924829.11000001</v>
      </c>
      <c r="U1621" t="s">
        <v>68</v>
      </c>
      <c r="V1621" t="s">
        <v>4874</v>
      </c>
      <c r="W1621" s="9">
        <v>60601538</v>
      </c>
      <c r="X1621" t="s">
        <v>4942</v>
      </c>
      <c r="Y1621" s="1">
        <v>46064</v>
      </c>
      <c r="Z1621" s="1">
        <v>46124</v>
      </c>
      <c r="AA1621" s="2">
        <v>238589.77</v>
      </c>
      <c r="AB1621" s="2">
        <v>202194.72</v>
      </c>
      <c r="AC1621" s="2">
        <v>36395.050000000003</v>
      </c>
      <c r="AD1621" s="2">
        <v>238589.77</v>
      </c>
      <c r="AE1621" t="s">
        <v>4943</v>
      </c>
      <c r="AF1621" t="s">
        <v>72</v>
      </c>
      <c r="AG1621">
        <v>-46</v>
      </c>
      <c r="AH1621" t="s">
        <v>117</v>
      </c>
      <c r="AI1621" t="s">
        <v>74</v>
      </c>
      <c r="AJ1621" t="s">
        <v>75</v>
      </c>
      <c r="AK1621" t="s">
        <v>76</v>
      </c>
      <c r="AL1621" t="s">
        <v>118</v>
      </c>
      <c r="AM1621" t="s">
        <v>78</v>
      </c>
      <c r="AN1621" t="s">
        <v>979</v>
      </c>
      <c r="AO1621" t="s">
        <v>119</v>
      </c>
      <c r="AP1621" t="s">
        <v>46</v>
      </c>
      <c r="AQ1621" t="s">
        <v>81</v>
      </c>
      <c r="AR1621" t="str">
        <f t="shared" si="50"/>
        <v>60601538.STATAM</v>
      </c>
      <c r="AS1621">
        <f t="shared" si="51"/>
        <v>5820725.1799999988</v>
      </c>
      <c r="AT1621" t="s">
        <v>82</v>
      </c>
    </row>
    <row r="1622" spans="1:46" x14ac:dyDescent="0.35">
      <c r="A1622" t="s">
        <v>52</v>
      </c>
      <c r="B1622" t="s">
        <v>53</v>
      </c>
      <c r="C1622" t="s">
        <v>54</v>
      </c>
      <c r="D1622" t="s">
        <v>55</v>
      </c>
      <c r="E1622" t="s">
        <v>56</v>
      </c>
      <c r="F1622" t="s">
        <v>4877</v>
      </c>
      <c r="G1622" t="s">
        <v>4901</v>
      </c>
      <c r="H1622" t="s">
        <v>56</v>
      </c>
      <c r="I1622" t="s">
        <v>4941</v>
      </c>
      <c r="J1622" t="s">
        <v>61</v>
      </c>
      <c r="K1622" t="s">
        <v>640</v>
      </c>
      <c r="L1622" t="s">
        <v>56</v>
      </c>
      <c r="M1622" t="s">
        <v>56</v>
      </c>
      <c r="N1622" t="s">
        <v>252</v>
      </c>
      <c r="O1622" t="s">
        <v>974</v>
      </c>
      <c r="P1622" t="s">
        <v>975</v>
      </c>
      <c r="Q1622" t="s">
        <v>87</v>
      </c>
      <c r="R1622" t="s">
        <v>248</v>
      </c>
      <c r="S1622">
        <v>2000000</v>
      </c>
      <c r="T1622">
        <v>-154924829.11000001</v>
      </c>
      <c r="U1622" t="s">
        <v>68</v>
      </c>
      <c r="V1622" t="s">
        <v>4874</v>
      </c>
      <c r="W1622" s="9">
        <v>60601538</v>
      </c>
      <c r="X1622" t="s">
        <v>4942</v>
      </c>
      <c r="Y1622" s="1">
        <v>46064</v>
      </c>
      <c r="Z1622" s="1">
        <v>46124</v>
      </c>
      <c r="AA1622" s="2">
        <v>3794.81</v>
      </c>
      <c r="AB1622" s="2">
        <v>3215.94</v>
      </c>
      <c r="AC1622" s="2">
        <v>578.87</v>
      </c>
      <c r="AD1622" s="2">
        <v>3794.81</v>
      </c>
      <c r="AE1622" t="s">
        <v>4944</v>
      </c>
      <c r="AF1622" t="s">
        <v>72</v>
      </c>
      <c r="AG1622">
        <v>-46</v>
      </c>
      <c r="AH1622" t="s">
        <v>117</v>
      </c>
      <c r="AI1622" t="s">
        <v>74</v>
      </c>
      <c r="AJ1622" t="s">
        <v>75</v>
      </c>
      <c r="AK1622" t="s">
        <v>76</v>
      </c>
      <c r="AL1622" t="s">
        <v>118</v>
      </c>
      <c r="AM1622" t="s">
        <v>78</v>
      </c>
      <c r="AN1622" t="s">
        <v>979</v>
      </c>
      <c r="AO1622" t="s">
        <v>119</v>
      </c>
      <c r="AP1622" t="s">
        <v>46</v>
      </c>
      <c r="AQ1622" t="s">
        <v>81</v>
      </c>
      <c r="AR1622" t="str">
        <f t="shared" si="50"/>
        <v>60601538.STATAM</v>
      </c>
      <c r="AS1622">
        <f t="shared" si="51"/>
        <v>5820725.1799999988</v>
      </c>
      <c r="AT1622" t="s">
        <v>82</v>
      </c>
    </row>
    <row r="1623" spans="1:46" x14ac:dyDescent="0.35">
      <c r="A1623" t="s">
        <v>52</v>
      </c>
      <c r="B1623" t="s">
        <v>53</v>
      </c>
      <c r="C1623" t="s">
        <v>54</v>
      </c>
      <c r="D1623" t="s">
        <v>55</v>
      </c>
      <c r="E1623" t="s">
        <v>56</v>
      </c>
      <c r="F1623" t="s">
        <v>4877</v>
      </c>
      <c r="G1623" t="s">
        <v>4910</v>
      </c>
      <c r="H1623" t="s">
        <v>56</v>
      </c>
      <c r="I1623" t="s">
        <v>4945</v>
      </c>
      <c r="J1623" t="s">
        <v>476</v>
      </c>
      <c r="K1623" t="s">
        <v>640</v>
      </c>
      <c r="L1623" t="s">
        <v>56</v>
      </c>
      <c r="M1623" t="s">
        <v>56</v>
      </c>
      <c r="N1623" t="s">
        <v>252</v>
      </c>
      <c r="O1623" t="s">
        <v>974</v>
      </c>
      <c r="P1623" t="s">
        <v>975</v>
      </c>
      <c r="Q1623" t="s">
        <v>393</v>
      </c>
      <c r="R1623" t="s">
        <v>248</v>
      </c>
      <c r="S1623">
        <v>2000000</v>
      </c>
      <c r="T1623">
        <v>-154924829.11000001</v>
      </c>
      <c r="U1623" t="s">
        <v>68</v>
      </c>
      <c r="V1623" t="s">
        <v>4874</v>
      </c>
      <c r="W1623" s="9">
        <v>60601538</v>
      </c>
      <c r="X1623" t="s">
        <v>4946</v>
      </c>
      <c r="Y1623" s="1">
        <v>46064</v>
      </c>
      <c r="Z1623" s="1">
        <v>46124</v>
      </c>
      <c r="AA1623" s="2">
        <v>27391.1</v>
      </c>
      <c r="AB1623" s="2">
        <v>23212.799999999999</v>
      </c>
      <c r="AC1623" s="2">
        <v>4178.3</v>
      </c>
      <c r="AD1623" s="2">
        <v>27391.1</v>
      </c>
      <c r="AE1623" t="s">
        <v>4947</v>
      </c>
      <c r="AF1623" t="s">
        <v>72</v>
      </c>
      <c r="AG1623">
        <v>-46</v>
      </c>
      <c r="AH1623" t="s">
        <v>117</v>
      </c>
      <c r="AI1623" t="s">
        <v>74</v>
      </c>
      <c r="AJ1623" t="s">
        <v>75</v>
      </c>
      <c r="AK1623" t="s">
        <v>76</v>
      </c>
      <c r="AL1623" t="s">
        <v>118</v>
      </c>
      <c r="AM1623" t="s">
        <v>78</v>
      </c>
      <c r="AN1623" t="s">
        <v>979</v>
      </c>
      <c r="AO1623" t="s">
        <v>119</v>
      </c>
      <c r="AP1623" t="s">
        <v>46</v>
      </c>
      <c r="AQ1623" t="s">
        <v>81</v>
      </c>
      <c r="AR1623" t="str">
        <f t="shared" si="50"/>
        <v>60601538.STATAM</v>
      </c>
      <c r="AS1623">
        <f t="shared" si="51"/>
        <v>5820725.1799999988</v>
      </c>
      <c r="AT1623" t="s">
        <v>82</v>
      </c>
    </row>
    <row r="1624" spans="1:46" x14ac:dyDescent="0.35">
      <c r="A1624" t="s">
        <v>52</v>
      </c>
      <c r="B1624" t="s">
        <v>53</v>
      </c>
      <c r="C1624" t="s">
        <v>54</v>
      </c>
      <c r="D1624" t="s">
        <v>55</v>
      </c>
      <c r="E1624" t="s">
        <v>56</v>
      </c>
      <c r="F1624" t="s">
        <v>4877</v>
      </c>
      <c r="G1624" t="s">
        <v>4890</v>
      </c>
      <c r="H1624" t="s">
        <v>56</v>
      </c>
      <c r="I1624" t="s">
        <v>4948</v>
      </c>
      <c r="J1624" t="s">
        <v>476</v>
      </c>
      <c r="K1624" t="s">
        <v>640</v>
      </c>
      <c r="L1624" t="s">
        <v>56</v>
      </c>
      <c r="M1624" t="s">
        <v>56</v>
      </c>
      <c r="N1624" t="s">
        <v>252</v>
      </c>
      <c r="O1624" t="s">
        <v>974</v>
      </c>
      <c r="P1624" t="s">
        <v>975</v>
      </c>
      <c r="Q1624" t="s">
        <v>393</v>
      </c>
      <c r="R1624" t="s">
        <v>248</v>
      </c>
      <c r="S1624">
        <v>2000000</v>
      </c>
      <c r="T1624">
        <v>-154924829.11000001</v>
      </c>
      <c r="U1624" t="s">
        <v>68</v>
      </c>
      <c r="V1624" t="s">
        <v>4874</v>
      </c>
      <c r="W1624" s="9">
        <v>60601538</v>
      </c>
      <c r="X1624" t="s">
        <v>4949</v>
      </c>
      <c r="Y1624" s="1">
        <v>46064</v>
      </c>
      <c r="Z1624" s="1">
        <v>46124</v>
      </c>
      <c r="AA1624" s="2">
        <v>26999.93</v>
      </c>
      <c r="AB1624" s="2">
        <v>22881.3</v>
      </c>
      <c r="AC1624" s="2">
        <v>4118.63</v>
      </c>
      <c r="AD1624" s="2">
        <v>26999.93</v>
      </c>
      <c r="AE1624" t="s">
        <v>4950</v>
      </c>
      <c r="AF1624" t="s">
        <v>72</v>
      </c>
      <c r="AG1624">
        <v>-46</v>
      </c>
      <c r="AH1624" t="s">
        <v>117</v>
      </c>
      <c r="AI1624" t="s">
        <v>74</v>
      </c>
      <c r="AJ1624" t="s">
        <v>75</v>
      </c>
      <c r="AK1624" t="s">
        <v>76</v>
      </c>
      <c r="AL1624" t="s">
        <v>118</v>
      </c>
      <c r="AM1624" t="s">
        <v>78</v>
      </c>
      <c r="AN1624" t="s">
        <v>979</v>
      </c>
      <c r="AO1624" t="s">
        <v>119</v>
      </c>
      <c r="AP1624" t="s">
        <v>46</v>
      </c>
      <c r="AQ1624" t="s">
        <v>81</v>
      </c>
      <c r="AR1624" t="str">
        <f t="shared" si="50"/>
        <v>60601538.STATAM</v>
      </c>
      <c r="AS1624">
        <f t="shared" si="51"/>
        <v>5820725.1799999988</v>
      </c>
      <c r="AT1624" t="s">
        <v>82</v>
      </c>
    </row>
    <row r="1625" spans="1:46" x14ac:dyDescent="0.35">
      <c r="A1625" t="s">
        <v>52</v>
      </c>
      <c r="B1625" t="s">
        <v>53</v>
      </c>
      <c r="C1625" t="s">
        <v>54</v>
      </c>
      <c r="D1625" t="s">
        <v>55</v>
      </c>
      <c r="E1625" t="s">
        <v>56</v>
      </c>
      <c r="F1625" t="s">
        <v>4877</v>
      </c>
      <c r="G1625" t="s">
        <v>4901</v>
      </c>
      <c r="H1625" t="s">
        <v>56</v>
      </c>
      <c r="I1625" t="s">
        <v>4951</v>
      </c>
      <c r="J1625" t="s">
        <v>61</v>
      </c>
      <c r="K1625" t="s">
        <v>640</v>
      </c>
      <c r="L1625" t="s">
        <v>56</v>
      </c>
      <c r="M1625" t="s">
        <v>56</v>
      </c>
      <c r="N1625" t="s">
        <v>1384</v>
      </c>
      <c r="O1625" t="s">
        <v>974</v>
      </c>
      <c r="P1625" t="s">
        <v>975</v>
      </c>
      <c r="Q1625" t="s">
        <v>87</v>
      </c>
      <c r="R1625" t="s">
        <v>248</v>
      </c>
      <c r="S1625">
        <v>2000000</v>
      </c>
      <c r="T1625">
        <v>-154924829.11000001</v>
      </c>
      <c r="U1625" t="s">
        <v>68</v>
      </c>
      <c r="V1625" t="s">
        <v>4874</v>
      </c>
      <c r="W1625" s="9">
        <v>60601538</v>
      </c>
      <c r="X1625" t="s">
        <v>4952</v>
      </c>
      <c r="Y1625" s="1">
        <v>46065</v>
      </c>
      <c r="Z1625" s="1">
        <v>46125</v>
      </c>
      <c r="AA1625" s="2">
        <v>132376.53</v>
      </c>
      <c r="AB1625" s="2">
        <v>112183.5</v>
      </c>
      <c r="AC1625" s="2">
        <v>20193.03</v>
      </c>
      <c r="AD1625" s="2">
        <v>132376.53</v>
      </c>
      <c r="AE1625" t="s">
        <v>4953</v>
      </c>
      <c r="AF1625" t="s">
        <v>72</v>
      </c>
      <c r="AG1625">
        <v>-47</v>
      </c>
      <c r="AH1625" t="s">
        <v>117</v>
      </c>
      <c r="AI1625" t="s">
        <v>74</v>
      </c>
      <c r="AJ1625" t="s">
        <v>75</v>
      </c>
      <c r="AK1625" t="s">
        <v>76</v>
      </c>
      <c r="AL1625" t="s">
        <v>118</v>
      </c>
      <c r="AM1625" t="s">
        <v>78</v>
      </c>
      <c r="AN1625" t="s">
        <v>979</v>
      </c>
      <c r="AO1625" t="s">
        <v>119</v>
      </c>
      <c r="AP1625" t="s">
        <v>46</v>
      </c>
      <c r="AQ1625" t="s">
        <v>81</v>
      </c>
      <c r="AR1625" t="str">
        <f t="shared" si="50"/>
        <v>60601538.STATAM</v>
      </c>
      <c r="AS1625">
        <f t="shared" si="51"/>
        <v>5820725.1799999988</v>
      </c>
      <c r="AT1625" t="s">
        <v>82</v>
      </c>
    </row>
    <row r="1626" spans="1:46" x14ac:dyDescent="0.35">
      <c r="A1626" t="s">
        <v>52</v>
      </c>
      <c r="B1626" t="s">
        <v>53</v>
      </c>
      <c r="C1626" t="s">
        <v>54</v>
      </c>
      <c r="D1626" t="s">
        <v>55</v>
      </c>
      <c r="E1626" t="s">
        <v>56</v>
      </c>
      <c r="F1626" t="s">
        <v>4877</v>
      </c>
      <c r="G1626" t="s">
        <v>4890</v>
      </c>
      <c r="H1626" t="s">
        <v>56</v>
      </c>
      <c r="I1626" t="s">
        <v>4954</v>
      </c>
      <c r="J1626" t="s">
        <v>476</v>
      </c>
      <c r="K1626" t="s">
        <v>640</v>
      </c>
      <c r="L1626" t="s">
        <v>56</v>
      </c>
      <c r="M1626" t="s">
        <v>56</v>
      </c>
      <c r="N1626" t="s">
        <v>1384</v>
      </c>
      <c r="O1626" t="s">
        <v>974</v>
      </c>
      <c r="P1626" t="s">
        <v>975</v>
      </c>
      <c r="Q1626" t="s">
        <v>393</v>
      </c>
      <c r="R1626" t="s">
        <v>248</v>
      </c>
      <c r="S1626">
        <v>2000000</v>
      </c>
      <c r="T1626">
        <v>-154924829.11000001</v>
      </c>
      <c r="U1626" t="s">
        <v>68</v>
      </c>
      <c r="V1626" t="s">
        <v>4874</v>
      </c>
      <c r="W1626" s="9">
        <v>60601538</v>
      </c>
      <c r="X1626" t="s">
        <v>4955</v>
      </c>
      <c r="Y1626" s="1">
        <v>46069</v>
      </c>
      <c r="Z1626" s="1">
        <v>46129</v>
      </c>
      <c r="AA1626" s="2">
        <v>142588.37</v>
      </c>
      <c r="AB1626" s="2">
        <v>120837.6</v>
      </c>
      <c r="AC1626" s="2">
        <v>21750.77</v>
      </c>
      <c r="AD1626" s="2">
        <v>142588.37</v>
      </c>
      <c r="AE1626" t="s">
        <v>4956</v>
      </c>
      <c r="AF1626" t="s">
        <v>72</v>
      </c>
      <c r="AG1626">
        <v>-51</v>
      </c>
      <c r="AH1626" t="s">
        <v>117</v>
      </c>
      <c r="AI1626" t="s">
        <v>74</v>
      </c>
      <c r="AJ1626" t="s">
        <v>75</v>
      </c>
      <c r="AK1626" t="s">
        <v>76</v>
      </c>
      <c r="AL1626" t="s">
        <v>118</v>
      </c>
      <c r="AM1626" t="s">
        <v>78</v>
      </c>
      <c r="AN1626" t="s">
        <v>979</v>
      </c>
      <c r="AO1626" t="s">
        <v>119</v>
      </c>
      <c r="AP1626" t="s">
        <v>46</v>
      </c>
      <c r="AQ1626" t="s">
        <v>81</v>
      </c>
      <c r="AR1626" t="str">
        <f t="shared" si="50"/>
        <v>60601538.STATAM</v>
      </c>
      <c r="AS1626">
        <f t="shared" si="51"/>
        <v>5820725.1799999988</v>
      </c>
      <c r="AT1626" t="s">
        <v>82</v>
      </c>
    </row>
    <row r="1627" spans="1:46" x14ac:dyDescent="0.35">
      <c r="A1627" t="s">
        <v>52</v>
      </c>
      <c r="B1627" t="s">
        <v>53</v>
      </c>
      <c r="C1627" t="s">
        <v>54</v>
      </c>
      <c r="D1627" t="s">
        <v>55</v>
      </c>
      <c r="E1627" t="s">
        <v>56</v>
      </c>
      <c r="F1627" t="s">
        <v>4877</v>
      </c>
      <c r="G1627" t="s">
        <v>4890</v>
      </c>
      <c r="H1627" t="s">
        <v>56</v>
      </c>
      <c r="I1627" t="s">
        <v>4954</v>
      </c>
      <c r="J1627" t="s">
        <v>476</v>
      </c>
      <c r="K1627" t="s">
        <v>640</v>
      </c>
      <c r="L1627" t="s">
        <v>56</v>
      </c>
      <c r="M1627" t="s">
        <v>56</v>
      </c>
      <c r="N1627" t="s">
        <v>252</v>
      </c>
      <c r="O1627" t="s">
        <v>974</v>
      </c>
      <c r="P1627" t="s">
        <v>975</v>
      </c>
      <c r="Q1627" t="s">
        <v>393</v>
      </c>
      <c r="R1627" t="s">
        <v>248</v>
      </c>
      <c r="S1627">
        <v>2000000</v>
      </c>
      <c r="T1627">
        <v>-154924829.11000001</v>
      </c>
      <c r="U1627" t="s">
        <v>68</v>
      </c>
      <c r="V1627" t="s">
        <v>4874</v>
      </c>
      <c r="W1627" s="9">
        <v>60601538</v>
      </c>
      <c r="X1627" t="s">
        <v>4955</v>
      </c>
      <c r="Y1627" s="1">
        <v>46069</v>
      </c>
      <c r="Z1627" s="1">
        <v>46129</v>
      </c>
      <c r="AA1627" s="2">
        <v>7684.42</v>
      </c>
      <c r="AB1627" s="2">
        <v>6512.22</v>
      </c>
      <c r="AC1627" s="2">
        <v>1172.2</v>
      </c>
      <c r="AD1627" s="2">
        <v>7684.42</v>
      </c>
      <c r="AE1627" t="s">
        <v>4957</v>
      </c>
      <c r="AF1627" t="s">
        <v>72</v>
      </c>
      <c r="AG1627">
        <v>-51</v>
      </c>
      <c r="AH1627" t="s">
        <v>117</v>
      </c>
      <c r="AI1627" t="s">
        <v>74</v>
      </c>
      <c r="AJ1627" t="s">
        <v>75</v>
      </c>
      <c r="AK1627" t="s">
        <v>76</v>
      </c>
      <c r="AL1627" t="s">
        <v>118</v>
      </c>
      <c r="AM1627" t="s">
        <v>78</v>
      </c>
      <c r="AN1627" t="s">
        <v>979</v>
      </c>
      <c r="AO1627" t="s">
        <v>119</v>
      </c>
      <c r="AP1627" t="s">
        <v>46</v>
      </c>
      <c r="AQ1627" t="s">
        <v>81</v>
      </c>
      <c r="AR1627" t="str">
        <f t="shared" si="50"/>
        <v>60601538.STATAM</v>
      </c>
      <c r="AS1627">
        <f t="shared" si="51"/>
        <v>5820725.1799999988</v>
      </c>
      <c r="AT1627" t="s">
        <v>82</v>
      </c>
    </row>
    <row r="1628" spans="1:46" x14ac:dyDescent="0.35">
      <c r="A1628" t="s">
        <v>52</v>
      </c>
      <c r="B1628" t="s">
        <v>53</v>
      </c>
      <c r="C1628" t="s">
        <v>54</v>
      </c>
      <c r="D1628" t="s">
        <v>55</v>
      </c>
      <c r="E1628" t="s">
        <v>56</v>
      </c>
      <c r="F1628" t="s">
        <v>4877</v>
      </c>
      <c r="G1628" t="s">
        <v>4901</v>
      </c>
      <c r="H1628" t="s">
        <v>56</v>
      </c>
      <c r="I1628" t="s">
        <v>4958</v>
      </c>
      <c r="J1628" t="s">
        <v>61</v>
      </c>
      <c r="K1628" t="s">
        <v>640</v>
      </c>
      <c r="L1628" t="s">
        <v>56</v>
      </c>
      <c r="M1628" t="s">
        <v>56</v>
      </c>
      <c r="N1628" t="s">
        <v>1384</v>
      </c>
      <c r="O1628" t="s">
        <v>974</v>
      </c>
      <c r="P1628" t="s">
        <v>975</v>
      </c>
      <c r="Q1628" t="s">
        <v>87</v>
      </c>
      <c r="R1628" t="s">
        <v>248</v>
      </c>
      <c r="S1628">
        <v>2000000</v>
      </c>
      <c r="T1628">
        <v>-154924829.11000001</v>
      </c>
      <c r="U1628" t="s">
        <v>68</v>
      </c>
      <c r="V1628" t="s">
        <v>4874</v>
      </c>
      <c r="W1628" s="9">
        <v>60601538</v>
      </c>
      <c r="X1628" t="s">
        <v>4959</v>
      </c>
      <c r="Y1628" s="1">
        <v>46069</v>
      </c>
      <c r="Z1628" s="1">
        <v>46129</v>
      </c>
      <c r="AA1628" s="2">
        <v>52923</v>
      </c>
      <c r="AB1628" s="2">
        <v>44850</v>
      </c>
      <c r="AC1628" s="2">
        <v>8073</v>
      </c>
      <c r="AD1628" s="2">
        <v>52923</v>
      </c>
      <c r="AE1628" t="s">
        <v>4960</v>
      </c>
      <c r="AF1628" t="s">
        <v>72</v>
      </c>
      <c r="AG1628">
        <v>-51</v>
      </c>
      <c r="AH1628" t="s">
        <v>117</v>
      </c>
      <c r="AI1628" t="s">
        <v>74</v>
      </c>
      <c r="AJ1628" t="s">
        <v>75</v>
      </c>
      <c r="AK1628" t="s">
        <v>76</v>
      </c>
      <c r="AL1628" t="s">
        <v>118</v>
      </c>
      <c r="AM1628" t="s">
        <v>78</v>
      </c>
      <c r="AN1628" t="s">
        <v>979</v>
      </c>
      <c r="AO1628" t="s">
        <v>119</v>
      </c>
      <c r="AP1628" t="s">
        <v>46</v>
      </c>
      <c r="AQ1628" t="s">
        <v>81</v>
      </c>
      <c r="AR1628" t="str">
        <f t="shared" si="50"/>
        <v>60601538.STATAM</v>
      </c>
      <c r="AS1628">
        <f t="shared" si="51"/>
        <v>5820725.1799999988</v>
      </c>
      <c r="AT1628" t="s">
        <v>82</v>
      </c>
    </row>
    <row r="1629" spans="1:46" x14ac:dyDescent="0.35">
      <c r="A1629" t="s">
        <v>52</v>
      </c>
      <c r="B1629" t="s">
        <v>53</v>
      </c>
      <c r="C1629" t="s">
        <v>54</v>
      </c>
      <c r="D1629" t="s">
        <v>55</v>
      </c>
      <c r="E1629" t="s">
        <v>56</v>
      </c>
      <c r="F1629" t="s">
        <v>4877</v>
      </c>
      <c r="G1629" t="s">
        <v>4901</v>
      </c>
      <c r="H1629" t="s">
        <v>56</v>
      </c>
      <c r="I1629" t="s">
        <v>4958</v>
      </c>
      <c r="J1629" t="s">
        <v>61</v>
      </c>
      <c r="K1629" t="s">
        <v>640</v>
      </c>
      <c r="L1629" t="s">
        <v>56</v>
      </c>
      <c r="M1629" t="s">
        <v>56</v>
      </c>
      <c r="N1629" t="s">
        <v>252</v>
      </c>
      <c r="O1629" t="s">
        <v>974</v>
      </c>
      <c r="P1629" t="s">
        <v>975</v>
      </c>
      <c r="Q1629" t="s">
        <v>87</v>
      </c>
      <c r="R1629" t="s">
        <v>248</v>
      </c>
      <c r="S1629">
        <v>2000000</v>
      </c>
      <c r="T1629">
        <v>-154924829.11000001</v>
      </c>
      <c r="U1629" t="s">
        <v>68</v>
      </c>
      <c r="V1629" t="s">
        <v>4874</v>
      </c>
      <c r="W1629" s="9">
        <v>60601538</v>
      </c>
      <c r="X1629" t="s">
        <v>4959</v>
      </c>
      <c r="Y1629" s="1">
        <v>46069</v>
      </c>
      <c r="Z1629" s="1">
        <v>46129</v>
      </c>
      <c r="AA1629" s="2">
        <v>3502.12</v>
      </c>
      <c r="AB1629" s="2">
        <v>2967.9</v>
      </c>
      <c r="AC1629" s="2">
        <v>534.22</v>
      </c>
      <c r="AD1629" s="2">
        <v>3502.12</v>
      </c>
      <c r="AE1629" t="s">
        <v>4961</v>
      </c>
      <c r="AF1629" t="s">
        <v>72</v>
      </c>
      <c r="AG1629">
        <v>-51</v>
      </c>
      <c r="AH1629" t="s">
        <v>117</v>
      </c>
      <c r="AI1629" t="s">
        <v>74</v>
      </c>
      <c r="AJ1629" t="s">
        <v>75</v>
      </c>
      <c r="AK1629" t="s">
        <v>76</v>
      </c>
      <c r="AL1629" t="s">
        <v>118</v>
      </c>
      <c r="AM1629" t="s">
        <v>78</v>
      </c>
      <c r="AN1629" t="s">
        <v>979</v>
      </c>
      <c r="AO1629" t="s">
        <v>119</v>
      </c>
      <c r="AP1629" t="s">
        <v>46</v>
      </c>
      <c r="AQ1629" t="s">
        <v>81</v>
      </c>
      <c r="AR1629" t="str">
        <f t="shared" si="50"/>
        <v>60601538.STATAM</v>
      </c>
      <c r="AS1629">
        <f t="shared" si="51"/>
        <v>5820725.1799999988</v>
      </c>
      <c r="AT1629" t="s">
        <v>82</v>
      </c>
    </row>
    <row r="1630" spans="1:46" x14ac:dyDescent="0.35">
      <c r="A1630" t="s">
        <v>52</v>
      </c>
      <c r="B1630" t="s">
        <v>53</v>
      </c>
      <c r="C1630" t="s">
        <v>54</v>
      </c>
      <c r="D1630" t="s">
        <v>55</v>
      </c>
      <c r="E1630" t="s">
        <v>56</v>
      </c>
      <c r="F1630" t="s">
        <v>4877</v>
      </c>
      <c r="G1630" t="s">
        <v>4890</v>
      </c>
      <c r="H1630" t="s">
        <v>56</v>
      </c>
      <c r="I1630" t="s">
        <v>4962</v>
      </c>
      <c r="J1630" t="s">
        <v>476</v>
      </c>
      <c r="K1630" t="s">
        <v>640</v>
      </c>
      <c r="L1630" t="s">
        <v>56</v>
      </c>
      <c r="M1630" t="s">
        <v>56</v>
      </c>
      <c r="N1630" t="s">
        <v>252</v>
      </c>
      <c r="O1630" t="s">
        <v>974</v>
      </c>
      <c r="P1630" t="s">
        <v>975</v>
      </c>
      <c r="Q1630" t="s">
        <v>393</v>
      </c>
      <c r="R1630" t="s">
        <v>248</v>
      </c>
      <c r="S1630">
        <v>2000000</v>
      </c>
      <c r="T1630">
        <v>-154924829.11000001</v>
      </c>
      <c r="U1630" t="s">
        <v>68</v>
      </c>
      <c r="V1630" t="s">
        <v>4874</v>
      </c>
      <c r="W1630" s="9">
        <v>60601538</v>
      </c>
      <c r="X1630" t="s">
        <v>4963</v>
      </c>
      <c r="Y1630" s="1">
        <v>46077</v>
      </c>
      <c r="Z1630" s="1">
        <v>46137</v>
      </c>
      <c r="AA1630" s="2">
        <v>2120.6</v>
      </c>
      <c r="AB1630" s="2">
        <v>1797.12</v>
      </c>
      <c r="AC1630" s="2">
        <v>323.48</v>
      </c>
      <c r="AD1630" s="2">
        <v>2120.6</v>
      </c>
      <c r="AE1630" t="s">
        <v>4964</v>
      </c>
      <c r="AF1630" t="s">
        <v>72</v>
      </c>
      <c r="AG1630">
        <v>-59</v>
      </c>
      <c r="AH1630" t="s">
        <v>117</v>
      </c>
      <c r="AI1630" t="s">
        <v>74</v>
      </c>
      <c r="AJ1630" t="s">
        <v>75</v>
      </c>
      <c r="AK1630" t="s">
        <v>76</v>
      </c>
      <c r="AL1630" t="s">
        <v>118</v>
      </c>
      <c r="AM1630" t="s">
        <v>78</v>
      </c>
      <c r="AN1630" t="s">
        <v>979</v>
      </c>
      <c r="AO1630" t="s">
        <v>119</v>
      </c>
      <c r="AP1630" t="s">
        <v>46</v>
      </c>
      <c r="AQ1630" t="s">
        <v>81</v>
      </c>
      <c r="AR1630" t="str">
        <f t="shared" si="50"/>
        <v>60601538.STATAM</v>
      </c>
      <c r="AS1630">
        <f t="shared" si="51"/>
        <v>5820725.1799999988</v>
      </c>
      <c r="AT1630" t="s">
        <v>82</v>
      </c>
    </row>
    <row r="1631" spans="1:46" x14ac:dyDescent="0.35">
      <c r="A1631" t="s">
        <v>52</v>
      </c>
      <c r="B1631" t="s">
        <v>53</v>
      </c>
      <c r="C1631" t="s">
        <v>54</v>
      </c>
      <c r="D1631" t="s">
        <v>55</v>
      </c>
      <c r="E1631" t="s">
        <v>56</v>
      </c>
      <c r="F1631" t="s">
        <v>4877</v>
      </c>
      <c r="G1631" t="s">
        <v>4890</v>
      </c>
      <c r="H1631" t="s">
        <v>56</v>
      </c>
      <c r="I1631" t="s">
        <v>4962</v>
      </c>
      <c r="J1631" t="s">
        <v>476</v>
      </c>
      <c r="K1631" t="s">
        <v>640</v>
      </c>
      <c r="L1631" t="s">
        <v>56</v>
      </c>
      <c r="M1631" t="s">
        <v>56</v>
      </c>
      <c r="N1631" t="s">
        <v>1384</v>
      </c>
      <c r="O1631" t="s">
        <v>974</v>
      </c>
      <c r="P1631" t="s">
        <v>975</v>
      </c>
      <c r="Q1631" t="s">
        <v>393</v>
      </c>
      <c r="R1631" t="s">
        <v>248</v>
      </c>
      <c r="S1631">
        <v>2000000</v>
      </c>
      <c r="T1631">
        <v>-154924829.11000001</v>
      </c>
      <c r="U1631" t="s">
        <v>68</v>
      </c>
      <c r="V1631" t="s">
        <v>4874</v>
      </c>
      <c r="W1631" s="9">
        <v>60601538</v>
      </c>
      <c r="X1631" t="s">
        <v>4963</v>
      </c>
      <c r="Y1631" s="1">
        <v>46077</v>
      </c>
      <c r="Z1631" s="1">
        <v>46137</v>
      </c>
      <c r="AA1631" s="2">
        <v>42776.51</v>
      </c>
      <c r="AB1631" s="2">
        <v>36251.279999999999</v>
      </c>
      <c r="AC1631" s="2">
        <v>6525.23</v>
      </c>
      <c r="AD1631" s="2">
        <v>42776.51</v>
      </c>
      <c r="AE1631" t="s">
        <v>4965</v>
      </c>
      <c r="AF1631" t="s">
        <v>72</v>
      </c>
      <c r="AG1631">
        <v>-59</v>
      </c>
      <c r="AH1631" t="s">
        <v>117</v>
      </c>
      <c r="AI1631" t="s">
        <v>74</v>
      </c>
      <c r="AJ1631" t="s">
        <v>75</v>
      </c>
      <c r="AK1631" t="s">
        <v>76</v>
      </c>
      <c r="AL1631" t="s">
        <v>118</v>
      </c>
      <c r="AM1631" t="s">
        <v>78</v>
      </c>
      <c r="AN1631" t="s">
        <v>979</v>
      </c>
      <c r="AO1631" t="s">
        <v>119</v>
      </c>
      <c r="AP1631" t="s">
        <v>46</v>
      </c>
      <c r="AQ1631" t="s">
        <v>81</v>
      </c>
      <c r="AR1631" t="str">
        <f t="shared" si="50"/>
        <v>60601538.STATAM</v>
      </c>
      <c r="AS1631">
        <f t="shared" si="51"/>
        <v>5820725.1799999988</v>
      </c>
      <c r="AT1631" t="s">
        <v>82</v>
      </c>
    </row>
    <row r="1632" spans="1:46" x14ac:dyDescent="0.35">
      <c r="A1632" t="s">
        <v>52</v>
      </c>
      <c r="B1632" t="s">
        <v>53</v>
      </c>
      <c r="C1632" t="s">
        <v>54</v>
      </c>
      <c r="D1632" t="s">
        <v>55</v>
      </c>
      <c r="E1632" t="s">
        <v>56</v>
      </c>
      <c r="F1632" t="s">
        <v>4877</v>
      </c>
      <c r="G1632" t="s">
        <v>4901</v>
      </c>
      <c r="H1632" t="s">
        <v>56</v>
      </c>
      <c r="I1632" t="s">
        <v>4966</v>
      </c>
      <c r="J1632" t="s">
        <v>61</v>
      </c>
      <c r="K1632" t="s">
        <v>640</v>
      </c>
      <c r="L1632" t="s">
        <v>56</v>
      </c>
      <c r="M1632" t="s">
        <v>56</v>
      </c>
      <c r="N1632" t="s">
        <v>261</v>
      </c>
      <c r="O1632" t="s">
        <v>974</v>
      </c>
      <c r="P1632" t="s">
        <v>975</v>
      </c>
      <c r="Q1632" t="s">
        <v>87</v>
      </c>
      <c r="R1632" t="s">
        <v>248</v>
      </c>
      <c r="S1632">
        <v>2000000</v>
      </c>
      <c r="T1632">
        <v>-154924829.11000001</v>
      </c>
      <c r="U1632" t="s">
        <v>68</v>
      </c>
      <c r="V1632" t="s">
        <v>4874</v>
      </c>
      <c r="W1632" s="9">
        <v>60601538</v>
      </c>
      <c r="X1632" t="s">
        <v>4967</v>
      </c>
      <c r="Y1632" s="1">
        <v>46077</v>
      </c>
      <c r="Z1632" s="1">
        <v>46137</v>
      </c>
      <c r="AA1632" s="2">
        <v>29482.25</v>
      </c>
      <c r="AB1632" s="2">
        <v>24984.959999999999</v>
      </c>
      <c r="AC1632" s="2">
        <v>4497.29</v>
      </c>
      <c r="AD1632" s="2">
        <v>29482.25</v>
      </c>
      <c r="AE1632" t="s">
        <v>4968</v>
      </c>
      <c r="AF1632" t="s">
        <v>72</v>
      </c>
      <c r="AG1632">
        <v>-59</v>
      </c>
      <c r="AH1632" t="s">
        <v>117</v>
      </c>
      <c r="AI1632" t="s">
        <v>74</v>
      </c>
      <c r="AJ1632" t="s">
        <v>75</v>
      </c>
      <c r="AK1632" t="s">
        <v>76</v>
      </c>
      <c r="AL1632" t="s">
        <v>118</v>
      </c>
      <c r="AM1632" t="s">
        <v>78</v>
      </c>
      <c r="AN1632" t="s">
        <v>979</v>
      </c>
      <c r="AO1632" t="s">
        <v>119</v>
      </c>
      <c r="AP1632" t="s">
        <v>46</v>
      </c>
      <c r="AQ1632" t="s">
        <v>81</v>
      </c>
      <c r="AR1632" t="str">
        <f t="shared" si="50"/>
        <v>60601538.STATAM</v>
      </c>
      <c r="AS1632">
        <f t="shared" si="51"/>
        <v>5820725.1799999988</v>
      </c>
      <c r="AT1632" t="s">
        <v>82</v>
      </c>
    </row>
    <row r="1633" spans="1:46" x14ac:dyDescent="0.35">
      <c r="A1633" t="s">
        <v>52</v>
      </c>
      <c r="B1633" t="s">
        <v>53</v>
      </c>
      <c r="C1633" t="s">
        <v>54</v>
      </c>
      <c r="D1633" t="s">
        <v>55</v>
      </c>
      <c r="E1633" t="s">
        <v>56</v>
      </c>
      <c r="F1633" t="s">
        <v>4877</v>
      </c>
      <c r="G1633" t="s">
        <v>4969</v>
      </c>
      <c r="H1633" t="s">
        <v>56</v>
      </c>
      <c r="I1633" t="s">
        <v>4970</v>
      </c>
      <c r="J1633" t="s">
        <v>476</v>
      </c>
      <c r="K1633" t="s">
        <v>640</v>
      </c>
      <c r="L1633" t="s">
        <v>56</v>
      </c>
      <c r="M1633" t="s">
        <v>56</v>
      </c>
      <c r="N1633" t="s">
        <v>1727</v>
      </c>
      <c r="O1633" t="s">
        <v>974</v>
      </c>
      <c r="P1633" t="s">
        <v>975</v>
      </c>
      <c r="Q1633" t="s">
        <v>393</v>
      </c>
      <c r="R1633" t="s">
        <v>248</v>
      </c>
      <c r="S1633">
        <v>2000000</v>
      </c>
      <c r="T1633">
        <v>-154924829.11000001</v>
      </c>
      <c r="U1633" t="s">
        <v>68</v>
      </c>
      <c r="V1633" t="s">
        <v>4874</v>
      </c>
      <c r="W1633" s="9">
        <v>60601538</v>
      </c>
      <c r="X1633" t="s">
        <v>4971</v>
      </c>
      <c r="Y1633" s="1">
        <v>46077</v>
      </c>
      <c r="Z1633" s="1">
        <v>46137</v>
      </c>
      <c r="AA1633" s="2">
        <v>66552</v>
      </c>
      <c r="AB1633" s="2">
        <v>56400</v>
      </c>
      <c r="AC1633" s="2">
        <v>10152</v>
      </c>
      <c r="AD1633" s="2">
        <v>66552</v>
      </c>
      <c r="AE1633" t="s">
        <v>4972</v>
      </c>
      <c r="AF1633" t="s">
        <v>72</v>
      </c>
      <c r="AG1633">
        <v>-59</v>
      </c>
      <c r="AH1633" t="s">
        <v>117</v>
      </c>
      <c r="AI1633" t="s">
        <v>74</v>
      </c>
      <c r="AJ1633" t="s">
        <v>127</v>
      </c>
      <c r="AK1633" t="s">
        <v>334</v>
      </c>
      <c r="AL1633" t="s">
        <v>118</v>
      </c>
      <c r="AM1633" t="s">
        <v>78</v>
      </c>
      <c r="AN1633" t="s">
        <v>979</v>
      </c>
      <c r="AO1633" t="s">
        <v>119</v>
      </c>
      <c r="AP1633" t="s">
        <v>46</v>
      </c>
      <c r="AQ1633" t="s">
        <v>335</v>
      </c>
      <c r="AR1633" t="str">
        <f t="shared" si="50"/>
        <v>60601538.SPMINAM</v>
      </c>
      <c r="AS1633">
        <f t="shared" si="51"/>
        <v>73819.48</v>
      </c>
      <c r="AT1633" t="s">
        <v>82</v>
      </c>
    </row>
    <row r="1634" spans="1:46" x14ac:dyDescent="0.35">
      <c r="A1634" t="s">
        <v>52</v>
      </c>
      <c r="B1634" t="s">
        <v>53</v>
      </c>
      <c r="C1634" t="s">
        <v>54</v>
      </c>
      <c r="D1634" t="s">
        <v>55</v>
      </c>
      <c r="E1634" t="s">
        <v>56</v>
      </c>
      <c r="F1634" t="s">
        <v>4973</v>
      </c>
      <c r="G1634" t="s">
        <v>4974</v>
      </c>
      <c r="H1634" t="s">
        <v>59</v>
      </c>
      <c r="I1634" t="s">
        <v>4975</v>
      </c>
      <c r="J1634" t="s">
        <v>4976</v>
      </c>
      <c r="K1634" t="s">
        <v>62</v>
      </c>
      <c r="L1634" t="s">
        <v>56</v>
      </c>
      <c r="M1634" t="s">
        <v>56</v>
      </c>
      <c r="N1634" t="s">
        <v>63</v>
      </c>
      <c r="O1634" t="s">
        <v>406</v>
      </c>
      <c r="P1634" t="s">
        <v>407</v>
      </c>
      <c r="Q1634" t="s">
        <v>4977</v>
      </c>
      <c r="R1634" t="s">
        <v>248</v>
      </c>
      <c r="S1634">
        <v>1000000</v>
      </c>
      <c r="T1634">
        <v>849484.77</v>
      </c>
      <c r="U1634" t="s">
        <v>68</v>
      </c>
      <c r="V1634" t="s">
        <v>4978</v>
      </c>
      <c r="W1634" s="9">
        <v>60603738</v>
      </c>
      <c r="X1634" t="s">
        <v>4979</v>
      </c>
      <c r="Y1634" s="1">
        <v>46070</v>
      </c>
      <c r="Z1634" s="1">
        <v>46130</v>
      </c>
      <c r="AA1634" s="2">
        <v>716851.6</v>
      </c>
      <c r="AB1634" s="2">
        <v>607501.36</v>
      </c>
      <c r="AC1634" s="2">
        <v>109350.24</v>
      </c>
      <c r="AD1634" s="2">
        <v>150515.23000000001</v>
      </c>
      <c r="AE1634" t="s">
        <v>4980</v>
      </c>
      <c r="AF1634" t="s">
        <v>72</v>
      </c>
      <c r="AG1634">
        <v>-52</v>
      </c>
      <c r="AH1634" t="s">
        <v>117</v>
      </c>
      <c r="AI1634" t="s">
        <v>74</v>
      </c>
      <c r="AJ1634" t="s">
        <v>75</v>
      </c>
      <c r="AK1634" t="s">
        <v>76</v>
      </c>
      <c r="AL1634" t="s">
        <v>118</v>
      </c>
      <c r="AM1634" t="s">
        <v>78</v>
      </c>
      <c r="AN1634" t="s">
        <v>104</v>
      </c>
      <c r="AO1634" t="s">
        <v>119</v>
      </c>
      <c r="AP1634" t="e">
        <v>#N/A</v>
      </c>
      <c r="AQ1634" t="s">
        <v>81</v>
      </c>
      <c r="AR1634" t="str">
        <f t="shared" si="50"/>
        <v>60603738.STATAM</v>
      </c>
      <c r="AS1634">
        <f t="shared" si="51"/>
        <v>150515.23000000001</v>
      </c>
      <c r="AT1634" t="s">
        <v>82</v>
      </c>
    </row>
  </sheetData>
  <autoFilter ref="A6:AU1634" xr:uid="{57767EB5-FB57-4762-AF9B-888AFC939CE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AURRSGLBF0170 - AR_SRP_ALL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Sundar</dc:creator>
  <cp:lastModifiedBy>Aishwarya Sundar</cp:lastModifiedBy>
  <dcterms:created xsi:type="dcterms:W3CDTF">2026-02-27T13:58:47Z</dcterms:created>
  <dcterms:modified xsi:type="dcterms:W3CDTF">2026-02-27T13:59:03Z</dcterms:modified>
</cp:coreProperties>
</file>